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:\내 드라이브\★ 1 숙박운영\2026\6 청소\"/>
    </mc:Choice>
  </mc:AlternateContent>
  <xr:revisionPtr revIDLastSave="0" documentId="13_ncr:1_{AFB42AB2-EF94-43C4-A377-9C5FC7A76D8E}" xr6:coauthVersionLast="47" xr6:coauthVersionMax="47" xr10:uidLastSave="{00000000-0000-0000-0000-000000000000}"/>
  <bookViews>
    <workbookView xWindow="19095" yWindow="0" windowWidth="19410" windowHeight="15585" activeTab="4" xr2:uid="{00000000-000D-0000-FFFF-FFFF00000000}"/>
  </bookViews>
  <sheets>
    <sheet name="운영 정보" sheetId="1" r:id="rId1"/>
    <sheet name="청소코드" sheetId="2" r:id="rId2"/>
    <sheet name="과거" sheetId="22" r:id="rId3"/>
    <sheet name="에어컨청소" sheetId="23" r:id="rId4"/>
    <sheet name="이번주" sheetId="16" r:id="rId5"/>
    <sheet name="최종입금" sheetId="18" r:id="rId6"/>
    <sheet name="계좌 및 개인정보" sheetId="19" r:id="rId7"/>
  </sheets>
  <definedNames>
    <definedName name="_xlnm._FilterDatabase" localSheetId="2" hidden="1">과거!$A$2:$O$952</definedName>
    <definedName name="_xlnm._FilterDatabase" localSheetId="3" hidden="1">에어컨청소!$B$3:$H$93</definedName>
    <definedName name="_xlnm._FilterDatabase" localSheetId="4" hidden="1">이번주!$A$2:$O$338</definedName>
    <definedName name="_xlnm._FilterDatabase" localSheetId="1" hidden="1">청소코드!$B$3:$J$3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57" i="22" l="1"/>
  <c r="D1157" i="22"/>
  <c r="E1157" i="22"/>
  <c r="K1157" i="22"/>
  <c r="J1157" i="22" s="1"/>
  <c r="B1158" i="22"/>
  <c r="D1158" i="22"/>
  <c r="E1158" i="22"/>
  <c r="K1158" i="22"/>
  <c r="J1158" i="22" s="1"/>
  <c r="B1159" i="22"/>
  <c r="D1159" i="22"/>
  <c r="E1159" i="22"/>
  <c r="J1159" i="22"/>
  <c r="K1159" i="22"/>
  <c r="B1160" i="22"/>
  <c r="D1160" i="22"/>
  <c r="E1160" i="22"/>
  <c r="J1160" i="22"/>
  <c r="K1160" i="22"/>
  <c r="B1161" i="22"/>
  <c r="D1161" i="22"/>
  <c r="E1161" i="22"/>
  <c r="K1161" i="22"/>
  <c r="J1161" i="22" s="1"/>
  <c r="B1162" i="22"/>
  <c r="D1162" i="22"/>
  <c r="E1162" i="22"/>
  <c r="K1162" i="22"/>
  <c r="J1162" i="22" s="1"/>
  <c r="B1163" i="22"/>
  <c r="D1163" i="22"/>
  <c r="E1163" i="22"/>
  <c r="J1163" i="22"/>
  <c r="K1163" i="22"/>
  <c r="B1164" i="22"/>
  <c r="D1164" i="22"/>
  <c r="E1164" i="22"/>
  <c r="K1164" i="22"/>
  <c r="J1164" i="22" s="1"/>
  <c r="B1165" i="22"/>
  <c r="D1165" i="22"/>
  <c r="E1165" i="22"/>
  <c r="J1165" i="22"/>
  <c r="K1165" i="22"/>
  <c r="B1166" i="22"/>
  <c r="D1166" i="22"/>
  <c r="E1166" i="22"/>
  <c r="J1166" i="22"/>
  <c r="K1166" i="22"/>
  <c r="B1167" i="22"/>
  <c r="D1167" i="22"/>
  <c r="E1167" i="22"/>
  <c r="K1167" i="22"/>
  <c r="J1167" i="22" s="1"/>
  <c r="B1168" i="22"/>
  <c r="D1168" i="22"/>
  <c r="E1168" i="22"/>
  <c r="K1168" i="22"/>
  <c r="J1168" i="22" s="1"/>
  <c r="B1169" i="22"/>
  <c r="D1169" i="22"/>
  <c r="E1169" i="22"/>
  <c r="J1169" i="22"/>
  <c r="K1169" i="22"/>
  <c r="B1170" i="22"/>
  <c r="D1170" i="22"/>
  <c r="E1170" i="22"/>
  <c r="K1170" i="22"/>
  <c r="J1170" i="22" s="1"/>
  <c r="B1171" i="22"/>
  <c r="D1171" i="22"/>
  <c r="E1171" i="22"/>
  <c r="J1171" i="22"/>
  <c r="K1171" i="22"/>
  <c r="B1172" i="22"/>
  <c r="D1172" i="22"/>
  <c r="E1172" i="22"/>
  <c r="J1172" i="22"/>
  <c r="K1172" i="22"/>
  <c r="B1173" i="22"/>
  <c r="D1173" i="22"/>
  <c r="E1173" i="22"/>
  <c r="K1173" i="22"/>
  <c r="J1173" i="22" s="1"/>
  <c r="B1174" i="22"/>
  <c r="D1174" i="22"/>
  <c r="E1174" i="22"/>
  <c r="K1174" i="22"/>
  <c r="J1174" i="22" s="1"/>
  <c r="B1175" i="22"/>
  <c r="D1175" i="22"/>
  <c r="E1175" i="22"/>
  <c r="J1175" i="22"/>
  <c r="K1175" i="22"/>
  <c r="B1176" i="22"/>
  <c r="D1176" i="22"/>
  <c r="E1176" i="22"/>
  <c r="K1176" i="22"/>
  <c r="J1176" i="22" s="1"/>
  <c r="B1177" i="22"/>
  <c r="D1177" i="22"/>
  <c r="E1177" i="22"/>
  <c r="J1177" i="22"/>
  <c r="K1177" i="22"/>
  <c r="B1178" i="22"/>
  <c r="D1178" i="22"/>
  <c r="E1178" i="22"/>
  <c r="J1178" i="22"/>
  <c r="K1178" i="22"/>
  <c r="B1179" i="22"/>
  <c r="D1179" i="22"/>
  <c r="E1179" i="22"/>
  <c r="K1179" i="22"/>
  <c r="J1179" i="22" s="1"/>
  <c r="B1180" i="22"/>
  <c r="D1180" i="22"/>
  <c r="E1180" i="22"/>
  <c r="K1180" i="22"/>
  <c r="J1180" i="22" s="1"/>
  <c r="B1181" i="22"/>
  <c r="D1181" i="22"/>
  <c r="E1181" i="22"/>
  <c r="J1181" i="22"/>
  <c r="K1181" i="22"/>
  <c r="B1182" i="22"/>
  <c r="D1182" i="22"/>
  <c r="E1182" i="22"/>
  <c r="K1182" i="22"/>
  <c r="J1182" i="22" s="1"/>
  <c r="B1183" i="22"/>
  <c r="D1183" i="22"/>
  <c r="E1183" i="22"/>
  <c r="J1183" i="22"/>
  <c r="K1183" i="22"/>
  <c r="B1184" i="22"/>
  <c r="D1184" i="22"/>
  <c r="E1184" i="22"/>
  <c r="J1184" i="22"/>
  <c r="K1184" i="22"/>
  <c r="B1185" i="22"/>
  <c r="D1185" i="22"/>
  <c r="E1185" i="22"/>
  <c r="K1185" i="22"/>
  <c r="J1185" i="22" s="1"/>
  <c r="B1186" i="22"/>
  <c r="D1186" i="22"/>
  <c r="E1186" i="22"/>
  <c r="K1186" i="22"/>
  <c r="J1186" i="22" s="1"/>
  <c r="B1187" i="22"/>
  <c r="D1187" i="22"/>
  <c r="E1187" i="22"/>
  <c r="J1187" i="22"/>
  <c r="K1187" i="22"/>
  <c r="B1188" i="22"/>
  <c r="D1188" i="22"/>
  <c r="E1188" i="22"/>
  <c r="K1188" i="22"/>
  <c r="J1188" i="22" s="1"/>
  <c r="B1189" i="22"/>
  <c r="D1189" i="22"/>
  <c r="E1189" i="22"/>
  <c r="J1189" i="22"/>
  <c r="K1189" i="22"/>
  <c r="B1190" i="22"/>
  <c r="D1190" i="22"/>
  <c r="E1190" i="22"/>
  <c r="J1190" i="22"/>
  <c r="K1190" i="22"/>
  <c r="B1191" i="22"/>
  <c r="D1191" i="22"/>
  <c r="E1191" i="22"/>
  <c r="K1191" i="22"/>
  <c r="J1191" i="22" s="1"/>
  <c r="B1192" i="22"/>
  <c r="D1192" i="22"/>
  <c r="E1192" i="22"/>
  <c r="K1192" i="22"/>
  <c r="J1192" i="22" s="1"/>
  <c r="B1193" i="22"/>
  <c r="D1193" i="22"/>
  <c r="E1193" i="22"/>
  <c r="J1193" i="22"/>
  <c r="K1193" i="22"/>
  <c r="B1194" i="22"/>
  <c r="D1194" i="22"/>
  <c r="E1194" i="22"/>
  <c r="K1194" i="22"/>
  <c r="J1194" i="22" s="1"/>
  <c r="B1195" i="22"/>
  <c r="D1195" i="22"/>
  <c r="E1195" i="22"/>
  <c r="J1195" i="22"/>
  <c r="K1195" i="22"/>
  <c r="B1196" i="22"/>
  <c r="D1196" i="22"/>
  <c r="E1196" i="22"/>
  <c r="J1196" i="22"/>
  <c r="K1196" i="22"/>
  <c r="B1197" i="22"/>
  <c r="D1197" i="22"/>
  <c r="E1197" i="22"/>
  <c r="K1197" i="22"/>
  <c r="J1197" i="22" s="1"/>
  <c r="B1198" i="22"/>
  <c r="D1198" i="22"/>
  <c r="E1198" i="22"/>
  <c r="K1198" i="22"/>
  <c r="J1198" i="22" s="1"/>
  <c r="B1199" i="22"/>
  <c r="D1199" i="22"/>
  <c r="E1199" i="22"/>
  <c r="J1199" i="22"/>
  <c r="K1199" i="22"/>
  <c r="B1200" i="22"/>
  <c r="D1200" i="22"/>
  <c r="E1200" i="22"/>
  <c r="K1200" i="22"/>
  <c r="J1200" i="22" s="1"/>
  <c r="B1201" i="22"/>
  <c r="D1201" i="22"/>
  <c r="E1201" i="22"/>
  <c r="J1201" i="22"/>
  <c r="K1201" i="22"/>
  <c r="B1202" i="22"/>
  <c r="D1202" i="22"/>
  <c r="E1202" i="22"/>
  <c r="J1202" i="22"/>
  <c r="K1202" i="22"/>
  <c r="B1203" i="22"/>
  <c r="D1203" i="22"/>
  <c r="E1203" i="22"/>
  <c r="K1203" i="22"/>
  <c r="J1203" i="22" s="1"/>
  <c r="B1204" i="22"/>
  <c r="D1204" i="22"/>
  <c r="E1204" i="22"/>
  <c r="K1204" i="22"/>
  <c r="J1204" i="22" s="1"/>
  <c r="B1205" i="22"/>
  <c r="D1205" i="22"/>
  <c r="E1205" i="22"/>
  <c r="J1205" i="22"/>
  <c r="K1205" i="22"/>
  <c r="B1206" i="22"/>
  <c r="D1206" i="22"/>
  <c r="E1206" i="22"/>
  <c r="K1206" i="22"/>
  <c r="J1206" i="22" s="1"/>
  <c r="B1207" i="22"/>
  <c r="D1207" i="22"/>
  <c r="E1207" i="22"/>
  <c r="J1207" i="22"/>
  <c r="K1207" i="22"/>
  <c r="B1208" i="22"/>
  <c r="D1208" i="22"/>
  <c r="E1208" i="22"/>
  <c r="J1208" i="22"/>
  <c r="K1208" i="22"/>
  <c r="B1209" i="22"/>
  <c r="D1209" i="22"/>
  <c r="E1209" i="22"/>
  <c r="K1209" i="22"/>
  <c r="J1209" i="22" s="1"/>
  <c r="B1210" i="22"/>
  <c r="D1210" i="22"/>
  <c r="E1210" i="22"/>
  <c r="K1210" i="22"/>
  <c r="J1210" i="22" s="1"/>
  <c r="B1211" i="22"/>
  <c r="D1211" i="22"/>
  <c r="E1211" i="22"/>
  <c r="J1211" i="22"/>
  <c r="K1211" i="22"/>
  <c r="B1212" i="22"/>
  <c r="D1212" i="22"/>
  <c r="E1212" i="22"/>
  <c r="K1212" i="22"/>
  <c r="J1212" i="22" s="1"/>
  <c r="B1213" i="22"/>
  <c r="D1213" i="22"/>
  <c r="E1213" i="22"/>
  <c r="J1213" i="22"/>
  <c r="K1213" i="22"/>
  <c r="B1214" i="22"/>
  <c r="D1214" i="22"/>
  <c r="E1214" i="22"/>
  <c r="J1214" i="22"/>
  <c r="K1214" i="22"/>
  <c r="B1215" i="22"/>
  <c r="D1215" i="22"/>
  <c r="E1215" i="22"/>
  <c r="K1215" i="22"/>
  <c r="J1215" i="22" s="1"/>
  <c r="B1216" i="22"/>
  <c r="D1216" i="22"/>
  <c r="E1216" i="22"/>
  <c r="K1216" i="22"/>
  <c r="J1216" i="22" s="1"/>
  <c r="B1217" i="22"/>
  <c r="D1217" i="22"/>
  <c r="E1217" i="22"/>
  <c r="J1217" i="22"/>
  <c r="K1217" i="22"/>
  <c r="B1218" i="22"/>
  <c r="D1218" i="22"/>
  <c r="E1218" i="22"/>
  <c r="K1218" i="22"/>
  <c r="J1218" i="22" s="1"/>
  <c r="B1219" i="22"/>
  <c r="D1219" i="22"/>
  <c r="E1219" i="22"/>
  <c r="J1219" i="22"/>
  <c r="K1219" i="22"/>
  <c r="B1220" i="22"/>
  <c r="D1220" i="22"/>
  <c r="E1220" i="22"/>
  <c r="J1220" i="22"/>
  <c r="K1220" i="22"/>
  <c r="B1221" i="22"/>
  <c r="D1221" i="22"/>
  <c r="E1221" i="22"/>
  <c r="K1221" i="22"/>
  <c r="J1221" i="22" s="1"/>
  <c r="B1222" i="22"/>
  <c r="D1222" i="22"/>
  <c r="E1222" i="22"/>
  <c r="K1222" i="22"/>
  <c r="J1222" i="22" s="1"/>
  <c r="B1223" i="22"/>
  <c r="D1223" i="22"/>
  <c r="E1223" i="22"/>
  <c r="J1223" i="22"/>
  <c r="K1223" i="22"/>
  <c r="B1224" i="22"/>
  <c r="D1224" i="22"/>
  <c r="E1224" i="22"/>
  <c r="K1224" i="22"/>
  <c r="J1224" i="22" s="1"/>
  <c r="B1225" i="22"/>
  <c r="D1225" i="22"/>
  <c r="E1225" i="22"/>
  <c r="K1225" i="22"/>
  <c r="J1225" i="22" s="1"/>
  <c r="B1226" i="22"/>
  <c r="D1226" i="22"/>
  <c r="E1226" i="22"/>
  <c r="J1226" i="22"/>
  <c r="K1226" i="22"/>
  <c r="B1227" i="22"/>
  <c r="D1227" i="22"/>
  <c r="E1227" i="22"/>
  <c r="K1227" i="22"/>
  <c r="J1227" i="22" s="1"/>
  <c r="B1228" i="22"/>
  <c r="D1228" i="22"/>
  <c r="E1228" i="22"/>
  <c r="K1228" i="22"/>
  <c r="J1228" i="22" s="1"/>
  <c r="B1229" i="22"/>
  <c r="D1229" i="22"/>
  <c r="E1229" i="22"/>
  <c r="J1229" i="22"/>
  <c r="K1229" i="22"/>
  <c r="B1230" i="22"/>
  <c r="D1230" i="22"/>
  <c r="E1230" i="22"/>
  <c r="K1230" i="22"/>
  <c r="J1230" i="22" s="1"/>
  <c r="B1231" i="22"/>
  <c r="D1231" i="22"/>
  <c r="E1231" i="22"/>
  <c r="J1231" i="22"/>
  <c r="K1231" i="22"/>
  <c r="B1232" i="22"/>
  <c r="D1232" i="22"/>
  <c r="E1232" i="22"/>
  <c r="J1232" i="22"/>
  <c r="K1232" i="22"/>
  <c r="B1233" i="22"/>
  <c r="D1233" i="22"/>
  <c r="E1233" i="22"/>
  <c r="K1233" i="22"/>
  <c r="J1233" i="22" s="1"/>
  <c r="B1234" i="22"/>
  <c r="D1234" i="22"/>
  <c r="E1234" i="22"/>
  <c r="J1234" i="22"/>
  <c r="K1234" i="22"/>
  <c r="B1235" i="22"/>
  <c r="D1235" i="22"/>
  <c r="E1235" i="22"/>
  <c r="J1235" i="22"/>
  <c r="K1235" i="22"/>
  <c r="B1236" i="22"/>
  <c r="D1236" i="22"/>
  <c r="E1236" i="22"/>
  <c r="K1236" i="22"/>
  <c r="J1236" i="22" s="1"/>
  <c r="B1237" i="22"/>
  <c r="D1237" i="22"/>
  <c r="E1237" i="22"/>
  <c r="K1237" i="22"/>
  <c r="J1237" i="22" s="1"/>
  <c r="B1238" i="22"/>
  <c r="D1238" i="22"/>
  <c r="E1238" i="22"/>
  <c r="J1238" i="22"/>
  <c r="K1238" i="22"/>
  <c r="B1239" i="22"/>
  <c r="D1239" i="22"/>
  <c r="E1239" i="22"/>
  <c r="K1239" i="22"/>
  <c r="J1239" i="22" s="1"/>
  <c r="B1240" i="22"/>
  <c r="D1240" i="22"/>
  <c r="E1240" i="22"/>
  <c r="J1240" i="22"/>
  <c r="K1240" i="22"/>
  <c r="B1241" i="22"/>
  <c r="D1241" i="22"/>
  <c r="E1241" i="22"/>
  <c r="J1241" i="22"/>
  <c r="K1241" i="22"/>
  <c r="B1242" i="22"/>
  <c r="D1242" i="22"/>
  <c r="E1242" i="22"/>
  <c r="K1242" i="22"/>
  <c r="J1242" i="22" s="1"/>
  <c r="B1243" i="22"/>
  <c r="D1243" i="22"/>
  <c r="E1243" i="22"/>
  <c r="K1243" i="22"/>
  <c r="J1243" i="22" s="1"/>
  <c r="B1244" i="22"/>
  <c r="D1244" i="22"/>
  <c r="E1244" i="22"/>
  <c r="J1244" i="22"/>
  <c r="K1244" i="22"/>
  <c r="B1245" i="22"/>
  <c r="D1245" i="22"/>
  <c r="E1245" i="22"/>
  <c r="K1245" i="22"/>
  <c r="J1245" i="22" s="1"/>
  <c r="B1246" i="22"/>
  <c r="D1246" i="22"/>
  <c r="E1246" i="22"/>
  <c r="J1246" i="22"/>
  <c r="K1246" i="22"/>
  <c r="B1247" i="22"/>
  <c r="D1247" i="22"/>
  <c r="E1247" i="22"/>
  <c r="J1247" i="22"/>
  <c r="K1247" i="22"/>
  <c r="J31" i="2"/>
  <c r="J97" i="2"/>
  <c r="B1062" i="22"/>
  <c r="D1062" i="22"/>
  <c r="E1062" i="22"/>
  <c r="B1063" i="22"/>
  <c r="D1063" i="22"/>
  <c r="E1063" i="22"/>
  <c r="B1064" i="22"/>
  <c r="D1064" i="22"/>
  <c r="E1064" i="22"/>
  <c r="B1065" i="22"/>
  <c r="D1065" i="22"/>
  <c r="E1065" i="22"/>
  <c r="B1066" i="22"/>
  <c r="D1066" i="22"/>
  <c r="E1066" i="22"/>
  <c r="B1067" i="22"/>
  <c r="D1067" i="22"/>
  <c r="E1067" i="22"/>
  <c r="B1068" i="22"/>
  <c r="D1068" i="22"/>
  <c r="E1068" i="22"/>
  <c r="B1069" i="22"/>
  <c r="D1069" i="22"/>
  <c r="E1069" i="22"/>
  <c r="K1069" i="22"/>
  <c r="J1069" i="22" s="1"/>
  <c r="B1070" i="22"/>
  <c r="D1070" i="22"/>
  <c r="E1070" i="22"/>
  <c r="B1071" i="22"/>
  <c r="D1071" i="22"/>
  <c r="E1071" i="22"/>
  <c r="B1072" i="22"/>
  <c r="D1072" i="22"/>
  <c r="E1072" i="22"/>
  <c r="B1073" i="22"/>
  <c r="D1073" i="22"/>
  <c r="E1073" i="22"/>
  <c r="B1074" i="22"/>
  <c r="D1074" i="22"/>
  <c r="E1074" i="22"/>
  <c r="B1075" i="22"/>
  <c r="D1075" i="22"/>
  <c r="E1075" i="22"/>
  <c r="B1076" i="22"/>
  <c r="D1076" i="22"/>
  <c r="E1076" i="22"/>
  <c r="B1077" i="22"/>
  <c r="D1077" i="22"/>
  <c r="E1077" i="22"/>
  <c r="B1078" i="22"/>
  <c r="D1078" i="22"/>
  <c r="E1078" i="22"/>
  <c r="K1078" i="22"/>
  <c r="J1078" i="22" s="1"/>
  <c r="B1079" i="22"/>
  <c r="D1079" i="22"/>
  <c r="E1079" i="22"/>
  <c r="B1080" i="22"/>
  <c r="D1080" i="22"/>
  <c r="E1080" i="22"/>
  <c r="B1081" i="22"/>
  <c r="D1081" i="22"/>
  <c r="E1081" i="22"/>
  <c r="B1082" i="22"/>
  <c r="D1082" i="22"/>
  <c r="E1082" i="22"/>
  <c r="B1083" i="22"/>
  <c r="D1083" i="22"/>
  <c r="E1083" i="22"/>
  <c r="B1084" i="22"/>
  <c r="D1084" i="22"/>
  <c r="E1084" i="22"/>
  <c r="B1085" i="22"/>
  <c r="D1085" i="22"/>
  <c r="E1085" i="22"/>
  <c r="B1086" i="22"/>
  <c r="D1086" i="22"/>
  <c r="E1086" i="22"/>
  <c r="K1086" i="22"/>
  <c r="J1086" i="22" s="1"/>
  <c r="B1087" i="22"/>
  <c r="D1087" i="22"/>
  <c r="E1087" i="22"/>
  <c r="B1088" i="22"/>
  <c r="D1088" i="22"/>
  <c r="E1088" i="22"/>
  <c r="B1089" i="22"/>
  <c r="D1089" i="22"/>
  <c r="E1089" i="22"/>
  <c r="B1090" i="22"/>
  <c r="D1090" i="22"/>
  <c r="E1090" i="22"/>
  <c r="B1091" i="22"/>
  <c r="D1091" i="22"/>
  <c r="E1091" i="22"/>
  <c r="B1092" i="22"/>
  <c r="D1092" i="22"/>
  <c r="E1092" i="22"/>
  <c r="B1093" i="22"/>
  <c r="D1093" i="22"/>
  <c r="E1093" i="22"/>
  <c r="B1094" i="22"/>
  <c r="D1094" i="22"/>
  <c r="E1094" i="22"/>
  <c r="B1095" i="22"/>
  <c r="D1095" i="22"/>
  <c r="E1095" i="22"/>
  <c r="B1096" i="22"/>
  <c r="D1096" i="22"/>
  <c r="E1096" i="22"/>
  <c r="B1097" i="22"/>
  <c r="D1097" i="22"/>
  <c r="E1097" i="22"/>
  <c r="B1098" i="22"/>
  <c r="D1098" i="22"/>
  <c r="E1098" i="22"/>
  <c r="B1099" i="22"/>
  <c r="D1099" i="22"/>
  <c r="E1099" i="22"/>
  <c r="B1100" i="22"/>
  <c r="D1100" i="22"/>
  <c r="E1100" i="22"/>
  <c r="B1101" i="22"/>
  <c r="D1101" i="22"/>
  <c r="E1101" i="22"/>
  <c r="B1102" i="22"/>
  <c r="D1102" i="22"/>
  <c r="E1102" i="22"/>
  <c r="B1103" i="22"/>
  <c r="D1103" i="22"/>
  <c r="E1103" i="22"/>
  <c r="B1104" i="22"/>
  <c r="D1104" i="22"/>
  <c r="E1104" i="22"/>
  <c r="B1105" i="22"/>
  <c r="D1105" i="22"/>
  <c r="E1105" i="22"/>
  <c r="K1105" i="22"/>
  <c r="J1105" i="22" s="1"/>
  <c r="B1106" i="22"/>
  <c r="D1106" i="22"/>
  <c r="E1106" i="22"/>
  <c r="B1107" i="22"/>
  <c r="D1107" i="22"/>
  <c r="E1107" i="22"/>
  <c r="B1108" i="22"/>
  <c r="D1108" i="22"/>
  <c r="E1108" i="22"/>
  <c r="B1109" i="22"/>
  <c r="D1109" i="22"/>
  <c r="E1109" i="22"/>
  <c r="B1110" i="22"/>
  <c r="D1110" i="22"/>
  <c r="E1110" i="22"/>
  <c r="B1111" i="22"/>
  <c r="D1111" i="22"/>
  <c r="E1111" i="22"/>
  <c r="B1112" i="22"/>
  <c r="D1112" i="22"/>
  <c r="E1112" i="22"/>
  <c r="B1113" i="22"/>
  <c r="D1113" i="22"/>
  <c r="E1113" i="22"/>
  <c r="B1114" i="22"/>
  <c r="D1114" i="22"/>
  <c r="E1114" i="22"/>
  <c r="B1115" i="22"/>
  <c r="D1115" i="22"/>
  <c r="E1115" i="22"/>
  <c r="B1116" i="22"/>
  <c r="D1116" i="22"/>
  <c r="E1116" i="22"/>
  <c r="B1117" i="22"/>
  <c r="D1117" i="22"/>
  <c r="E1117" i="22"/>
  <c r="B1118" i="22"/>
  <c r="D1118" i="22"/>
  <c r="E1118" i="22"/>
  <c r="B1119" i="22"/>
  <c r="D1119" i="22"/>
  <c r="E1119" i="22"/>
  <c r="B1120" i="22"/>
  <c r="D1120" i="22"/>
  <c r="E1120" i="22"/>
  <c r="B1121" i="22"/>
  <c r="D1121" i="22"/>
  <c r="E1121" i="22"/>
  <c r="B1122" i="22"/>
  <c r="D1122" i="22"/>
  <c r="E1122" i="22"/>
  <c r="B1123" i="22"/>
  <c r="D1123" i="22"/>
  <c r="E1123" i="22"/>
  <c r="K1123" i="22"/>
  <c r="J1123" i="22" s="1"/>
  <c r="B1124" i="22"/>
  <c r="D1124" i="22"/>
  <c r="E1124" i="22"/>
  <c r="B1125" i="22"/>
  <c r="D1125" i="22"/>
  <c r="E1125" i="22"/>
  <c r="B1126" i="22"/>
  <c r="D1126" i="22"/>
  <c r="E1126" i="22"/>
  <c r="B1127" i="22"/>
  <c r="D1127" i="22"/>
  <c r="E1127" i="22"/>
  <c r="B1128" i="22"/>
  <c r="D1128" i="22"/>
  <c r="E1128" i="22"/>
  <c r="B1129" i="22"/>
  <c r="D1129" i="22"/>
  <c r="E1129" i="22"/>
  <c r="B1130" i="22"/>
  <c r="D1130" i="22"/>
  <c r="E1130" i="22"/>
  <c r="B1131" i="22"/>
  <c r="D1131" i="22"/>
  <c r="E1131" i="22"/>
  <c r="B1132" i="22"/>
  <c r="D1132" i="22"/>
  <c r="E1132" i="22"/>
  <c r="B1133" i="22"/>
  <c r="D1133" i="22"/>
  <c r="E1133" i="22"/>
  <c r="B1134" i="22"/>
  <c r="D1134" i="22"/>
  <c r="E1134" i="22"/>
  <c r="B1135" i="22"/>
  <c r="D1135" i="22"/>
  <c r="E1135" i="22"/>
  <c r="B1136" i="22"/>
  <c r="D1136" i="22"/>
  <c r="E1136" i="22"/>
  <c r="B1137" i="22"/>
  <c r="D1137" i="22"/>
  <c r="E1137" i="22"/>
  <c r="B1138" i="22"/>
  <c r="D1138" i="22"/>
  <c r="E1138" i="22"/>
  <c r="B1139" i="22"/>
  <c r="D1139" i="22"/>
  <c r="E1139" i="22"/>
  <c r="B1140" i="22"/>
  <c r="D1140" i="22"/>
  <c r="E1140" i="22"/>
  <c r="B1141" i="22"/>
  <c r="D1141" i="22"/>
  <c r="E1141" i="22"/>
  <c r="B1142" i="22"/>
  <c r="D1142" i="22"/>
  <c r="E1142" i="22"/>
  <c r="B1143" i="22"/>
  <c r="D1143" i="22"/>
  <c r="E1143" i="22"/>
  <c r="B1144" i="22"/>
  <c r="D1144" i="22"/>
  <c r="E1144" i="22"/>
  <c r="B1145" i="22"/>
  <c r="D1145" i="22"/>
  <c r="E1145" i="22"/>
  <c r="K1145" i="22"/>
  <c r="J1145" i="22" s="1"/>
  <c r="B1146" i="22"/>
  <c r="D1146" i="22"/>
  <c r="E1146" i="22"/>
  <c r="B1147" i="22"/>
  <c r="D1147" i="22"/>
  <c r="E1147" i="22"/>
  <c r="B1148" i="22"/>
  <c r="D1148" i="22"/>
  <c r="E1148" i="22"/>
  <c r="B1149" i="22"/>
  <c r="D1149" i="22"/>
  <c r="E1149" i="22"/>
  <c r="B1150" i="22"/>
  <c r="D1150" i="22"/>
  <c r="E1150" i="22"/>
  <c r="B1151" i="22"/>
  <c r="D1151" i="22"/>
  <c r="E1151" i="22"/>
  <c r="B1152" i="22"/>
  <c r="D1152" i="22"/>
  <c r="E1152" i="22"/>
  <c r="B1153" i="22"/>
  <c r="D1153" i="22"/>
  <c r="E1153" i="22"/>
  <c r="B1154" i="22"/>
  <c r="D1154" i="22"/>
  <c r="E1154" i="22"/>
  <c r="B1155" i="22"/>
  <c r="D1155" i="22"/>
  <c r="E1155" i="22"/>
  <c r="B1156" i="22"/>
  <c r="D1156" i="22"/>
  <c r="E1156" i="22"/>
  <c r="K1156" i="22"/>
  <c r="J1156" i="22" s="1"/>
  <c r="B953" i="22"/>
  <c r="D953" i="22"/>
  <c r="E953" i="22"/>
  <c r="B954" i="22"/>
  <c r="D954" i="22"/>
  <c r="E954" i="22"/>
  <c r="B955" i="22"/>
  <c r="D955" i="22"/>
  <c r="E955" i="22"/>
  <c r="B956" i="22"/>
  <c r="D956" i="22"/>
  <c r="E956" i="22"/>
  <c r="B957" i="22"/>
  <c r="D957" i="22"/>
  <c r="E957" i="22"/>
  <c r="B958" i="22"/>
  <c r="D958" i="22"/>
  <c r="E958" i="22"/>
  <c r="B959" i="22"/>
  <c r="D959" i="22"/>
  <c r="E959" i="22"/>
  <c r="B960" i="22"/>
  <c r="D960" i="22"/>
  <c r="E960" i="22"/>
  <c r="B961" i="22"/>
  <c r="D961" i="22"/>
  <c r="E961" i="22"/>
  <c r="B962" i="22"/>
  <c r="D962" i="22"/>
  <c r="E962" i="22"/>
  <c r="B963" i="22"/>
  <c r="D963" i="22"/>
  <c r="E963" i="22"/>
  <c r="B964" i="22"/>
  <c r="D964" i="22"/>
  <c r="E964" i="22"/>
  <c r="K964" i="22"/>
  <c r="J964" i="22" s="1"/>
  <c r="B965" i="22"/>
  <c r="D965" i="22"/>
  <c r="E965" i="22"/>
  <c r="B966" i="22"/>
  <c r="D966" i="22"/>
  <c r="E966" i="22"/>
  <c r="B967" i="22"/>
  <c r="D967" i="22"/>
  <c r="E967" i="22"/>
  <c r="B968" i="22"/>
  <c r="D968" i="22"/>
  <c r="E968" i="22"/>
  <c r="B969" i="22"/>
  <c r="D969" i="22"/>
  <c r="E969" i="22"/>
  <c r="B970" i="22"/>
  <c r="D970" i="22"/>
  <c r="E970" i="22"/>
  <c r="B971" i="22"/>
  <c r="D971" i="22"/>
  <c r="E971" i="22"/>
  <c r="B972" i="22"/>
  <c r="D972" i="22"/>
  <c r="E972" i="22"/>
  <c r="B973" i="22"/>
  <c r="D973" i="22"/>
  <c r="E973" i="22"/>
  <c r="B974" i="22"/>
  <c r="D974" i="22"/>
  <c r="E974" i="22"/>
  <c r="B975" i="22"/>
  <c r="D975" i="22"/>
  <c r="E975" i="22"/>
  <c r="B976" i="22"/>
  <c r="D976" i="22"/>
  <c r="E976" i="22"/>
  <c r="B977" i="22"/>
  <c r="D977" i="22"/>
  <c r="E977" i="22"/>
  <c r="K977" i="22"/>
  <c r="J977" i="22" s="1"/>
  <c r="B978" i="22"/>
  <c r="D978" i="22"/>
  <c r="E978" i="22"/>
  <c r="K978" i="22"/>
  <c r="J978" i="22" s="1"/>
  <c r="B979" i="22"/>
  <c r="D979" i="22"/>
  <c r="E979" i="22"/>
  <c r="B980" i="22"/>
  <c r="D980" i="22"/>
  <c r="E980" i="22"/>
  <c r="B981" i="22"/>
  <c r="D981" i="22"/>
  <c r="E981" i="22"/>
  <c r="B982" i="22"/>
  <c r="D982" i="22"/>
  <c r="E982" i="22"/>
  <c r="B983" i="22"/>
  <c r="D983" i="22"/>
  <c r="E983" i="22"/>
  <c r="B984" i="22"/>
  <c r="D984" i="22"/>
  <c r="E984" i="22"/>
  <c r="B985" i="22"/>
  <c r="D985" i="22"/>
  <c r="E985" i="22"/>
  <c r="B986" i="22"/>
  <c r="D986" i="22"/>
  <c r="E986" i="22"/>
  <c r="B987" i="22"/>
  <c r="D987" i="22"/>
  <c r="E987" i="22"/>
  <c r="K987" i="22"/>
  <c r="J987" i="22" s="1"/>
  <c r="B988" i="22"/>
  <c r="D988" i="22"/>
  <c r="E988" i="22"/>
  <c r="B989" i="22"/>
  <c r="D989" i="22"/>
  <c r="E989" i="22"/>
  <c r="B990" i="22"/>
  <c r="D990" i="22"/>
  <c r="E990" i="22"/>
  <c r="B991" i="22"/>
  <c r="D991" i="22"/>
  <c r="E991" i="22"/>
  <c r="B992" i="22"/>
  <c r="D992" i="22"/>
  <c r="E992" i="22"/>
  <c r="B993" i="22"/>
  <c r="D993" i="22"/>
  <c r="E993" i="22"/>
  <c r="B994" i="22"/>
  <c r="D994" i="22"/>
  <c r="E994" i="22"/>
  <c r="B995" i="22"/>
  <c r="D995" i="22"/>
  <c r="E995" i="22"/>
  <c r="B996" i="22"/>
  <c r="D996" i="22"/>
  <c r="E996" i="22"/>
  <c r="B997" i="22"/>
  <c r="D997" i="22"/>
  <c r="E997" i="22"/>
  <c r="B998" i="22"/>
  <c r="D998" i="22"/>
  <c r="E998" i="22"/>
  <c r="B999" i="22"/>
  <c r="D999" i="22"/>
  <c r="E999" i="22"/>
  <c r="K999" i="22"/>
  <c r="J999" i="22" s="1"/>
  <c r="B1000" i="22"/>
  <c r="D1000" i="22"/>
  <c r="E1000" i="22"/>
  <c r="B1001" i="22"/>
  <c r="D1001" i="22"/>
  <c r="E1001" i="22"/>
  <c r="B1002" i="22"/>
  <c r="D1002" i="22"/>
  <c r="E1002" i="22"/>
  <c r="B1003" i="22"/>
  <c r="D1003" i="22"/>
  <c r="E1003" i="22"/>
  <c r="B1004" i="22"/>
  <c r="D1004" i="22"/>
  <c r="E1004" i="22"/>
  <c r="B1005" i="22"/>
  <c r="D1005" i="22"/>
  <c r="E1005" i="22"/>
  <c r="B1006" i="22"/>
  <c r="D1006" i="22"/>
  <c r="E1006" i="22"/>
  <c r="B1007" i="22"/>
  <c r="D1007" i="22"/>
  <c r="E1007" i="22"/>
  <c r="B1008" i="22"/>
  <c r="D1008" i="22"/>
  <c r="E1008" i="22"/>
  <c r="B1009" i="22"/>
  <c r="D1009" i="22"/>
  <c r="E1009" i="22"/>
  <c r="B1010" i="22"/>
  <c r="D1010" i="22"/>
  <c r="E1010" i="22"/>
  <c r="B1011" i="22"/>
  <c r="D1011" i="22"/>
  <c r="E1011" i="22"/>
  <c r="B1012" i="22"/>
  <c r="D1012" i="22"/>
  <c r="E1012" i="22"/>
  <c r="B1013" i="22"/>
  <c r="D1013" i="22"/>
  <c r="E1013" i="22"/>
  <c r="B1014" i="22"/>
  <c r="D1014" i="22"/>
  <c r="E1014" i="22"/>
  <c r="B1015" i="22"/>
  <c r="D1015" i="22"/>
  <c r="E1015" i="22"/>
  <c r="B1016" i="22"/>
  <c r="D1016" i="22"/>
  <c r="E1016" i="22"/>
  <c r="B1017" i="22"/>
  <c r="D1017" i="22"/>
  <c r="E1017" i="22"/>
  <c r="B1018" i="22"/>
  <c r="D1018" i="22"/>
  <c r="E1018" i="22"/>
  <c r="B1019" i="22"/>
  <c r="D1019" i="22"/>
  <c r="E1019" i="22"/>
  <c r="B1020" i="22"/>
  <c r="D1020" i="22"/>
  <c r="E1020" i="22"/>
  <c r="B1021" i="22"/>
  <c r="D1021" i="22"/>
  <c r="E1021" i="22"/>
  <c r="B1022" i="22"/>
  <c r="D1022" i="22"/>
  <c r="E1022" i="22"/>
  <c r="B1023" i="22"/>
  <c r="D1023" i="22"/>
  <c r="E1023" i="22"/>
  <c r="K1023" i="22"/>
  <c r="J1023" i="22" s="1"/>
  <c r="B1024" i="22"/>
  <c r="D1024" i="22"/>
  <c r="E1024" i="22"/>
  <c r="B1025" i="22"/>
  <c r="D1025" i="22"/>
  <c r="E1025" i="22"/>
  <c r="B1026" i="22"/>
  <c r="D1026" i="22"/>
  <c r="E1026" i="22"/>
  <c r="B1027" i="22"/>
  <c r="D1027" i="22"/>
  <c r="E1027" i="22"/>
  <c r="B1028" i="22"/>
  <c r="D1028" i="22"/>
  <c r="E1028" i="22"/>
  <c r="B1029" i="22"/>
  <c r="D1029" i="22"/>
  <c r="E1029" i="22"/>
  <c r="B1030" i="22"/>
  <c r="D1030" i="22"/>
  <c r="E1030" i="22"/>
  <c r="B1031" i="22"/>
  <c r="D1031" i="22"/>
  <c r="E1031" i="22"/>
  <c r="B1032" i="22"/>
  <c r="D1032" i="22"/>
  <c r="E1032" i="22"/>
  <c r="B1033" i="22"/>
  <c r="D1033" i="22"/>
  <c r="E1033" i="22"/>
  <c r="B1034" i="22"/>
  <c r="D1034" i="22"/>
  <c r="E1034" i="22"/>
  <c r="B1035" i="22"/>
  <c r="D1035" i="22"/>
  <c r="E1035" i="22"/>
  <c r="B1036" i="22"/>
  <c r="D1036" i="22"/>
  <c r="E1036" i="22"/>
  <c r="B1037" i="22"/>
  <c r="D1037" i="22"/>
  <c r="E1037" i="22"/>
  <c r="B1038" i="22"/>
  <c r="D1038" i="22"/>
  <c r="E1038" i="22"/>
  <c r="B1039" i="22"/>
  <c r="D1039" i="22"/>
  <c r="E1039" i="22"/>
  <c r="B1040" i="22"/>
  <c r="D1040" i="22"/>
  <c r="E1040" i="22"/>
  <c r="B1041" i="22"/>
  <c r="D1041" i="22"/>
  <c r="E1041" i="22"/>
  <c r="B1042" i="22"/>
  <c r="D1042" i="22"/>
  <c r="E1042" i="22"/>
  <c r="B1043" i="22"/>
  <c r="D1043" i="22"/>
  <c r="E1043" i="22"/>
  <c r="B1044" i="22"/>
  <c r="D1044" i="22"/>
  <c r="E1044" i="22"/>
  <c r="B1045" i="22"/>
  <c r="D1045" i="22"/>
  <c r="E1045" i="22"/>
  <c r="B1046" i="22"/>
  <c r="D1046" i="22"/>
  <c r="E1046" i="22"/>
  <c r="K1046" i="22"/>
  <c r="J1046" i="22" s="1"/>
  <c r="B1047" i="22"/>
  <c r="D1047" i="22"/>
  <c r="E1047" i="22"/>
  <c r="B1048" i="22"/>
  <c r="D1048" i="22"/>
  <c r="E1048" i="22"/>
  <c r="B1049" i="22"/>
  <c r="D1049" i="22"/>
  <c r="E1049" i="22"/>
  <c r="B1050" i="22"/>
  <c r="D1050" i="22"/>
  <c r="E1050" i="22"/>
  <c r="B1051" i="22"/>
  <c r="D1051" i="22"/>
  <c r="E1051" i="22"/>
  <c r="B1052" i="22"/>
  <c r="D1052" i="22"/>
  <c r="E1052" i="22"/>
  <c r="B1053" i="22"/>
  <c r="D1053" i="22"/>
  <c r="E1053" i="22"/>
  <c r="B1054" i="22"/>
  <c r="D1054" i="22"/>
  <c r="E1054" i="22"/>
  <c r="B1055" i="22"/>
  <c r="D1055" i="22"/>
  <c r="E1055" i="22"/>
  <c r="B1056" i="22"/>
  <c r="D1056" i="22"/>
  <c r="E1056" i="22"/>
  <c r="B1057" i="22"/>
  <c r="D1057" i="22"/>
  <c r="E1057" i="22"/>
  <c r="B1058" i="22"/>
  <c r="D1058" i="22"/>
  <c r="E1058" i="22"/>
  <c r="B1059" i="22"/>
  <c r="D1059" i="22"/>
  <c r="E1059" i="22"/>
  <c r="B1060" i="22"/>
  <c r="D1060" i="22"/>
  <c r="E1060" i="22"/>
  <c r="B1061" i="22"/>
  <c r="D1061" i="22"/>
  <c r="E1061" i="22"/>
  <c r="K1061" i="22"/>
  <c r="J1061" i="22" s="1"/>
  <c r="H21" i="23"/>
  <c r="H62" i="23"/>
  <c r="H14" i="23"/>
  <c r="H5" i="23"/>
  <c r="H6" i="23"/>
  <c r="H7" i="23"/>
  <c r="H8" i="23"/>
  <c r="H9" i="23"/>
  <c r="H10" i="23"/>
  <c r="H11" i="23"/>
  <c r="H12" i="23"/>
  <c r="H13" i="23"/>
  <c r="H15" i="23"/>
  <c r="H16" i="23"/>
  <c r="H17" i="23"/>
  <c r="H18" i="23"/>
  <c r="H19" i="23"/>
  <c r="H20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4" i="23"/>
  <c r="B876" i="22"/>
  <c r="D876" i="22"/>
  <c r="E876" i="22"/>
  <c r="B877" i="22"/>
  <c r="D877" i="22"/>
  <c r="E877" i="22"/>
  <c r="B878" i="22"/>
  <c r="D878" i="22"/>
  <c r="E878" i="22"/>
  <c r="B879" i="22"/>
  <c r="D879" i="22"/>
  <c r="E879" i="22"/>
  <c r="B880" i="22"/>
  <c r="D880" i="22"/>
  <c r="E880" i="22"/>
  <c r="B881" i="22"/>
  <c r="D881" i="22"/>
  <c r="E881" i="22"/>
  <c r="B882" i="22"/>
  <c r="D882" i="22"/>
  <c r="E882" i="22"/>
  <c r="B883" i="22"/>
  <c r="D883" i="22"/>
  <c r="E883" i="22"/>
  <c r="B884" i="22"/>
  <c r="D884" i="22"/>
  <c r="E884" i="22"/>
  <c r="B885" i="22"/>
  <c r="D885" i="22"/>
  <c r="E885" i="22"/>
  <c r="B886" i="22"/>
  <c r="D886" i="22"/>
  <c r="E886" i="22"/>
  <c r="K886" i="22"/>
  <c r="J886" i="22" s="1"/>
  <c r="B887" i="22"/>
  <c r="D887" i="22"/>
  <c r="E887" i="22"/>
  <c r="B888" i="22"/>
  <c r="D888" i="22"/>
  <c r="E888" i="22"/>
  <c r="B889" i="22"/>
  <c r="D889" i="22"/>
  <c r="E889" i="22"/>
  <c r="B890" i="22"/>
  <c r="D890" i="22"/>
  <c r="E890" i="22"/>
  <c r="B891" i="22"/>
  <c r="D891" i="22"/>
  <c r="E891" i="22"/>
  <c r="B892" i="22"/>
  <c r="D892" i="22"/>
  <c r="E892" i="22"/>
  <c r="B893" i="22"/>
  <c r="D893" i="22"/>
  <c r="E893" i="22"/>
  <c r="B894" i="22"/>
  <c r="D894" i="22"/>
  <c r="E894" i="22"/>
  <c r="K894" i="22"/>
  <c r="J894" i="22" s="1"/>
  <c r="B895" i="22"/>
  <c r="D895" i="22"/>
  <c r="E895" i="22"/>
  <c r="B896" i="22"/>
  <c r="D896" i="22"/>
  <c r="E896" i="22"/>
  <c r="B897" i="22"/>
  <c r="D897" i="22"/>
  <c r="E897" i="22"/>
  <c r="B898" i="22"/>
  <c r="D898" i="22"/>
  <c r="E898" i="22"/>
  <c r="B899" i="22"/>
  <c r="D899" i="22"/>
  <c r="E899" i="22"/>
  <c r="B900" i="22"/>
  <c r="D900" i="22"/>
  <c r="E900" i="22"/>
  <c r="B901" i="22"/>
  <c r="D901" i="22"/>
  <c r="E901" i="22"/>
  <c r="B902" i="22"/>
  <c r="D902" i="22"/>
  <c r="E902" i="22"/>
  <c r="B903" i="22"/>
  <c r="D903" i="22"/>
  <c r="E903" i="22"/>
  <c r="B904" i="22"/>
  <c r="D904" i="22"/>
  <c r="E904" i="22"/>
  <c r="B905" i="22"/>
  <c r="D905" i="22"/>
  <c r="E905" i="22"/>
  <c r="B906" i="22"/>
  <c r="D906" i="22"/>
  <c r="E906" i="22"/>
  <c r="B907" i="22"/>
  <c r="D907" i="22"/>
  <c r="E907" i="22"/>
  <c r="B908" i="22"/>
  <c r="D908" i="22"/>
  <c r="E908" i="22"/>
  <c r="B909" i="22"/>
  <c r="D909" i="22"/>
  <c r="E909" i="22"/>
  <c r="K909" i="22"/>
  <c r="J909" i="22" s="1"/>
  <c r="B910" i="22"/>
  <c r="D910" i="22"/>
  <c r="E910" i="22"/>
  <c r="B911" i="22"/>
  <c r="D911" i="22"/>
  <c r="E911" i="22"/>
  <c r="B912" i="22"/>
  <c r="D912" i="22"/>
  <c r="E912" i="22"/>
  <c r="B913" i="22"/>
  <c r="D913" i="22"/>
  <c r="E913" i="22"/>
  <c r="B914" i="22"/>
  <c r="D914" i="22"/>
  <c r="E914" i="22"/>
  <c r="B915" i="22"/>
  <c r="D915" i="22"/>
  <c r="E915" i="22"/>
  <c r="B916" i="22"/>
  <c r="D916" i="22"/>
  <c r="E916" i="22"/>
  <c r="B917" i="22"/>
  <c r="D917" i="22"/>
  <c r="E917" i="22"/>
  <c r="K917" i="22"/>
  <c r="J917" i="22" s="1"/>
  <c r="B918" i="22"/>
  <c r="D918" i="22"/>
  <c r="E918" i="22"/>
  <c r="B919" i="22"/>
  <c r="D919" i="22"/>
  <c r="E919" i="22"/>
  <c r="B920" i="22"/>
  <c r="D920" i="22"/>
  <c r="E920" i="22"/>
  <c r="B921" i="22"/>
  <c r="D921" i="22"/>
  <c r="E921" i="22"/>
  <c r="K921" i="22"/>
  <c r="J921" i="22" s="1"/>
  <c r="B922" i="22"/>
  <c r="D922" i="22"/>
  <c r="E922" i="22"/>
  <c r="B923" i="22"/>
  <c r="D923" i="22"/>
  <c r="E923" i="22"/>
  <c r="B924" i="22"/>
  <c r="D924" i="22"/>
  <c r="E924" i="22"/>
  <c r="B925" i="22"/>
  <c r="D925" i="22"/>
  <c r="E925" i="22"/>
  <c r="B926" i="22"/>
  <c r="D926" i="22"/>
  <c r="E926" i="22"/>
  <c r="B927" i="22"/>
  <c r="D927" i="22"/>
  <c r="E927" i="22"/>
  <c r="B928" i="22"/>
  <c r="D928" i="22"/>
  <c r="E928" i="22"/>
  <c r="B929" i="22"/>
  <c r="D929" i="22"/>
  <c r="E929" i="22"/>
  <c r="B930" i="22"/>
  <c r="D930" i="22"/>
  <c r="E930" i="22"/>
  <c r="B931" i="22"/>
  <c r="D931" i="22"/>
  <c r="E931" i="22"/>
  <c r="K931" i="22"/>
  <c r="J931" i="22" s="1"/>
  <c r="B932" i="22"/>
  <c r="D932" i="22"/>
  <c r="E932" i="22"/>
  <c r="B933" i="22"/>
  <c r="D933" i="22"/>
  <c r="E933" i="22"/>
  <c r="B934" i="22"/>
  <c r="D934" i="22"/>
  <c r="E934" i="22"/>
  <c r="B935" i="22"/>
  <c r="D935" i="22"/>
  <c r="E935" i="22"/>
  <c r="B936" i="22"/>
  <c r="D936" i="22"/>
  <c r="E936" i="22"/>
  <c r="B937" i="22"/>
  <c r="D937" i="22"/>
  <c r="E937" i="22"/>
  <c r="B938" i="22"/>
  <c r="D938" i="22"/>
  <c r="E938" i="22"/>
  <c r="B939" i="22"/>
  <c r="D939" i="22"/>
  <c r="E939" i="22"/>
  <c r="B940" i="22"/>
  <c r="D940" i="22"/>
  <c r="E940" i="22"/>
  <c r="B941" i="22"/>
  <c r="D941" i="22"/>
  <c r="E941" i="22"/>
  <c r="B942" i="22"/>
  <c r="D942" i="22"/>
  <c r="E942" i="22"/>
  <c r="B943" i="22"/>
  <c r="D943" i="22"/>
  <c r="E943" i="22"/>
  <c r="K943" i="22"/>
  <c r="J943" i="22" s="1"/>
  <c r="B944" i="22"/>
  <c r="D944" i="22"/>
  <c r="E944" i="22"/>
  <c r="K944" i="22"/>
  <c r="J944" i="22" s="1"/>
  <c r="B945" i="22"/>
  <c r="D945" i="22"/>
  <c r="E945" i="22"/>
  <c r="B946" i="22"/>
  <c r="D946" i="22"/>
  <c r="E946" i="22"/>
  <c r="B947" i="22"/>
  <c r="D947" i="22"/>
  <c r="E947" i="22"/>
  <c r="B948" i="22"/>
  <c r="D948" i="22"/>
  <c r="E948" i="22"/>
  <c r="B949" i="22"/>
  <c r="D949" i="22"/>
  <c r="E949" i="22"/>
  <c r="B950" i="22"/>
  <c r="D950" i="22"/>
  <c r="E950" i="22"/>
  <c r="B951" i="22"/>
  <c r="D951" i="22"/>
  <c r="E951" i="22"/>
  <c r="B952" i="22"/>
  <c r="D952" i="22"/>
  <c r="E952" i="22"/>
  <c r="K952" i="22"/>
  <c r="J952" i="22" s="1"/>
  <c r="E875" i="22"/>
  <c r="D875" i="22"/>
  <c r="B875" i="22"/>
  <c r="B799" i="22"/>
  <c r="D799" i="22"/>
  <c r="E799" i="22"/>
  <c r="B800" i="22"/>
  <c r="D800" i="22"/>
  <c r="E800" i="22"/>
  <c r="B801" i="22"/>
  <c r="D801" i="22"/>
  <c r="E801" i="22"/>
  <c r="B802" i="22"/>
  <c r="D802" i="22"/>
  <c r="E802" i="22"/>
  <c r="B803" i="22"/>
  <c r="D803" i="22"/>
  <c r="E803" i="22"/>
  <c r="B804" i="22"/>
  <c r="D804" i="22"/>
  <c r="E804" i="22"/>
  <c r="B805" i="22"/>
  <c r="D805" i="22"/>
  <c r="E805" i="22"/>
  <c r="B806" i="22"/>
  <c r="D806" i="22"/>
  <c r="E806" i="22"/>
  <c r="B807" i="22"/>
  <c r="D807" i="22"/>
  <c r="E807" i="22"/>
  <c r="B808" i="22"/>
  <c r="D808" i="22"/>
  <c r="E808" i="22"/>
  <c r="K808" i="22"/>
  <c r="J808" i="22" s="1"/>
  <c r="B809" i="22"/>
  <c r="D809" i="22"/>
  <c r="E809" i="22"/>
  <c r="K809" i="22"/>
  <c r="J809" i="22" s="1"/>
  <c r="B810" i="22"/>
  <c r="D810" i="22"/>
  <c r="E810" i="22"/>
  <c r="B811" i="22"/>
  <c r="D811" i="22"/>
  <c r="E811" i="22"/>
  <c r="B812" i="22"/>
  <c r="D812" i="22"/>
  <c r="E812" i="22"/>
  <c r="B813" i="22"/>
  <c r="D813" i="22"/>
  <c r="E813" i="22"/>
  <c r="B814" i="22"/>
  <c r="D814" i="22"/>
  <c r="E814" i="22"/>
  <c r="B815" i="22"/>
  <c r="D815" i="22"/>
  <c r="E815" i="22"/>
  <c r="B816" i="22"/>
  <c r="D816" i="22"/>
  <c r="E816" i="22"/>
  <c r="B817" i="22"/>
  <c r="D817" i="22"/>
  <c r="E817" i="22"/>
  <c r="B818" i="22"/>
  <c r="D818" i="22"/>
  <c r="E818" i="22"/>
  <c r="K818" i="22"/>
  <c r="J818" i="22" s="1"/>
  <c r="B819" i="22"/>
  <c r="D819" i="22"/>
  <c r="E819" i="22"/>
  <c r="B820" i="22"/>
  <c r="D820" i="22"/>
  <c r="E820" i="22"/>
  <c r="B821" i="22"/>
  <c r="D821" i="22"/>
  <c r="E821" i="22"/>
  <c r="B822" i="22"/>
  <c r="D822" i="22"/>
  <c r="E822" i="22"/>
  <c r="B823" i="22"/>
  <c r="D823" i="22"/>
  <c r="E823" i="22"/>
  <c r="B824" i="22"/>
  <c r="D824" i="22"/>
  <c r="E824" i="22"/>
  <c r="B825" i="22"/>
  <c r="D825" i="22"/>
  <c r="E825" i="22"/>
  <c r="K825" i="22"/>
  <c r="J825" i="22" s="1"/>
  <c r="B826" i="22"/>
  <c r="D826" i="22"/>
  <c r="E826" i="22"/>
  <c r="B827" i="22"/>
  <c r="D827" i="22"/>
  <c r="E827" i="22"/>
  <c r="B828" i="22"/>
  <c r="D828" i="22"/>
  <c r="E828" i="22"/>
  <c r="B829" i="22"/>
  <c r="D829" i="22"/>
  <c r="E829" i="22"/>
  <c r="B830" i="22"/>
  <c r="D830" i="22"/>
  <c r="E830" i="22"/>
  <c r="B831" i="22"/>
  <c r="D831" i="22"/>
  <c r="E831" i="22"/>
  <c r="B832" i="22"/>
  <c r="D832" i="22"/>
  <c r="E832" i="22"/>
  <c r="B833" i="22"/>
  <c r="D833" i="22"/>
  <c r="E833" i="22"/>
  <c r="B834" i="22"/>
  <c r="D834" i="22"/>
  <c r="E834" i="22"/>
  <c r="B835" i="22"/>
  <c r="D835" i="22"/>
  <c r="E835" i="22"/>
  <c r="K835" i="22"/>
  <c r="J835" i="22" s="1"/>
  <c r="B836" i="22"/>
  <c r="D836" i="22"/>
  <c r="E836" i="22"/>
  <c r="K836" i="22"/>
  <c r="J836" i="22" s="1"/>
  <c r="B837" i="22"/>
  <c r="D837" i="22"/>
  <c r="E837" i="22"/>
  <c r="K837" i="22"/>
  <c r="J837" i="22" s="1"/>
  <c r="B838" i="22"/>
  <c r="D838" i="22"/>
  <c r="E838" i="22"/>
  <c r="B839" i="22"/>
  <c r="D839" i="22"/>
  <c r="E839" i="22"/>
  <c r="B840" i="22"/>
  <c r="D840" i="22"/>
  <c r="E840" i="22"/>
  <c r="B841" i="22"/>
  <c r="D841" i="22"/>
  <c r="E841" i="22"/>
  <c r="K841" i="22"/>
  <c r="J841" i="22" s="1"/>
  <c r="B842" i="22"/>
  <c r="D842" i="22"/>
  <c r="E842" i="22"/>
  <c r="B843" i="22"/>
  <c r="D843" i="22"/>
  <c r="E843" i="22"/>
  <c r="B844" i="22"/>
  <c r="D844" i="22"/>
  <c r="E844" i="22"/>
  <c r="B845" i="22"/>
  <c r="D845" i="22"/>
  <c r="E845" i="22"/>
  <c r="B846" i="22"/>
  <c r="D846" i="22"/>
  <c r="E846" i="22"/>
  <c r="K846" i="22"/>
  <c r="J846" i="22" s="1"/>
  <c r="B847" i="22"/>
  <c r="D847" i="22"/>
  <c r="E847" i="22"/>
  <c r="B848" i="22"/>
  <c r="D848" i="22"/>
  <c r="E848" i="22"/>
  <c r="B849" i="22"/>
  <c r="D849" i="22"/>
  <c r="E849" i="22"/>
  <c r="B850" i="22"/>
  <c r="D850" i="22"/>
  <c r="E850" i="22"/>
  <c r="K850" i="22"/>
  <c r="J850" i="22" s="1"/>
  <c r="B851" i="22"/>
  <c r="D851" i="22"/>
  <c r="E851" i="22"/>
  <c r="B852" i="22"/>
  <c r="D852" i="22"/>
  <c r="E852" i="22"/>
  <c r="B853" i="22"/>
  <c r="D853" i="22"/>
  <c r="E853" i="22"/>
  <c r="B854" i="22"/>
  <c r="D854" i="22"/>
  <c r="E854" i="22"/>
  <c r="B855" i="22"/>
  <c r="D855" i="22"/>
  <c r="E855" i="22"/>
  <c r="B856" i="22"/>
  <c r="D856" i="22"/>
  <c r="E856" i="22"/>
  <c r="B857" i="22"/>
  <c r="D857" i="22"/>
  <c r="E857" i="22"/>
  <c r="K857" i="22"/>
  <c r="J857" i="22" s="1"/>
  <c r="B858" i="22"/>
  <c r="D858" i="22"/>
  <c r="E858" i="22"/>
  <c r="B859" i="22"/>
  <c r="D859" i="22"/>
  <c r="E859" i="22"/>
  <c r="B860" i="22"/>
  <c r="D860" i="22"/>
  <c r="E860" i="22"/>
  <c r="B861" i="22"/>
  <c r="D861" i="22"/>
  <c r="E861" i="22"/>
  <c r="B862" i="22"/>
  <c r="D862" i="22"/>
  <c r="E862" i="22"/>
  <c r="B863" i="22"/>
  <c r="D863" i="22"/>
  <c r="E863" i="22"/>
  <c r="B864" i="22"/>
  <c r="D864" i="22"/>
  <c r="E864" i="22"/>
  <c r="B865" i="22"/>
  <c r="D865" i="22"/>
  <c r="E865" i="22"/>
  <c r="B866" i="22"/>
  <c r="D866" i="22"/>
  <c r="E866" i="22"/>
  <c r="B867" i="22"/>
  <c r="D867" i="22"/>
  <c r="E867" i="22"/>
  <c r="B868" i="22"/>
  <c r="D868" i="22"/>
  <c r="E868" i="22"/>
  <c r="B869" i="22"/>
  <c r="D869" i="22"/>
  <c r="E869" i="22"/>
  <c r="B870" i="22"/>
  <c r="D870" i="22"/>
  <c r="E870" i="22"/>
  <c r="B871" i="22"/>
  <c r="D871" i="22"/>
  <c r="E871" i="22"/>
  <c r="B872" i="22"/>
  <c r="D872" i="22"/>
  <c r="E872" i="22"/>
  <c r="K872" i="22"/>
  <c r="J872" i="22" s="1"/>
  <c r="B873" i="22"/>
  <c r="D873" i="22"/>
  <c r="E873" i="22"/>
  <c r="K873" i="22"/>
  <c r="J873" i="22" s="1"/>
  <c r="B874" i="22"/>
  <c r="D874" i="22"/>
  <c r="E874" i="22"/>
  <c r="K874" i="22"/>
  <c r="J874" i="22" s="1"/>
  <c r="J71" i="2"/>
  <c r="K853" i="22" s="1"/>
  <c r="J853" i="22" s="1"/>
  <c r="J22" i="2"/>
  <c r="K829" i="22" s="1"/>
  <c r="J829" i="22" s="1"/>
  <c r="J20" i="2"/>
  <c r="K806" i="22" s="1"/>
  <c r="J806" i="22" s="1"/>
  <c r="J19" i="2"/>
  <c r="K819" i="22" s="1"/>
  <c r="J819" i="22" s="1"/>
  <c r="B714" i="22"/>
  <c r="D714" i="22"/>
  <c r="E714" i="22"/>
  <c r="B715" i="22"/>
  <c r="D715" i="22"/>
  <c r="E715" i="22"/>
  <c r="B716" i="22"/>
  <c r="D716" i="22"/>
  <c r="E716" i="22"/>
  <c r="B717" i="22"/>
  <c r="D717" i="22"/>
  <c r="E717" i="22"/>
  <c r="B718" i="22"/>
  <c r="D718" i="22"/>
  <c r="E718" i="22"/>
  <c r="B719" i="22"/>
  <c r="D719" i="22"/>
  <c r="E719" i="22"/>
  <c r="B720" i="22"/>
  <c r="D720" i="22"/>
  <c r="E720" i="22"/>
  <c r="B721" i="22"/>
  <c r="D721" i="22"/>
  <c r="E721" i="22"/>
  <c r="K721" i="22"/>
  <c r="J721" i="22" s="1"/>
  <c r="B722" i="22"/>
  <c r="D722" i="22"/>
  <c r="E722" i="22"/>
  <c r="B723" i="22"/>
  <c r="D723" i="22"/>
  <c r="E723" i="22"/>
  <c r="B724" i="22"/>
  <c r="D724" i="22"/>
  <c r="E724" i="22"/>
  <c r="B725" i="22"/>
  <c r="D725" i="22"/>
  <c r="E725" i="22"/>
  <c r="B726" i="22"/>
  <c r="D726" i="22"/>
  <c r="E726" i="22"/>
  <c r="B727" i="22"/>
  <c r="D727" i="22"/>
  <c r="E727" i="22"/>
  <c r="B728" i="22"/>
  <c r="D728" i="22"/>
  <c r="E728" i="22"/>
  <c r="B729" i="22"/>
  <c r="D729" i="22"/>
  <c r="E729" i="22"/>
  <c r="B730" i="22"/>
  <c r="D730" i="22"/>
  <c r="E730" i="22"/>
  <c r="K730" i="22"/>
  <c r="J730" i="22" s="1"/>
  <c r="B731" i="22"/>
  <c r="D731" i="22"/>
  <c r="E731" i="22"/>
  <c r="B732" i="22"/>
  <c r="D732" i="22"/>
  <c r="E732" i="22"/>
  <c r="B733" i="22"/>
  <c r="D733" i="22"/>
  <c r="E733" i="22"/>
  <c r="B734" i="22"/>
  <c r="D734" i="22"/>
  <c r="E734" i="22"/>
  <c r="B735" i="22"/>
  <c r="D735" i="22"/>
  <c r="E735" i="22"/>
  <c r="K735" i="22"/>
  <c r="J735" i="22" s="1"/>
  <c r="B736" i="22"/>
  <c r="D736" i="22"/>
  <c r="E736" i="22"/>
  <c r="B737" i="22"/>
  <c r="D737" i="22"/>
  <c r="E737" i="22"/>
  <c r="B738" i="22"/>
  <c r="D738" i="22"/>
  <c r="E738" i="22"/>
  <c r="B739" i="22"/>
  <c r="D739" i="22"/>
  <c r="E739" i="22"/>
  <c r="B740" i="22"/>
  <c r="D740" i="22"/>
  <c r="E740" i="22"/>
  <c r="K740" i="22"/>
  <c r="J740" i="22" s="1"/>
  <c r="B741" i="22"/>
  <c r="D741" i="22"/>
  <c r="E741" i="22"/>
  <c r="B742" i="22"/>
  <c r="D742" i="22"/>
  <c r="E742" i="22"/>
  <c r="B743" i="22"/>
  <c r="D743" i="22"/>
  <c r="E743" i="22"/>
  <c r="B744" i="22"/>
  <c r="D744" i="22"/>
  <c r="E744" i="22"/>
  <c r="B745" i="22"/>
  <c r="D745" i="22"/>
  <c r="E745" i="22"/>
  <c r="B746" i="22"/>
  <c r="D746" i="22"/>
  <c r="E746" i="22"/>
  <c r="B747" i="22"/>
  <c r="D747" i="22"/>
  <c r="E747" i="22"/>
  <c r="B748" i="22"/>
  <c r="D748" i="22"/>
  <c r="E748" i="22"/>
  <c r="K748" i="22"/>
  <c r="J748" i="22" s="1"/>
  <c r="B749" i="22"/>
  <c r="D749" i="22"/>
  <c r="E749" i="22"/>
  <c r="B750" i="22"/>
  <c r="D750" i="22"/>
  <c r="E750" i="22"/>
  <c r="K750" i="22"/>
  <c r="J750" i="22" s="1"/>
  <c r="B751" i="22"/>
  <c r="D751" i="22"/>
  <c r="E751" i="22"/>
  <c r="B752" i="22"/>
  <c r="D752" i="22"/>
  <c r="E752" i="22"/>
  <c r="B753" i="22"/>
  <c r="D753" i="22"/>
  <c r="E753" i="22"/>
  <c r="B754" i="22"/>
  <c r="D754" i="22"/>
  <c r="E754" i="22"/>
  <c r="B755" i="22"/>
  <c r="D755" i="22"/>
  <c r="E755" i="22"/>
  <c r="B756" i="22"/>
  <c r="D756" i="22"/>
  <c r="E756" i="22"/>
  <c r="B757" i="22"/>
  <c r="D757" i="22"/>
  <c r="E757" i="22"/>
  <c r="B758" i="22"/>
  <c r="D758" i="22"/>
  <c r="E758" i="22"/>
  <c r="B759" i="22"/>
  <c r="D759" i="22"/>
  <c r="E759" i="22"/>
  <c r="B760" i="22"/>
  <c r="D760" i="22"/>
  <c r="E760" i="22"/>
  <c r="B761" i="22"/>
  <c r="D761" i="22"/>
  <c r="E761" i="22"/>
  <c r="B762" i="22"/>
  <c r="D762" i="22"/>
  <c r="E762" i="22"/>
  <c r="K762" i="22"/>
  <c r="J762" i="22" s="1"/>
  <c r="B763" i="22"/>
  <c r="D763" i="22"/>
  <c r="E763" i="22"/>
  <c r="B764" i="22"/>
  <c r="D764" i="22"/>
  <c r="E764" i="22"/>
  <c r="B765" i="22"/>
  <c r="D765" i="22"/>
  <c r="E765" i="22"/>
  <c r="B766" i="22"/>
  <c r="D766" i="22"/>
  <c r="E766" i="22"/>
  <c r="B767" i="22"/>
  <c r="D767" i="22"/>
  <c r="E767" i="22"/>
  <c r="B768" i="22"/>
  <c r="D768" i="22"/>
  <c r="E768" i="22"/>
  <c r="B769" i="22"/>
  <c r="D769" i="22"/>
  <c r="E769" i="22"/>
  <c r="K769" i="22"/>
  <c r="J769" i="22" s="1"/>
  <c r="B770" i="22"/>
  <c r="D770" i="22"/>
  <c r="E770" i="22"/>
  <c r="B771" i="22"/>
  <c r="D771" i="22"/>
  <c r="E771" i="22"/>
  <c r="B772" i="22"/>
  <c r="D772" i="22"/>
  <c r="E772" i="22"/>
  <c r="B773" i="22"/>
  <c r="D773" i="22"/>
  <c r="E773" i="22"/>
  <c r="B774" i="22"/>
  <c r="D774" i="22"/>
  <c r="E774" i="22"/>
  <c r="B775" i="22"/>
  <c r="D775" i="22"/>
  <c r="E775" i="22"/>
  <c r="B776" i="22"/>
  <c r="D776" i="22"/>
  <c r="E776" i="22"/>
  <c r="K776" i="22"/>
  <c r="J776" i="22" s="1"/>
  <c r="B777" i="22"/>
  <c r="D777" i="22"/>
  <c r="E777" i="22"/>
  <c r="B778" i="22"/>
  <c r="D778" i="22"/>
  <c r="E778" i="22"/>
  <c r="B779" i="22"/>
  <c r="D779" i="22"/>
  <c r="E779" i="22"/>
  <c r="B780" i="22"/>
  <c r="D780" i="22"/>
  <c r="E780" i="22"/>
  <c r="B781" i="22"/>
  <c r="D781" i="22"/>
  <c r="E781" i="22"/>
  <c r="B782" i="22"/>
  <c r="D782" i="22"/>
  <c r="E782" i="22"/>
  <c r="K782" i="22"/>
  <c r="J782" i="22" s="1"/>
  <c r="B783" i="22"/>
  <c r="D783" i="22"/>
  <c r="E783" i="22"/>
  <c r="B784" i="22"/>
  <c r="D784" i="22"/>
  <c r="E784" i="22"/>
  <c r="B785" i="22"/>
  <c r="D785" i="22"/>
  <c r="E785" i="22"/>
  <c r="B786" i="22"/>
  <c r="D786" i="22"/>
  <c r="E786" i="22"/>
  <c r="B787" i="22"/>
  <c r="D787" i="22"/>
  <c r="E787" i="22"/>
  <c r="B788" i="22"/>
  <c r="D788" i="22"/>
  <c r="E788" i="22"/>
  <c r="B789" i="22"/>
  <c r="D789" i="22"/>
  <c r="E789" i="22"/>
  <c r="B790" i="22"/>
  <c r="D790" i="22"/>
  <c r="E790" i="22"/>
  <c r="B791" i="22"/>
  <c r="D791" i="22"/>
  <c r="E791" i="22"/>
  <c r="B792" i="22"/>
  <c r="D792" i="22"/>
  <c r="E792" i="22"/>
  <c r="K792" i="22"/>
  <c r="J792" i="22" s="1"/>
  <c r="B793" i="22"/>
  <c r="D793" i="22"/>
  <c r="E793" i="22"/>
  <c r="K793" i="22"/>
  <c r="J793" i="22" s="1"/>
  <c r="B794" i="22"/>
  <c r="D794" i="22"/>
  <c r="E794" i="22"/>
  <c r="B795" i="22"/>
  <c r="D795" i="22"/>
  <c r="E795" i="22"/>
  <c r="B796" i="22"/>
  <c r="E796" i="22"/>
  <c r="K796" i="22"/>
  <c r="B797" i="22"/>
  <c r="D797" i="22"/>
  <c r="E797" i="22"/>
  <c r="B798" i="22"/>
  <c r="D798" i="22"/>
  <c r="K798" i="22"/>
  <c r="J798" i="22" s="1"/>
  <c r="B74" i="16"/>
  <c r="D74" i="16"/>
  <c r="E74" i="16"/>
  <c r="K74" i="16"/>
  <c r="J74" i="16" s="1"/>
  <c r="B75" i="16"/>
  <c r="D75" i="16"/>
  <c r="E75" i="16"/>
  <c r="K75" i="16"/>
  <c r="J75" i="16" s="1"/>
  <c r="B76" i="16"/>
  <c r="D76" i="16"/>
  <c r="E76" i="16"/>
  <c r="K76" i="16"/>
  <c r="J76" i="16" s="1"/>
  <c r="B77" i="16"/>
  <c r="D77" i="16"/>
  <c r="E77" i="16"/>
  <c r="K77" i="16"/>
  <c r="J77" i="16" s="1"/>
  <c r="B78" i="16"/>
  <c r="D78" i="16"/>
  <c r="E78" i="16"/>
  <c r="K78" i="16"/>
  <c r="J78" i="16" s="1"/>
  <c r="B79" i="16"/>
  <c r="D79" i="16"/>
  <c r="E79" i="16"/>
  <c r="K79" i="16"/>
  <c r="J79" i="16" s="1"/>
  <c r="B80" i="16"/>
  <c r="D80" i="16"/>
  <c r="E80" i="16"/>
  <c r="K80" i="16"/>
  <c r="J80" i="16" s="1"/>
  <c r="B81" i="16"/>
  <c r="D81" i="16"/>
  <c r="E81" i="16"/>
  <c r="K81" i="16"/>
  <c r="J81" i="16" s="1"/>
  <c r="B82" i="16"/>
  <c r="D82" i="16"/>
  <c r="E82" i="16"/>
  <c r="K82" i="16"/>
  <c r="J82" i="16" s="1"/>
  <c r="B83" i="16"/>
  <c r="D83" i="16"/>
  <c r="E83" i="16"/>
  <c r="K83" i="16"/>
  <c r="J83" i="16" s="1"/>
  <c r="B84" i="16"/>
  <c r="D84" i="16"/>
  <c r="E84" i="16"/>
  <c r="K84" i="16"/>
  <c r="J84" i="16" s="1"/>
  <c r="B85" i="16"/>
  <c r="D85" i="16"/>
  <c r="E85" i="16"/>
  <c r="K85" i="16"/>
  <c r="J85" i="16" s="1"/>
  <c r="B86" i="16"/>
  <c r="D86" i="16"/>
  <c r="E86" i="16"/>
  <c r="K86" i="16"/>
  <c r="J86" i="16" s="1"/>
  <c r="B87" i="16"/>
  <c r="D87" i="16"/>
  <c r="E87" i="16"/>
  <c r="K87" i="16"/>
  <c r="J87" i="16" s="1"/>
  <c r="B88" i="16"/>
  <c r="D88" i="16"/>
  <c r="E88" i="16"/>
  <c r="K88" i="16"/>
  <c r="J88" i="16" s="1"/>
  <c r="B89" i="16"/>
  <c r="D89" i="16"/>
  <c r="E89" i="16"/>
  <c r="K89" i="16"/>
  <c r="J89" i="16" s="1"/>
  <c r="B90" i="16"/>
  <c r="D90" i="16"/>
  <c r="E90" i="16"/>
  <c r="K90" i="16"/>
  <c r="J90" i="16" s="1"/>
  <c r="B91" i="16"/>
  <c r="D91" i="16"/>
  <c r="E91" i="16"/>
  <c r="K91" i="16"/>
  <c r="J91" i="16" s="1"/>
  <c r="B92" i="16"/>
  <c r="D92" i="16"/>
  <c r="E92" i="16"/>
  <c r="K92" i="16"/>
  <c r="J92" i="16" s="1"/>
  <c r="B93" i="16"/>
  <c r="D93" i="16"/>
  <c r="E93" i="16"/>
  <c r="K93" i="16"/>
  <c r="J93" i="16" s="1"/>
  <c r="B94" i="16"/>
  <c r="D94" i="16"/>
  <c r="E94" i="16"/>
  <c r="K94" i="16"/>
  <c r="J94" i="16" s="1"/>
  <c r="B95" i="16"/>
  <c r="D95" i="16"/>
  <c r="E95" i="16"/>
  <c r="K95" i="16"/>
  <c r="J95" i="16" s="1"/>
  <c r="B96" i="16"/>
  <c r="D96" i="16"/>
  <c r="E96" i="16"/>
  <c r="K96" i="16"/>
  <c r="J96" i="16" s="1"/>
  <c r="B97" i="16"/>
  <c r="D97" i="16"/>
  <c r="E97" i="16"/>
  <c r="K97" i="16"/>
  <c r="J97" i="16" s="1"/>
  <c r="B98" i="16"/>
  <c r="D98" i="16"/>
  <c r="E98" i="16"/>
  <c r="K98" i="16"/>
  <c r="J98" i="16" s="1"/>
  <c r="B99" i="16"/>
  <c r="D99" i="16"/>
  <c r="E99" i="16"/>
  <c r="K99" i="16"/>
  <c r="J99" i="16" s="1"/>
  <c r="B100" i="16"/>
  <c r="D100" i="16"/>
  <c r="E100" i="16"/>
  <c r="K100" i="16"/>
  <c r="J100" i="16" s="1"/>
  <c r="B101" i="16"/>
  <c r="D101" i="16"/>
  <c r="E101" i="16"/>
  <c r="K101" i="16"/>
  <c r="J101" i="16" s="1"/>
  <c r="B102" i="16"/>
  <c r="D102" i="16"/>
  <c r="E102" i="16"/>
  <c r="K102" i="16"/>
  <c r="J102" i="16" s="1"/>
  <c r="B103" i="16"/>
  <c r="D103" i="16"/>
  <c r="E103" i="16"/>
  <c r="K103" i="16"/>
  <c r="J103" i="16" s="1"/>
  <c r="B104" i="16"/>
  <c r="D104" i="16"/>
  <c r="E104" i="16"/>
  <c r="K104" i="16"/>
  <c r="J104" i="16" s="1"/>
  <c r="B105" i="16"/>
  <c r="D105" i="16"/>
  <c r="E105" i="16"/>
  <c r="K105" i="16"/>
  <c r="J105" i="16" s="1"/>
  <c r="B106" i="16"/>
  <c r="D106" i="16"/>
  <c r="E106" i="16"/>
  <c r="K106" i="16"/>
  <c r="J106" i="16" s="1"/>
  <c r="B107" i="16"/>
  <c r="D107" i="16"/>
  <c r="E107" i="16"/>
  <c r="K107" i="16"/>
  <c r="J107" i="16" s="1"/>
  <c r="B108" i="16"/>
  <c r="D108" i="16"/>
  <c r="E108" i="16"/>
  <c r="K108" i="16"/>
  <c r="J108" i="16" s="1"/>
  <c r="B109" i="16"/>
  <c r="D109" i="16"/>
  <c r="E109" i="16"/>
  <c r="K109" i="16"/>
  <c r="J109" i="16" s="1"/>
  <c r="B110" i="16"/>
  <c r="D110" i="16"/>
  <c r="E110" i="16"/>
  <c r="K110" i="16"/>
  <c r="J110" i="16" s="1"/>
  <c r="B111" i="16"/>
  <c r="D111" i="16"/>
  <c r="E111" i="16"/>
  <c r="K111" i="16"/>
  <c r="J111" i="16" s="1"/>
  <c r="B112" i="16"/>
  <c r="D112" i="16"/>
  <c r="E112" i="16"/>
  <c r="K112" i="16"/>
  <c r="J112" i="16" s="1"/>
  <c r="B113" i="16"/>
  <c r="D113" i="16"/>
  <c r="E113" i="16"/>
  <c r="K113" i="16"/>
  <c r="J113" i="16" s="1"/>
  <c r="B114" i="16"/>
  <c r="D114" i="16"/>
  <c r="E114" i="16"/>
  <c r="K114" i="16"/>
  <c r="J114" i="16" s="1"/>
  <c r="B115" i="16"/>
  <c r="D115" i="16"/>
  <c r="E115" i="16"/>
  <c r="K115" i="16"/>
  <c r="J115" i="16" s="1"/>
  <c r="B116" i="16"/>
  <c r="D116" i="16"/>
  <c r="E116" i="16"/>
  <c r="K116" i="16"/>
  <c r="J116" i="16" s="1"/>
  <c r="B117" i="16"/>
  <c r="D117" i="16"/>
  <c r="E117" i="16"/>
  <c r="K117" i="16"/>
  <c r="J117" i="16" s="1"/>
  <c r="B118" i="16"/>
  <c r="D118" i="16"/>
  <c r="E118" i="16"/>
  <c r="K118" i="16"/>
  <c r="J118" i="16" s="1"/>
  <c r="B119" i="16"/>
  <c r="D119" i="16"/>
  <c r="E119" i="16"/>
  <c r="K119" i="16"/>
  <c r="J119" i="16" s="1"/>
  <c r="B120" i="16"/>
  <c r="D120" i="16"/>
  <c r="E120" i="16"/>
  <c r="K120" i="16"/>
  <c r="J120" i="16" s="1"/>
  <c r="B121" i="16"/>
  <c r="D121" i="16"/>
  <c r="E121" i="16"/>
  <c r="K121" i="16"/>
  <c r="J121" i="16" s="1"/>
  <c r="B122" i="16"/>
  <c r="D122" i="16"/>
  <c r="E122" i="16"/>
  <c r="K122" i="16"/>
  <c r="J122" i="16" s="1"/>
  <c r="B123" i="16"/>
  <c r="D123" i="16"/>
  <c r="E123" i="16"/>
  <c r="K123" i="16"/>
  <c r="J123" i="16" s="1"/>
  <c r="B124" i="16"/>
  <c r="D124" i="16"/>
  <c r="E124" i="16"/>
  <c r="K124" i="16"/>
  <c r="J124" i="16" s="1"/>
  <c r="B125" i="16"/>
  <c r="D125" i="16"/>
  <c r="E125" i="16"/>
  <c r="K125" i="16"/>
  <c r="J125" i="16" s="1"/>
  <c r="B126" i="16"/>
  <c r="D126" i="16"/>
  <c r="E126" i="16"/>
  <c r="K126" i="16"/>
  <c r="J126" i="16" s="1"/>
  <c r="B127" i="16"/>
  <c r="D127" i="16"/>
  <c r="E127" i="16"/>
  <c r="K127" i="16"/>
  <c r="J127" i="16" s="1"/>
  <c r="B128" i="16"/>
  <c r="D128" i="16"/>
  <c r="E128" i="16"/>
  <c r="K128" i="16"/>
  <c r="J128" i="16" s="1"/>
  <c r="B129" i="16"/>
  <c r="D129" i="16"/>
  <c r="E129" i="16"/>
  <c r="K129" i="16"/>
  <c r="J129" i="16" s="1"/>
  <c r="B130" i="16"/>
  <c r="D130" i="16"/>
  <c r="E130" i="16"/>
  <c r="K130" i="16"/>
  <c r="J130" i="16" s="1"/>
  <c r="B131" i="16"/>
  <c r="D131" i="16"/>
  <c r="E131" i="16"/>
  <c r="K131" i="16"/>
  <c r="J131" i="16" s="1"/>
  <c r="B132" i="16"/>
  <c r="D132" i="16"/>
  <c r="E132" i="16"/>
  <c r="K132" i="16"/>
  <c r="J132" i="16" s="1"/>
  <c r="B133" i="16"/>
  <c r="D133" i="16"/>
  <c r="E133" i="16"/>
  <c r="K133" i="16"/>
  <c r="J133" i="16" s="1"/>
  <c r="B134" i="16"/>
  <c r="D134" i="16"/>
  <c r="E134" i="16"/>
  <c r="K134" i="16"/>
  <c r="J134" i="16" s="1"/>
  <c r="B135" i="16"/>
  <c r="D135" i="16"/>
  <c r="E135" i="16"/>
  <c r="K135" i="16"/>
  <c r="J135" i="16" s="1"/>
  <c r="B136" i="16"/>
  <c r="D136" i="16"/>
  <c r="E136" i="16"/>
  <c r="K136" i="16"/>
  <c r="J136" i="16" s="1"/>
  <c r="B137" i="16"/>
  <c r="D137" i="16"/>
  <c r="E137" i="16"/>
  <c r="K137" i="16"/>
  <c r="J137" i="16" s="1"/>
  <c r="B138" i="16"/>
  <c r="D138" i="16"/>
  <c r="E138" i="16"/>
  <c r="K138" i="16"/>
  <c r="J138" i="16" s="1"/>
  <c r="B139" i="16"/>
  <c r="D139" i="16"/>
  <c r="E139" i="16"/>
  <c r="K139" i="16"/>
  <c r="J139" i="16" s="1"/>
  <c r="B140" i="16"/>
  <c r="D140" i="16"/>
  <c r="E140" i="16"/>
  <c r="K140" i="16"/>
  <c r="J140" i="16" s="1"/>
  <c r="B141" i="16"/>
  <c r="D141" i="16"/>
  <c r="E141" i="16"/>
  <c r="K141" i="16"/>
  <c r="J141" i="16" s="1"/>
  <c r="B142" i="16"/>
  <c r="D142" i="16"/>
  <c r="E142" i="16"/>
  <c r="K142" i="16"/>
  <c r="J142" i="16" s="1"/>
  <c r="B143" i="16"/>
  <c r="D143" i="16"/>
  <c r="E143" i="16"/>
  <c r="K143" i="16"/>
  <c r="J143" i="16" s="1"/>
  <c r="B144" i="16"/>
  <c r="D144" i="16"/>
  <c r="E144" i="16"/>
  <c r="K144" i="16"/>
  <c r="J144" i="16" s="1"/>
  <c r="B145" i="16"/>
  <c r="D145" i="16"/>
  <c r="E145" i="16"/>
  <c r="K145" i="16"/>
  <c r="J145" i="16" s="1"/>
  <c r="B146" i="16"/>
  <c r="D146" i="16"/>
  <c r="E146" i="16"/>
  <c r="K146" i="16"/>
  <c r="J146" i="16" s="1"/>
  <c r="B147" i="16"/>
  <c r="D147" i="16"/>
  <c r="E147" i="16"/>
  <c r="K147" i="16"/>
  <c r="J147" i="16" s="1"/>
  <c r="B148" i="16"/>
  <c r="D148" i="16"/>
  <c r="E148" i="16"/>
  <c r="K148" i="16"/>
  <c r="J148" i="16" s="1"/>
  <c r="B149" i="16"/>
  <c r="D149" i="16"/>
  <c r="E149" i="16"/>
  <c r="K149" i="16"/>
  <c r="J149" i="16" s="1"/>
  <c r="B150" i="16"/>
  <c r="D150" i="16"/>
  <c r="E150" i="16"/>
  <c r="K150" i="16"/>
  <c r="J150" i="16" s="1"/>
  <c r="B151" i="16"/>
  <c r="D151" i="16"/>
  <c r="E151" i="16"/>
  <c r="K151" i="16"/>
  <c r="J151" i="16" s="1"/>
  <c r="B152" i="16"/>
  <c r="D152" i="16"/>
  <c r="E152" i="16"/>
  <c r="K152" i="16"/>
  <c r="J152" i="16" s="1"/>
  <c r="B153" i="16"/>
  <c r="D153" i="16"/>
  <c r="E153" i="16"/>
  <c r="K153" i="16"/>
  <c r="J153" i="16" s="1"/>
  <c r="B154" i="16"/>
  <c r="D154" i="16"/>
  <c r="E154" i="16"/>
  <c r="K154" i="16"/>
  <c r="J154" i="16" s="1"/>
  <c r="B155" i="16"/>
  <c r="D155" i="16"/>
  <c r="E155" i="16"/>
  <c r="K155" i="16"/>
  <c r="J155" i="16" s="1"/>
  <c r="B156" i="16"/>
  <c r="D156" i="16"/>
  <c r="E156" i="16"/>
  <c r="K156" i="16"/>
  <c r="J156" i="16" s="1"/>
  <c r="B157" i="16"/>
  <c r="D157" i="16"/>
  <c r="E157" i="16"/>
  <c r="K157" i="16"/>
  <c r="J157" i="16" s="1"/>
  <c r="B158" i="16"/>
  <c r="D158" i="16"/>
  <c r="E158" i="16"/>
  <c r="K158" i="16"/>
  <c r="J158" i="16" s="1"/>
  <c r="B159" i="16"/>
  <c r="D159" i="16"/>
  <c r="E159" i="16"/>
  <c r="K159" i="16"/>
  <c r="J159" i="16" s="1"/>
  <c r="B160" i="16"/>
  <c r="D160" i="16"/>
  <c r="E160" i="16"/>
  <c r="K160" i="16"/>
  <c r="J160" i="16" s="1"/>
  <c r="B161" i="16"/>
  <c r="D161" i="16"/>
  <c r="E161" i="16"/>
  <c r="K161" i="16"/>
  <c r="J161" i="16" s="1"/>
  <c r="B162" i="16"/>
  <c r="D162" i="16"/>
  <c r="E162" i="16"/>
  <c r="K162" i="16"/>
  <c r="J162" i="16" s="1"/>
  <c r="B163" i="16"/>
  <c r="D163" i="16"/>
  <c r="E163" i="16"/>
  <c r="K163" i="16"/>
  <c r="J163" i="16" s="1"/>
  <c r="B164" i="16"/>
  <c r="D164" i="16"/>
  <c r="E164" i="16"/>
  <c r="K164" i="16"/>
  <c r="J164" i="16" s="1"/>
  <c r="B165" i="16"/>
  <c r="D165" i="16"/>
  <c r="E165" i="16"/>
  <c r="K165" i="16"/>
  <c r="J165" i="16" s="1"/>
  <c r="B166" i="16"/>
  <c r="D166" i="16"/>
  <c r="E166" i="16"/>
  <c r="K166" i="16"/>
  <c r="J166" i="16" s="1"/>
  <c r="B167" i="16"/>
  <c r="D167" i="16"/>
  <c r="E167" i="16"/>
  <c r="K167" i="16"/>
  <c r="J167" i="16" s="1"/>
  <c r="B168" i="16"/>
  <c r="D168" i="16"/>
  <c r="E168" i="16"/>
  <c r="K168" i="16"/>
  <c r="J168" i="16" s="1"/>
  <c r="B169" i="16"/>
  <c r="D169" i="16"/>
  <c r="E169" i="16"/>
  <c r="K169" i="16"/>
  <c r="J169" i="16" s="1"/>
  <c r="B170" i="16"/>
  <c r="D170" i="16"/>
  <c r="E170" i="16"/>
  <c r="K170" i="16"/>
  <c r="J170" i="16" s="1"/>
  <c r="B171" i="16"/>
  <c r="D171" i="16"/>
  <c r="E171" i="16"/>
  <c r="K171" i="16"/>
  <c r="J171" i="16" s="1"/>
  <c r="B172" i="16"/>
  <c r="D172" i="16"/>
  <c r="E172" i="16"/>
  <c r="K172" i="16"/>
  <c r="J172" i="16" s="1"/>
  <c r="B173" i="16"/>
  <c r="D173" i="16"/>
  <c r="E173" i="16"/>
  <c r="K173" i="16"/>
  <c r="J173" i="16" s="1"/>
  <c r="B174" i="16"/>
  <c r="D174" i="16"/>
  <c r="E174" i="16"/>
  <c r="K174" i="16"/>
  <c r="J174" i="16" s="1"/>
  <c r="B175" i="16"/>
  <c r="D175" i="16"/>
  <c r="E175" i="16"/>
  <c r="K175" i="16"/>
  <c r="J175" i="16" s="1"/>
  <c r="B176" i="16"/>
  <c r="D176" i="16"/>
  <c r="E176" i="16"/>
  <c r="K176" i="16"/>
  <c r="J176" i="16" s="1"/>
  <c r="B177" i="16"/>
  <c r="D177" i="16"/>
  <c r="E177" i="16"/>
  <c r="K177" i="16"/>
  <c r="J177" i="16" s="1"/>
  <c r="B178" i="16"/>
  <c r="D178" i="16"/>
  <c r="E178" i="16"/>
  <c r="K178" i="16"/>
  <c r="J178" i="16" s="1"/>
  <c r="B179" i="16"/>
  <c r="D179" i="16"/>
  <c r="E179" i="16"/>
  <c r="K179" i="16"/>
  <c r="J179" i="16" s="1"/>
  <c r="B180" i="16"/>
  <c r="D180" i="16"/>
  <c r="E180" i="16"/>
  <c r="K180" i="16"/>
  <c r="J180" i="16" s="1"/>
  <c r="B181" i="16"/>
  <c r="D181" i="16"/>
  <c r="E181" i="16"/>
  <c r="K181" i="16"/>
  <c r="J181" i="16" s="1"/>
  <c r="B182" i="16"/>
  <c r="D182" i="16"/>
  <c r="E182" i="16"/>
  <c r="K182" i="16"/>
  <c r="J182" i="16" s="1"/>
  <c r="B183" i="16"/>
  <c r="D183" i="16"/>
  <c r="E183" i="16"/>
  <c r="K183" i="16"/>
  <c r="J183" i="16" s="1"/>
  <c r="B184" i="16"/>
  <c r="D184" i="16"/>
  <c r="E184" i="16"/>
  <c r="K184" i="16"/>
  <c r="J184" i="16" s="1"/>
  <c r="B185" i="16"/>
  <c r="D185" i="16"/>
  <c r="E185" i="16"/>
  <c r="K185" i="16"/>
  <c r="J185" i="16" s="1"/>
  <c r="B186" i="16"/>
  <c r="D186" i="16"/>
  <c r="E186" i="16"/>
  <c r="K186" i="16"/>
  <c r="J186" i="16" s="1"/>
  <c r="B187" i="16"/>
  <c r="D187" i="16"/>
  <c r="E187" i="16"/>
  <c r="K187" i="16"/>
  <c r="J187" i="16" s="1"/>
  <c r="B188" i="16"/>
  <c r="D188" i="16"/>
  <c r="E188" i="16"/>
  <c r="K188" i="16"/>
  <c r="J188" i="16" s="1"/>
  <c r="B189" i="16"/>
  <c r="D189" i="16"/>
  <c r="E189" i="16"/>
  <c r="K189" i="16"/>
  <c r="J189" i="16" s="1"/>
  <c r="B190" i="16"/>
  <c r="D190" i="16"/>
  <c r="E190" i="16"/>
  <c r="K190" i="16"/>
  <c r="J190" i="16" s="1"/>
  <c r="B191" i="16"/>
  <c r="D191" i="16"/>
  <c r="E191" i="16"/>
  <c r="K191" i="16"/>
  <c r="J191" i="16" s="1"/>
  <c r="B192" i="16"/>
  <c r="D192" i="16"/>
  <c r="E192" i="16"/>
  <c r="K192" i="16"/>
  <c r="J192" i="16" s="1"/>
  <c r="B193" i="16"/>
  <c r="D193" i="16"/>
  <c r="E193" i="16"/>
  <c r="K193" i="16"/>
  <c r="J193" i="16" s="1"/>
  <c r="B194" i="16"/>
  <c r="D194" i="16"/>
  <c r="E194" i="16"/>
  <c r="K194" i="16"/>
  <c r="J194" i="16" s="1"/>
  <c r="B195" i="16"/>
  <c r="D195" i="16"/>
  <c r="E195" i="16"/>
  <c r="K195" i="16"/>
  <c r="J195" i="16" s="1"/>
  <c r="B196" i="16"/>
  <c r="D196" i="16"/>
  <c r="E196" i="16"/>
  <c r="K196" i="16"/>
  <c r="J196" i="16" s="1"/>
  <c r="B197" i="16"/>
  <c r="D197" i="16"/>
  <c r="E197" i="16"/>
  <c r="K197" i="16"/>
  <c r="J197" i="16" s="1"/>
  <c r="B198" i="16"/>
  <c r="D198" i="16"/>
  <c r="E198" i="16"/>
  <c r="K198" i="16"/>
  <c r="J198" i="16" s="1"/>
  <c r="B199" i="16"/>
  <c r="D199" i="16"/>
  <c r="E199" i="16"/>
  <c r="K199" i="16"/>
  <c r="J199" i="16" s="1"/>
  <c r="B200" i="16"/>
  <c r="D200" i="16"/>
  <c r="E200" i="16"/>
  <c r="K200" i="16"/>
  <c r="J200" i="16" s="1"/>
  <c r="B201" i="16"/>
  <c r="D201" i="16"/>
  <c r="E201" i="16"/>
  <c r="K201" i="16"/>
  <c r="J201" i="16" s="1"/>
  <c r="B202" i="16"/>
  <c r="D202" i="16"/>
  <c r="E202" i="16"/>
  <c r="K202" i="16"/>
  <c r="J202" i="16" s="1"/>
  <c r="B203" i="16"/>
  <c r="D203" i="16"/>
  <c r="E203" i="16"/>
  <c r="K203" i="16"/>
  <c r="J203" i="16" s="1"/>
  <c r="B204" i="16"/>
  <c r="D204" i="16"/>
  <c r="E204" i="16"/>
  <c r="K204" i="16"/>
  <c r="J204" i="16" s="1"/>
  <c r="B205" i="16"/>
  <c r="D205" i="16"/>
  <c r="E205" i="16"/>
  <c r="K205" i="16"/>
  <c r="J205" i="16" s="1"/>
  <c r="B206" i="16"/>
  <c r="D206" i="16"/>
  <c r="E206" i="16"/>
  <c r="K206" i="16"/>
  <c r="J206" i="16" s="1"/>
  <c r="B207" i="16"/>
  <c r="D207" i="16"/>
  <c r="E207" i="16"/>
  <c r="K207" i="16"/>
  <c r="J207" i="16" s="1"/>
  <c r="B208" i="16"/>
  <c r="D208" i="16"/>
  <c r="E208" i="16"/>
  <c r="K208" i="16"/>
  <c r="J208" i="16" s="1"/>
  <c r="B209" i="16"/>
  <c r="D209" i="16"/>
  <c r="E209" i="16"/>
  <c r="K209" i="16"/>
  <c r="J209" i="16" s="1"/>
  <c r="B210" i="16"/>
  <c r="D210" i="16"/>
  <c r="E210" i="16"/>
  <c r="K210" i="16"/>
  <c r="J210" i="16" s="1"/>
  <c r="B211" i="16"/>
  <c r="D211" i="16"/>
  <c r="E211" i="16"/>
  <c r="K211" i="16"/>
  <c r="J211" i="16" s="1"/>
  <c r="B212" i="16"/>
  <c r="D212" i="16"/>
  <c r="E212" i="16"/>
  <c r="K212" i="16"/>
  <c r="J212" i="16" s="1"/>
  <c r="B213" i="16"/>
  <c r="D213" i="16"/>
  <c r="E213" i="16"/>
  <c r="K213" i="16"/>
  <c r="J213" i="16" s="1"/>
  <c r="B214" i="16"/>
  <c r="D214" i="16"/>
  <c r="E214" i="16"/>
  <c r="K214" i="16"/>
  <c r="J214" i="16" s="1"/>
  <c r="B215" i="16"/>
  <c r="D215" i="16"/>
  <c r="E215" i="16"/>
  <c r="K215" i="16"/>
  <c r="J215" i="16" s="1"/>
  <c r="B216" i="16"/>
  <c r="D216" i="16"/>
  <c r="E216" i="16"/>
  <c r="K216" i="16"/>
  <c r="J216" i="16" s="1"/>
  <c r="B217" i="16"/>
  <c r="D217" i="16"/>
  <c r="E217" i="16"/>
  <c r="K217" i="16"/>
  <c r="J217" i="16" s="1"/>
  <c r="B218" i="16"/>
  <c r="D218" i="16"/>
  <c r="E218" i="16"/>
  <c r="K218" i="16"/>
  <c r="J218" i="16" s="1"/>
  <c r="B219" i="16"/>
  <c r="D219" i="16"/>
  <c r="E219" i="16"/>
  <c r="K219" i="16"/>
  <c r="J219" i="16" s="1"/>
  <c r="B220" i="16"/>
  <c r="D220" i="16"/>
  <c r="E220" i="16"/>
  <c r="K220" i="16"/>
  <c r="J220" i="16" s="1"/>
  <c r="B221" i="16"/>
  <c r="D221" i="16"/>
  <c r="E221" i="16"/>
  <c r="K221" i="16"/>
  <c r="J221" i="16" s="1"/>
  <c r="B222" i="16"/>
  <c r="D222" i="16"/>
  <c r="E222" i="16"/>
  <c r="K222" i="16"/>
  <c r="J222" i="16" s="1"/>
  <c r="B223" i="16"/>
  <c r="D223" i="16"/>
  <c r="E223" i="16"/>
  <c r="K223" i="16"/>
  <c r="J223" i="16" s="1"/>
  <c r="B224" i="16"/>
  <c r="D224" i="16"/>
  <c r="E224" i="16"/>
  <c r="K224" i="16"/>
  <c r="J224" i="16" s="1"/>
  <c r="B225" i="16"/>
  <c r="D225" i="16"/>
  <c r="E225" i="16"/>
  <c r="K225" i="16"/>
  <c r="J225" i="16" s="1"/>
  <c r="B226" i="16"/>
  <c r="D226" i="16"/>
  <c r="E226" i="16"/>
  <c r="K226" i="16"/>
  <c r="J226" i="16" s="1"/>
  <c r="B227" i="16"/>
  <c r="D227" i="16"/>
  <c r="E227" i="16"/>
  <c r="K227" i="16"/>
  <c r="J227" i="16" s="1"/>
  <c r="B228" i="16"/>
  <c r="D228" i="16"/>
  <c r="E228" i="16"/>
  <c r="K228" i="16"/>
  <c r="J228" i="16" s="1"/>
  <c r="B229" i="16"/>
  <c r="D229" i="16"/>
  <c r="E229" i="16"/>
  <c r="K229" i="16"/>
  <c r="J229" i="16" s="1"/>
  <c r="B230" i="16"/>
  <c r="D230" i="16"/>
  <c r="E230" i="16"/>
  <c r="K230" i="16"/>
  <c r="J230" i="16" s="1"/>
  <c r="B231" i="16"/>
  <c r="D231" i="16"/>
  <c r="E231" i="16"/>
  <c r="K231" i="16"/>
  <c r="J231" i="16" s="1"/>
  <c r="B232" i="16"/>
  <c r="D232" i="16"/>
  <c r="E232" i="16"/>
  <c r="K232" i="16"/>
  <c r="J232" i="16" s="1"/>
  <c r="B233" i="16"/>
  <c r="D233" i="16"/>
  <c r="E233" i="16"/>
  <c r="K233" i="16"/>
  <c r="J233" i="16" s="1"/>
  <c r="B234" i="16"/>
  <c r="D234" i="16"/>
  <c r="E234" i="16"/>
  <c r="K234" i="16"/>
  <c r="J234" i="16" s="1"/>
  <c r="B235" i="16"/>
  <c r="D235" i="16"/>
  <c r="E235" i="16"/>
  <c r="K235" i="16"/>
  <c r="J235" i="16" s="1"/>
  <c r="B236" i="16"/>
  <c r="D236" i="16"/>
  <c r="E236" i="16"/>
  <c r="K236" i="16"/>
  <c r="J236" i="16" s="1"/>
  <c r="B237" i="16"/>
  <c r="D237" i="16"/>
  <c r="E237" i="16"/>
  <c r="K237" i="16"/>
  <c r="J237" i="16" s="1"/>
  <c r="B238" i="16"/>
  <c r="D238" i="16"/>
  <c r="E238" i="16"/>
  <c r="K238" i="16"/>
  <c r="J238" i="16" s="1"/>
  <c r="B239" i="16"/>
  <c r="D239" i="16"/>
  <c r="E239" i="16"/>
  <c r="K239" i="16"/>
  <c r="J239" i="16" s="1"/>
  <c r="B240" i="16"/>
  <c r="D240" i="16"/>
  <c r="E240" i="16"/>
  <c r="K240" i="16"/>
  <c r="J240" i="16" s="1"/>
  <c r="B241" i="16"/>
  <c r="D241" i="16"/>
  <c r="E241" i="16"/>
  <c r="K241" i="16"/>
  <c r="J241" i="16" s="1"/>
  <c r="B242" i="16"/>
  <c r="D242" i="16"/>
  <c r="E242" i="16"/>
  <c r="K242" i="16"/>
  <c r="J242" i="16" s="1"/>
  <c r="B243" i="16"/>
  <c r="D243" i="16"/>
  <c r="E243" i="16"/>
  <c r="K243" i="16"/>
  <c r="J243" i="16" s="1"/>
  <c r="B244" i="16"/>
  <c r="D244" i="16"/>
  <c r="E244" i="16"/>
  <c r="K244" i="16"/>
  <c r="J244" i="16" s="1"/>
  <c r="B245" i="16"/>
  <c r="D245" i="16"/>
  <c r="E245" i="16"/>
  <c r="K245" i="16"/>
  <c r="J245" i="16" s="1"/>
  <c r="B246" i="16"/>
  <c r="D246" i="16"/>
  <c r="E246" i="16"/>
  <c r="K246" i="16"/>
  <c r="J246" i="16" s="1"/>
  <c r="B247" i="16"/>
  <c r="D247" i="16"/>
  <c r="E247" i="16"/>
  <c r="K247" i="16"/>
  <c r="J247" i="16" s="1"/>
  <c r="B248" i="16"/>
  <c r="D248" i="16"/>
  <c r="E248" i="16"/>
  <c r="K248" i="16"/>
  <c r="J248" i="16" s="1"/>
  <c r="B249" i="16"/>
  <c r="D249" i="16"/>
  <c r="E249" i="16"/>
  <c r="K249" i="16"/>
  <c r="J249" i="16" s="1"/>
  <c r="B250" i="16"/>
  <c r="D250" i="16"/>
  <c r="E250" i="16"/>
  <c r="K250" i="16"/>
  <c r="J250" i="16" s="1"/>
  <c r="B251" i="16"/>
  <c r="D251" i="16"/>
  <c r="E251" i="16"/>
  <c r="K251" i="16"/>
  <c r="J251" i="16" s="1"/>
  <c r="B252" i="16"/>
  <c r="D252" i="16"/>
  <c r="E252" i="16"/>
  <c r="K252" i="16"/>
  <c r="J252" i="16" s="1"/>
  <c r="B253" i="16"/>
  <c r="D253" i="16"/>
  <c r="E253" i="16"/>
  <c r="K253" i="16"/>
  <c r="J253" i="16" s="1"/>
  <c r="B254" i="16"/>
  <c r="D254" i="16"/>
  <c r="E254" i="16"/>
  <c r="K254" i="16"/>
  <c r="J254" i="16" s="1"/>
  <c r="B255" i="16"/>
  <c r="D255" i="16"/>
  <c r="E255" i="16"/>
  <c r="K255" i="16"/>
  <c r="J255" i="16" s="1"/>
  <c r="B256" i="16"/>
  <c r="D256" i="16"/>
  <c r="E256" i="16"/>
  <c r="K256" i="16"/>
  <c r="J256" i="16" s="1"/>
  <c r="B257" i="16"/>
  <c r="D257" i="16"/>
  <c r="E257" i="16"/>
  <c r="K257" i="16"/>
  <c r="J257" i="16" s="1"/>
  <c r="B258" i="16"/>
  <c r="D258" i="16"/>
  <c r="E258" i="16"/>
  <c r="K258" i="16"/>
  <c r="J258" i="16" s="1"/>
  <c r="B259" i="16"/>
  <c r="D259" i="16"/>
  <c r="E259" i="16"/>
  <c r="K259" i="16"/>
  <c r="J259" i="16" s="1"/>
  <c r="B260" i="16"/>
  <c r="D260" i="16"/>
  <c r="E260" i="16"/>
  <c r="K260" i="16"/>
  <c r="J260" i="16" s="1"/>
  <c r="B261" i="16"/>
  <c r="D261" i="16"/>
  <c r="E261" i="16"/>
  <c r="K261" i="16"/>
  <c r="J261" i="16" s="1"/>
  <c r="B262" i="16"/>
  <c r="D262" i="16"/>
  <c r="E262" i="16"/>
  <c r="K262" i="16"/>
  <c r="J262" i="16" s="1"/>
  <c r="B263" i="16"/>
  <c r="D263" i="16"/>
  <c r="E263" i="16"/>
  <c r="K263" i="16"/>
  <c r="J263" i="16" s="1"/>
  <c r="B264" i="16"/>
  <c r="D264" i="16"/>
  <c r="E264" i="16"/>
  <c r="K264" i="16"/>
  <c r="J264" i="16" s="1"/>
  <c r="B265" i="16"/>
  <c r="D265" i="16"/>
  <c r="E265" i="16"/>
  <c r="K265" i="16"/>
  <c r="J265" i="16" s="1"/>
  <c r="B266" i="16"/>
  <c r="D266" i="16"/>
  <c r="E266" i="16"/>
  <c r="K266" i="16"/>
  <c r="J266" i="16" s="1"/>
  <c r="B267" i="16"/>
  <c r="D267" i="16"/>
  <c r="E267" i="16"/>
  <c r="K267" i="16"/>
  <c r="J267" i="16" s="1"/>
  <c r="B268" i="16"/>
  <c r="D268" i="16"/>
  <c r="E268" i="16"/>
  <c r="K268" i="16"/>
  <c r="J268" i="16" s="1"/>
  <c r="B269" i="16"/>
  <c r="D269" i="16"/>
  <c r="E269" i="16"/>
  <c r="K269" i="16"/>
  <c r="J269" i="16" s="1"/>
  <c r="B270" i="16"/>
  <c r="D270" i="16"/>
  <c r="E270" i="16"/>
  <c r="K270" i="16"/>
  <c r="J270" i="16" s="1"/>
  <c r="B271" i="16"/>
  <c r="D271" i="16"/>
  <c r="E271" i="16"/>
  <c r="K271" i="16"/>
  <c r="J271" i="16" s="1"/>
  <c r="B272" i="16"/>
  <c r="D272" i="16"/>
  <c r="E272" i="16"/>
  <c r="K272" i="16"/>
  <c r="J272" i="16" s="1"/>
  <c r="B273" i="16"/>
  <c r="D273" i="16"/>
  <c r="E273" i="16"/>
  <c r="K273" i="16"/>
  <c r="J273" i="16" s="1"/>
  <c r="B274" i="16"/>
  <c r="D274" i="16"/>
  <c r="E274" i="16"/>
  <c r="K274" i="16"/>
  <c r="J274" i="16" s="1"/>
  <c r="B275" i="16"/>
  <c r="D275" i="16"/>
  <c r="E275" i="16"/>
  <c r="K275" i="16"/>
  <c r="J275" i="16" s="1"/>
  <c r="B276" i="16"/>
  <c r="D276" i="16"/>
  <c r="E276" i="16"/>
  <c r="K276" i="16"/>
  <c r="J276" i="16" s="1"/>
  <c r="B277" i="16"/>
  <c r="D277" i="16"/>
  <c r="E277" i="16"/>
  <c r="K277" i="16"/>
  <c r="J277" i="16" s="1"/>
  <c r="B278" i="16"/>
  <c r="D278" i="16"/>
  <c r="E278" i="16"/>
  <c r="K278" i="16"/>
  <c r="J278" i="16" s="1"/>
  <c r="B279" i="16"/>
  <c r="D279" i="16"/>
  <c r="E279" i="16"/>
  <c r="K279" i="16"/>
  <c r="J279" i="16" s="1"/>
  <c r="B280" i="16"/>
  <c r="D280" i="16"/>
  <c r="E280" i="16"/>
  <c r="K280" i="16"/>
  <c r="J280" i="16" s="1"/>
  <c r="B281" i="16"/>
  <c r="D281" i="16"/>
  <c r="E281" i="16"/>
  <c r="K281" i="16"/>
  <c r="J281" i="16" s="1"/>
  <c r="B282" i="16"/>
  <c r="D282" i="16"/>
  <c r="E282" i="16"/>
  <c r="K282" i="16"/>
  <c r="J282" i="16" s="1"/>
  <c r="B283" i="16"/>
  <c r="D283" i="16"/>
  <c r="E283" i="16"/>
  <c r="K283" i="16"/>
  <c r="J283" i="16" s="1"/>
  <c r="B284" i="16"/>
  <c r="D284" i="16"/>
  <c r="E284" i="16"/>
  <c r="K284" i="16"/>
  <c r="J284" i="16" s="1"/>
  <c r="B285" i="16"/>
  <c r="D285" i="16"/>
  <c r="E285" i="16"/>
  <c r="K285" i="16"/>
  <c r="J285" i="16" s="1"/>
  <c r="B286" i="16"/>
  <c r="D286" i="16"/>
  <c r="E286" i="16"/>
  <c r="K286" i="16"/>
  <c r="J286" i="16" s="1"/>
  <c r="B287" i="16"/>
  <c r="D287" i="16"/>
  <c r="E287" i="16"/>
  <c r="K287" i="16"/>
  <c r="J287" i="16" s="1"/>
  <c r="B288" i="16"/>
  <c r="D288" i="16"/>
  <c r="E288" i="16"/>
  <c r="K288" i="16"/>
  <c r="J288" i="16" s="1"/>
  <c r="B289" i="16"/>
  <c r="D289" i="16"/>
  <c r="E289" i="16"/>
  <c r="K289" i="16"/>
  <c r="J289" i="16" s="1"/>
  <c r="B290" i="16"/>
  <c r="D290" i="16"/>
  <c r="E290" i="16"/>
  <c r="K290" i="16"/>
  <c r="J290" i="16" s="1"/>
  <c r="B291" i="16"/>
  <c r="D291" i="16"/>
  <c r="E291" i="16"/>
  <c r="K291" i="16"/>
  <c r="J291" i="16" s="1"/>
  <c r="B292" i="16"/>
  <c r="D292" i="16"/>
  <c r="E292" i="16"/>
  <c r="K292" i="16"/>
  <c r="J292" i="16" s="1"/>
  <c r="B293" i="16"/>
  <c r="D293" i="16"/>
  <c r="E293" i="16"/>
  <c r="K293" i="16"/>
  <c r="J293" i="16" s="1"/>
  <c r="B294" i="16"/>
  <c r="D294" i="16"/>
  <c r="E294" i="16"/>
  <c r="K294" i="16"/>
  <c r="J294" i="16" s="1"/>
  <c r="B295" i="16"/>
  <c r="D295" i="16"/>
  <c r="E295" i="16"/>
  <c r="K295" i="16"/>
  <c r="J295" i="16" s="1"/>
  <c r="B296" i="16"/>
  <c r="D296" i="16"/>
  <c r="E296" i="16"/>
  <c r="K296" i="16"/>
  <c r="J296" i="16" s="1"/>
  <c r="B297" i="16"/>
  <c r="D297" i="16"/>
  <c r="E297" i="16"/>
  <c r="K297" i="16"/>
  <c r="J297" i="16" s="1"/>
  <c r="B298" i="16"/>
  <c r="D298" i="16"/>
  <c r="E298" i="16"/>
  <c r="K298" i="16"/>
  <c r="J298" i="16" s="1"/>
  <c r="B299" i="16"/>
  <c r="D299" i="16"/>
  <c r="E299" i="16"/>
  <c r="K299" i="16"/>
  <c r="J299" i="16" s="1"/>
  <c r="B300" i="16"/>
  <c r="D300" i="16"/>
  <c r="E300" i="16"/>
  <c r="K300" i="16"/>
  <c r="J300" i="16" s="1"/>
  <c r="B301" i="16"/>
  <c r="D301" i="16"/>
  <c r="E301" i="16"/>
  <c r="K301" i="16"/>
  <c r="J301" i="16" s="1"/>
  <c r="B302" i="16"/>
  <c r="D302" i="16"/>
  <c r="E302" i="16"/>
  <c r="K302" i="16"/>
  <c r="J302" i="16" s="1"/>
  <c r="B303" i="16"/>
  <c r="D303" i="16"/>
  <c r="E303" i="16"/>
  <c r="K303" i="16"/>
  <c r="J303" i="16" s="1"/>
  <c r="B304" i="16"/>
  <c r="D304" i="16"/>
  <c r="E304" i="16"/>
  <c r="K304" i="16"/>
  <c r="J304" i="16" s="1"/>
  <c r="B305" i="16"/>
  <c r="D305" i="16"/>
  <c r="E305" i="16"/>
  <c r="K305" i="16"/>
  <c r="J305" i="16" s="1"/>
  <c r="B306" i="16"/>
  <c r="D306" i="16"/>
  <c r="E306" i="16"/>
  <c r="K306" i="16"/>
  <c r="J306" i="16" s="1"/>
  <c r="B307" i="16"/>
  <c r="D307" i="16"/>
  <c r="E307" i="16"/>
  <c r="K307" i="16"/>
  <c r="J307" i="16" s="1"/>
  <c r="B308" i="16"/>
  <c r="D308" i="16"/>
  <c r="E308" i="16"/>
  <c r="K308" i="16"/>
  <c r="J308" i="16" s="1"/>
  <c r="B309" i="16"/>
  <c r="D309" i="16"/>
  <c r="E309" i="16"/>
  <c r="K309" i="16"/>
  <c r="J309" i="16" s="1"/>
  <c r="B310" i="16"/>
  <c r="D310" i="16"/>
  <c r="E310" i="16"/>
  <c r="K310" i="16"/>
  <c r="J310" i="16" s="1"/>
  <c r="B311" i="16"/>
  <c r="D311" i="16"/>
  <c r="E311" i="16"/>
  <c r="K311" i="16"/>
  <c r="J311" i="16" s="1"/>
  <c r="B312" i="16"/>
  <c r="D312" i="16"/>
  <c r="E312" i="16"/>
  <c r="K312" i="16"/>
  <c r="J312" i="16" s="1"/>
  <c r="B313" i="16"/>
  <c r="D313" i="16"/>
  <c r="E313" i="16"/>
  <c r="K313" i="16"/>
  <c r="J313" i="16" s="1"/>
  <c r="B314" i="16"/>
  <c r="D314" i="16"/>
  <c r="E314" i="16"/>
  <c r="K314" i="16"/>
  <c r="J314" i="16" s="1"/>
  <c r="B315" i="16"/>
  <c r="D315" i="16"/>
  <c r="E315" i="16"/>
  <c r="K315" i="16"/>
  <c r="J315" i="16" s="1"/>
  <c r="B316" i="16"/>
  <c r="D316" i="16"/>
  <c r="E316" i="16"/>
  <c r="K316" i="16"/>
  <c r="J316" i="16" s="1"/>
  <c r="B317" i="16"/>
  <c r="D317" i="16"/>
  <c r="E317" i="16"/>
  <c r="K317" i="16"/>
  <c r="J317" i="16" s="1"/>
  <c r="B318" i="16"/>
  <c r="D318" i="16"/>
  <c r="E318" i="16"/>
  <c r="K318" i="16"/>
  <c r="J318" i="16" s="1"/>
  <c r="B319" i="16"/>
  <c r="D319" i="16"/>
  <c r="E319" i="16"/>
  <c r="K319" i="16"/>
  <c r="J319" i="16" s="1"/>
  <c r="B320" i="16"/>
  <c r="D320" i="16"/>
  <c r="E320" i="16"/>
  <c r="K320" i="16"/>
  <c r="J320" i="16" s="1"/>
  <c r="B321" i="16"/>
  <c r="D321" i="16"/>
  <c r="E321" i="16"/>
  <c r="K321" i="16"/>
  <c r="J321" i="16" s="1"/>
  <c r="B322" i="16"/>
  <c r="D322" i="16"/>
  <c r="E322" i="16"/>
  <c r="K322" i="16"/>
  <c r="J322" i="16" s="1"/>
  <c r="B323" i="16"/>
  <c r="D323" i="16"/>
  <c r="E323" i="16"/>
  <c r="K323" i="16"/>
  <c r="J323" i="16" s="1"/>
  <c r="B324" i="16"/>
  <c r="D324" i="16"/>
  <c r="E324" i="16"/>
  <c r="K324" i="16"/>
  <c r="J324" i="16" s="1"/>
  <c r="B325" i="16"/>
  <c r="D325" i="16"/>
  <c r="E325" i="16"/>
  <c r="K325" i="16"/>
  <c r="J325" i="16" s="1"/>
  <c r="B326" i="16"/>
  <c r="D326" i="16"/>
  <c r="E326" i="16"/>
  <c r="K326" i="16"/>
  <c r="J326" i="16" s="1"/>
  <c r="B327" i="16"/>
  <c r="D327" i="16"/>
  <c r="E327" i="16"/>
  <c r="K327" i="16"/>
  <c r="J327" i="16" s="1"/>
  <c r="B328" i="16"/>
  <c r="D328" i="16"/>
  <c r="E328" i="16"/>
  <c r="K328" i="16"/>
  <c r="J328" i="16" s="1"/>
  <c r="B329" i="16"/>
  <c r="D329" i="16"/>
  <c r="E329" i="16"/>
  <c r="K329" i="16"/>
  <c r="J329" i="16" s="1"/>
  <c r="B330" i="16"/>
  <c r="D330" i="16"/>
  <c r="E330" i="16"/>
  <c r="K330" i="16"/>
  <c r="J330" i="16" s="1"/>
  <c r="B331" i="16"/>
  <c r="D331" i="16"/>
  <c r="E331" i="16"/>
  <c r="K331" i="16"/>
  <c r="J331" i="16" s="1"/>
  <c r="B332" i="16"/>
  <c r="D332" i="16"/>
  <c r="E332" i="16"/>
  <c r="K332" i="16"/>
  <c r="J332" i="16" s="1"/>
  <c r="B333" i="16"/>
  <c r="D333" i="16"/>
  <c r="E333" i="16"/>
  <c r="K333" i="16"/>
  <c r="J333" i="16" s="1"/>
  <c r="B334" i="16"/>
  <c r="D334" i="16"/>
  <c r="E334" i="16"/>
  <c r="K334" i="16"/>
  <c r="J334" i="16" s="1"/>
  <c r="B335" i="16"/>
  <c r="D335" i="16"/>
  <c r="E335" i="16"/>
  <c r="K335" i="16"/>
  <c r="J335" i="16" s="1"/>
  <c r="B336" i="16"/>
  <c r="D336" i="16"/>
  <c r="E336" i="16"/>
  <c r="K336" i="16"/>
  <c r="J336" i="16" s="1"/>
  <c r="B337" i="16"/>
  <c r="D337" i="16"/>
  <c r="E337" i="16"/>
  <c r="K337" i="16"/>
  <c r="J337" i="16" s="1"/>
  <c r="K338" i="16"/>
  <c r="L338" i="16"/>
  <c r="M338" i="16"/>
  <c r="N338" i="16"/>
  <c r="O338" i="16"/>
  <c r="B3" i="16"/>
  <c r="D3" i="16"/>
  <c r="E3" i="16"/>
  <c r="K3" i="16"/>
  <c r="J3" i="16" s="1"/>
  <c r="B4" i="16"/>
  <c r="D4" i="16"/>
  <c r="E4" i="16"/>
  <c r="K4" i="16"/>
  <c r="J4" i="16" s="1"/>
  <c r="B5" i="16"/>
  <c r="D5" i="16"/>
  <c r="E5" i="16"/>
  <c r="K5" i="16"/>
  <c r="J5" i="16" s="1"/>
  <c r="B6" i="16"/>
  <c r="D6" i="16"/>
  <c r="E6" i="16"/>
  <c r="K6" i="16"/>
  <c r="J6" i="16" s="1"/>
  <c r="B7" i="16"/>
  <c r="D7" i="16"/>
  <c r="E7" i="16"/>
  <c r="K7" i="16"/>
  <c r="J7" i="16" s="1"/>
  <c r="B8" i="16"/>
  <c r="D8" i="16"/>
  <c r="E8" i="16"/>
  <c r="K8" i="16"/>
  <c r="J8" i="16" s="1"/>
  <c r="B9" i="16"/>
  <c r="D9" i="16"/>
  <c r="E9" i="16"/>
  <c r="K9" i="16"/>
  <c r="J9" i="16" s="1"/>
  <c r="B10" i="16"/>
  <c r="D10" i="16"/>
  <c r="E10" i="16"/>
  <c r="K10" i="16"/>
  <c r="J10" i="16" s="1"/>
  <c r="B11" i="16"/>
  <c r="D11" i="16"/>
  <c r="E11" i="16"/>
  <c r="K11" i="16"/>
  <c r="J11" i="16" s="1"/>
  <c r="B12" i="16"/>
  <c r="D12" i="16"/>
  <c r="E12" i="16"/>
  <c r="K12" i="16"/>
  <c r="J12" i="16" s="1"/>
  <c r="B13" i="16"/>
  <c r="D13" i="16"/>
  <c r="E13" i="16"/>
  <c r="K13" i="16"/>
  <c r="J13" i="16" s="1"/>
  <c r="B14" i="16"/>
  <c r="D14" i="16"/>
  <c r="E14" i="16"/>
  <c r="K14" i="16"/>
  <c r="J14" i="16" s="1"/>
  <c r="B15" i="16"/>
  <c r="D15" i="16"/>
  <c r="E15" i="16"/>
  <c r="K15" i="16"/>
  <c r="J15" i="16" s="1"/>
  <c r="B16" i="16"/>
  <c r="D16" i="16"/>
  <c r="E16" i="16"/>
  <c r="K16" i="16"/>
  <c r="J16" i="16" s="1"/>
  <c r="B17" i="16"/>
  <c r="D17" i="16"/>
  <c r="E17" i="16"/>
  <c r="K17" i="16"/>
  <c r="J17" i="16" s="1"/>
  <c r="B18" i="16"/>
  <c r="D18" i="16"/>
  <c r="E18" i="16"/>
  <c r="K18" i="16"/>
  <c r="J18" i="16" s="1"/>
  <c r="B19" i="16"/>
  <c r="D19" i="16"/>
  <c r="E19" i="16"/>
  <c r="K19" i="16"/>
  <c r="J19" i="16" s="1"/>
  <c r="B20" i="16"/>
  <c r="D20" i="16"/>
  <c r="E20" i="16"/>
  <c r="K20" i="16"/>
  <c r="J20" i="16" s="1"/>
  <c r="B21" i="16"/>
  <c r="D21" i="16"/>
  <c r="E21" i="16"/>
  <c r="K21" i="16"/>
  <c r="J21" i="16" s="1"/>
  <c r="B22" i="16"/>
  <c r="D22" i="16"/>
  <c r="E22" i="16"/>
  <c r="K22" i="16"/>
  <c r="J22" i="16" s="1"/>
  <c r="B23" i="16"/>
  <c r="D23" i="16"/>
  <c r="E23" i="16"/>
  <c r="K23" i="16"/>
  <c r="J23" i="16" s="1"/>
  <c r="B24" i="16"/>
  <c r="D24" i="16"/>
  <c r="E24" i="16"/>
  <c r="K24" i="16"/>
  <c r="J24" i="16" s="1"/>
  <c r="B25" i="16"/>
  <c r="D25" i="16"/>
  <c r="E25" i="16"/>
  <c r="K25" i="16"/>
  <c r="J25" i="16" s="1"/>
  <c r="B26" i="16"/>
  <c r="D26" i="16"/>
  <c r="E26" i="16"/>
  <c r="K26" i="16"/>
  <c r="J26" i="16" s="1"/>
  <c r="B27" i="16"/>
  <c r="D27" i="16"/>
  <c r="E27" i="16"/>
  <c r="K27" i="16"/>
  <c r="J27" i="16" s="1"/>
  <c r="B28" i="16"/>
  <c r="D28" i="16"/>
  <c r="E28" i="16"/>
  <c r="K28" i="16"/>
  <c r="J28" i="16" s="1"/>
  <c r="B29" i="16"/>
  <c r="D29" i="16"/>
  <c r="E29" i="16"/>
  <c r="K29" i="16"/>
  <c r="J29" i="16" s="1"/>
  <c r="B30" i="16"/>
  <c r="D30" i="16"/>
  <c r="E30" i="16"/>
  <c r="K30" i="16"/>
  <c r="J30" i="16" s="1"/>
  <c r="B31" i="16"/>
  <c r="D31" i="16"/>
  <c r="E31" i="16"/>
  <c r="K31" i="16"/>
  <c r="J31" i="16" s="1"/>
  <c r="B32" i="16"/>
  <c r="D32" i="16"/>
  <c r="E32" i="16"/>
  <c r="K32" i="16"/>
  <c r="J32" i="16" s="1"/>
  <c r="B33" i="16"/>
  <c r="D33" i="16"/>
  <c r="E33" i="16"/>
  <c r="K33" i="16"/>
  <c r="J33" i="16" s="1"/>
  <c r="B34" i="16"/>
  <c r="D34" i="16"/>
  <c r="E34" i="16"/>
  <c r="K34" i="16"/>
  <c r="J34" i="16" s="1"/>
  <c r="B35" i="16"/>
  <c r="D35" i="16"/>
  <c r="E35" i="16"/>
  <c r="K35" i="16"/>
  <c r="J35" i="16" s="1"/>
  <c r="B36" i="16"/>
  <c r="D36" i="16"/>
  <c r="E36" i="16"/>
  <c r="K36" i="16"/>
  <c r="J36" i="16" s="1"/>
  <c r="B37" i="16"/>
  <c r="D37" i="16"/>
  <c r="E37" i="16"/>
  <c r="K37" i="16"/>
  <c r="J37" i="16" s="1"/>
  <c r="B38" i="16"/>
  <c r="D38" i="16"/>
  <c r="E38" i="16"/>
  <c r="K38" i="16"/>
  <c r="J38" i="16" s="1"/>
  <c r="B39" i="16"/>
  <c r="D39" i="16"/>
  <c r="E39" i="16"/>
  <c r="K39" i="16"/>
  <c r="J39" i="16" s="1"/>
  <c r="B40" i="16"/>
  <c r="D40" i="16"/>
  <c r="E40" i="16"/>
  <c r="K40" i="16"/>
  <c r="J40" i="16" s="1"/>
  <c r="B41" i="16"/>
  <c r="D41" i="16"/>
  <c r="E41" i="16"/>
  <c r="K41" i="16"/>
  <c r="J41" i="16" s="1"/>
  <c r="B42" i="16"/>
  <c r="D42" i="16"/>
  <c r="E42" i="16"/>
  <c r="K42" i="16"/>
  <c r="J42" i="16" s="1"/>
  <c r="B43" i="16"/>
  <c r="D43" i="16"/>
  <c r="E43" i="16"/>
  <c r="K43" i="16"/>
  <c r="J43" i="16" s="1"/>
  <c r="B44" i="16"/>
  <c r="D44" i="16"/>
  <c r="E44" i="16"/>
  <c r="K44" i="16"/>
  <c r="J44" i="16" s="1"/>
  <c r="B45" i="16"/>
  <c r="D45" i="16"/>
  <c r="E45" i="16"/>
  <c r="K45" i="16"/>
  <c r="J45" i="16" s="1"/>
  <c r="B46" i="16"/>
  <c r="D46" i="16"/>
  <c r="E46" i="16"/>
  <c r="K46" i="16"/>
  <c r="J46" i="16" s="1"/>
  <c r="B47" i="16"/>
  <c r="D47" i="16"/>
  <c r="E47" i="16"/>
  <c r="K47" i="16"/>
  <c r="J47" i="16" s="1"/>
  <c r="B48" i="16"/>
  <c r="D48" i="16"/>
  <c r="E48" i="16"/>
  <c r="K48" i="16"/>
  <c r="J48" i="16" s="1"/>
  <c r="B49" i="16"/>
  <c r="D49" i="16"/>
  <c r="E49" i="16"/>
  <c r="K49" i="16"/>
  <c r="J49" i="16" s="1"/>
  <c r="B50" i="16"/>
  <c r="D50" i="16"/>
  <c r="E50" i="16"/>
  <c r="K50" i="16"/>
  <c r="J50" i="16" s="1"/>
  <c r="B51" i="16"/>
  <c r="D51" i="16"/>
  <c r="E51" i="16"/>
  <c r="K51" i="16"/>
  <c r="J51" i="16" s="1"/>
  <c r="B52" i="16"/>
  <c r="D52" i="16"/>
  <c r="E52" i="16"/>
  <c r="K52" i="16"/>
  <c r="J52" i="16" s="1"/>
  <c r="B53" i="16"/>
  <c r="D53" i="16"/>
  <c r="E53" i="16"/>
  <c r="K53" i="16"/>
  <c r="J53" i="16" s="1"/>
  <c r="B54" i="16"/>
  <c r="D54" i="16"/>
  <c r="E54" i="16"/>
  <c r="K54" i="16"/>
  <c r="J54" i="16" s="1"/>
  <c r="B55" i="16"/>
  <c r="D55" i="16"/>
  <c r="E55" i="16"/>
  <c r="K55" i="16"/>
  <c r="J55" i="16" s="1"/>
  <c r="B56" i="16"/>
  <c r="D56" i="16"/>
  <c r="E56" i="16"/>
  <c r="K56" i="16"/>
  <c r="J56" i="16" s="1"/>
  <c r="B57" i="16"/>
  <c r="D57" i="16"/>
  <c r="E57" i="16"/>
  <c r="K57" i="16"/>
  <c r="J57" i="16" s="1"/>
  <c r="B58" i="16"/>
  <c r="D58" i="16"/>
  <c r="E58" i="16"/>
  <c r="K58" i="16"/>
  <c r="J58" i="16" s="1"/>
  <c r="B59" i="16"/>
  <c r="D59" i="16"/>
  <c r="E59" i="16"/>
  <c r="K59" i="16"/>
  <c r="J59" i="16" s="1"/>
  <c r="B60" i="16"/>
  <c r="D60" i="16"/>
  <c r="E60" i="16"/>
  <c r="K60" i="16"/>
  <c r="J60" i="16" s="1"/>
  <c r="B61" i="16"/>
  <c r="D61" i="16"/>
  <c r="E61" i="16"/>
  <c r="K61" i="16"/>
  <c r="J61" i="16" s="1"/>
  <c r="B62" i="16"/>
  <c r="D62" i="16"/>
  <c r="E62" i="16"/>
  <c r="K62" i="16"/>
  <c r="J62" i="16" s="1"/>
  <c r="B63" i="16"/>
  <c r="D63" i="16"/>
  <c r="E63" i="16"/>
  <c r="K63" i="16"/>
  <c r="J63" i="16" s="1"/>
  <c r="B64" i="16"/>
  <c r="D64" i="16"/>
  <c r="E64" i="16"/>
  <c r="K64" i="16"/>
  <c r="J64" i="16" s="1"/>
  <c r="B65" i="16"/>
  <c r="D65" i="16"/>
  <c r="E65" i="16"/>
  <c r="K65" i="16"/>
  <c r="J65" i="16" s="1"/>
  <c r="B66" i="16"/>
  <c r="D66" i="16"/>
  <c r="E66" i="16"/>
  <c r="K66" i="16"/>
  <c r="J66" i="16" s="1"/>
  <c r="B67" i="16"/>
  <c r="D67" i="16"/>
  <c r="E67" i="16"/>
  <c r="K67" i="16"/>
  <c r="J67" i="16" s="1"/>
  <c r="B68" i="16"/>
  <c r="D68" i="16"/>
  <c r="E68" i="16"/>
  <c r="K68" i="16"/>
  <c r="J68" i="16" s="1"/>
  <c r="B69" i="16"/>
  <c r="D69" i="16"/>
  <c r="E69" i="16"/>
  <c r="K69" i="16"/>
  <c r="J69" i="16" s="1"/>
  <c r="B70" i="16"/>
  <c r="D70" i="16"/>
  <c r="E70" i="16"/>
  <c r="K70" i="16"/>
  <c r="J70" i="16" s="1"/>
  <c r="B71" i="16"/>
  <c r="D71" i="16"/>
  <c r="E71" i="16"/>
  <c r="K71" i="16"/>
  <c r="J71" i="16" s="1"/>
  <c r="B72" i="16"/>
  <c r="D72" i="16"/>
  <c r="E72" i="16"/>
  <c r="K72" i="16"/>
  <c r="J72" i="16" s="1"/>
  <c r="B73" i="16"/>
  <c r="D73" i="16"/>
  <c r="E73" i="16"/>
  <c r="K73" i="16"/>
  <c r="J73" i="16" s="1"/>
  <c r="J35" i="2"/>
  <c r="K787" i="22" s="1"/>
  <c r="J787" i="22" s="1"/>
  <c r="J34" i="2"/>
  <c r="K747" i="22" s="1"/>
  <c r="J747" i="22" s="1"/>
  <c r="J33" i="2"/>
  <c r="J32" i="2"/>
  <c r="K746" i="22" s="1"/>
  <c r="J746" i="22" s="1"/>
  <c r="B637" i="22"/>
  <c r="D637" i="22"/>
  <c r="E637" i="22"/>
  <c r="B638" i="22"/>
  <c r="D638" i="22"/>
  <c r="E638" i="22"/>
  <c r="B639" i="22"/>
  <c r="D639" i="22"/>
  <c r="E639" i="22"/>
  <c r="B640" i="22"/>
  <c r="D640" i="22"/>
  <c r="E640" i="22"/>
  <c r="B641" i="22"/>
  <c r="D641" i="22"/>
  <c r="E641" i="22"/>
  <c r="K641" i="22"/>
  <c r="J641" i="22" s="1"/>
  <c r="B642" i="22"/>
  <c r="D642" i="22"/>
  <c r="E642" i="22"/>
  <c r="B643" i="22"/>
  <c r="D643" i="22"/>
  <c r="E643" i="22"/>
  <c r="B644" i="22"/>
  <c r="D644" i="22"/>
  <c r="E644" i="22"/>
  <c r="B645" i="22"/>
  <c r="D645" i="22"/>
  <c r="E645" i="22"/>
  <c r="B646" i="22"/>
  <c r="D646" i="22"/>
  <c r="E646" i="22"/>
  <c r="K646" i="22"/>
  <c r="J646" i="22" s="1"/>
  <c r="B647" i="22"/>
  <c r="D647" i="22"/>
  <c r="E647" i="22"/>
  <c r="B648" i="22"/>
  <c r="D648" i="22"/>
  <c r="E648" i="22"/>
  <c r="B649" i="22"/>
  <c r="D649" i="22"/>
  <c r="E649" i="22"/>
  <c r="K649" i="22"/>
  <c r="J649" i="22" s="1"/>
  <c r="B650" i="22"/>
  <c r="D650" i="22"/>
  <c r="E650" i="22"/>
  <c r="B651" i="22"/>
  <c r="D651" i="22"/>
  <c r="E651" i="22"/>
  <c r="B652" i="22"/>
  <c r="D652" i="22"/>
  <c r="E652" i="22"/>
  <c r="B653" i="22"/>
  <c r="D653" i="22"/>
  <c r="E653" i="22"/>
  <c r="B654" i="22"/>
  <c r="D654" i="22"/>
  <c r="E654" i="22"/>
  <c r="B655" i="22"/>
  <c r="D655" i="22"/>
  <c r="E655" i="22"/>
  <c r="B656" i="22"/>
  <c r="D656" i="22"/>
  <c r="E656" i="22"/>
  <c r="K656" i="22"/>
  <c r="J656" i="22" s="1"/>
  <c r="B657" i="22"/>
  <c r="D657" i="22"/>
  <c r="E657" i="22"/>
  <c r="B658" i="22"/>
  <c r="D658" i="22"/>
  <c r="E658" i="22"/>
  <c r="K658" i="22"/>
  <c r="J658" i="22" s="1"/>
  <c r="B659" i="22"/>
  <c r="D659" i="22"/>
  <c r="E659" i="22"/>
  <c r="B660" i="22"/>
  <c r="D660" i="22"/>
  <c r="E660" i="22"/>
  <c r="B661" i="22"/>
  <c r="D661" i="22"/>
  <c r="E661" i="22"/>
  <c r="B662" i="22"/>
  <c r="D662" i="22"/>
  <c r="E662" i="22"/>
  <c r="B663" i="22"/>
  <c r="D663" i="22"/>
  <c r="E663" i="22"/>
  <c r="B664" i="22"/>
  <c r="D664" i="22"/>
  <c r="E664" i="22"/>
  <c r="K664" i="22"/>
  <c r="J664" i="22" s="1"/>
  <c r="B665" i="22"/>
  <c r="D665" i="22"/>
  <c r="E665" i="22"/>
  <c r="B666" i="22"/>
  <c r="D666" i="22"/>
  <c r="E666" i="22"/>
  <c r="B667" i="22"/>
  <c r="D667" i="22"/>
  <c r="E667" i="22"/>
  <c r="B668" i="22"/>
  <c r="D668" i="22"/>
  <c r="E668" i="22"/>
  <c r="B669" i="22"/>
  <c r="D669" i="22"/>
  <c r="E669" i="22"/>
  <c r="K669" i="22"/>
  <c r="J669" i="22" s="1"/>
  <c r="B670" i="22"/>
  <c r="D670" i="22"/>
  <c r="E670" i="22"/>
  <c r="B671" i="22"/>
  <c r="D671" i="22"/>
  <c r="E671" i="22"/>
  <c r="B672" i="22"/>
  <c r="D672" i="22"/>
  <c r="E672" i="22"/>
  <c r="K672" i="22"/>
  <c r="J672" i="22" s="1"/>
  <c r="B673" i="22"/>
  <c r="D673" i="22"/>
  <c r="E673" i="22"/>
  <c r="B674" i="22"/>
  <c r="D674" i="22"/>
  <c r="E674" i="22"/>
  <c r="B675" i="22"/>
  <c r="D675" i="22"/>
  <c r="E675" i="22"/>
  <c r="B676" i="22"/>
  <c r="D676" i="22"/>
  <c r="E676" i="22"/>
  <c r="B677" i="22"/>
  <c r="D677" i="22"/>
  <c r="E677" i="22"/>
  <c r="B678" i="22"/>
  <c r="D678" i="22"/>
  <c r="E678" i="22"/>
  <c r="B679" i="22"/>
  <c r="D679" i="22"/>
  <c r="E679" i="22"/>
  <c r="B680" i="22"/>
  <c r="D680" i="22"/>
  <c r="E680" i="22"/>
  <c r="B681" i="22"/>
  <c r="D681" i="22"/>
  <c r="E681" i="22"/>
  <c r="B682" i="22"/>
  <c r="D682" i="22"/>
  <c r="E682" i="22"/>
  <c r="B683" i="22"/>
  <c r="D683" i="22"/>
  <c r="E683" i="22"/>
  <c r="B684" i="22"/>
  <c r="D684" i="22"/>
  <c r="E684" i="22"/>
  <c r="B685" i="22"/>
  <c r="D685" i="22"/>
  <c r="E685" i="22"/>
  <c r="K685" i="22"/>
  <c r="J685" i="22" s="1"/>
  <c r="B686" i="22"/>
  <c r="D686" i="22"/>
  <c r="E686" i="22"/>
  <c r="B687" i="22"/>
  <c r="D687" i="22"/>
  <c r="E687" i="22"/>
  <c r="B688" i="22"/>
  <c r="D688" i="22"/>
  <c r="E688" i="22"/>
  <c r="B689" i="22"/>
  <c r="D689" i="22"/>
  <c r="E689" i="22"/>
  <c r="B690" i="22"/>
  <c r="D690" i="22"/>
  <c r="E690" i="22"/>
  <c r="B691" i="22"/>
  <c r="D691" i="22"/>
  <c r="E691" i="22"/>
  <c r="B692" i="22"/>
  <c r="D692" i="22"/>
  <c r="E692" i="22"/>
  <c r="B693" i="22"/>
  <c r="D693" i="22"/>
  <c r="E693" i="22"/>
  <c r="B694" i="22"/>
  <c r="D694" i="22"/>
  <c r="E694" i="22"/>
  <c r="B695" i="22"/>
  <c r="D695" i="22"/>
  <c r="E695" i="22"/>
  <c r="B696" i="22"/>
  <c r="D696" i="22"/>
  <c r="E696" i="22"/>
  <c r="B697" i="22"/>
  <c r="D697" i="22"/>
  <c r="E697" i="22"/>
  <c r="B698" i="22"/>
  <c r="D698" i="22"/>
  <c r="E698" i="22"/>
  <c r="B699" i="22"/>
  <c r="D699" i="22"/>
  <c r="E699" i="22"/>
  <c r="B700" i="22"/>
  <c r="D700" i="22"/>
  <c r="E700" i="22"/>
  <c r="B701" i="22"/>
  <c r="D701" i="22"/>
  <c r="E701" i="22"/>
  <c r="B702" i="22"/>
  <c r="D702" i="22"/>
  <c r="E702" i="22"/>
  <c r="B703" i="22"/>
  <c r="D703" i="22"/>
  <c r="E703" i="22"/>
  <c r="B704" i="22"/>
  <c r="D704" i="22"/>
  <c r="E704" i="22"/>
  <c r="K704" i="22"/>
  <c r="J704" i="22" s="1"/>
  <c r="B705" i="22"/>
  <c r="D705" i="22"/>
  <c r="E705" i="22"/>
  <c r="B706" i="22"/>
  <c r="D706" i="22"/>
  <c r="E706" i="22"/>
  <c r="B707" i="22"/>
  <c r="D707" i="22"/>
  <c r="E707" i="22"/>
  <c r="B708" i="22"/>
  <c r="D708" i="22"/>
  <c r="E708" i="22"/>
  <c r="B709" i="22"/>
  <c r="D709" i="22"/>
  <c r="E709" i="22"/>
  <c r="B710" i="22"/>
  <c r="D710" i="22"/>
  <c r="E710" i="22"/>
  <c r="B711" i="22"/>
  <c r="D711" i="22"/>
  <c r="E711" i="22"/>
  <c r="B712" i="22"/>
  <c r="D712" i="22"/>
  <c r="E712" i="22"/>
  <c r="B713" i="22"/>
  <c r="D713" i="22"/>
  <c r="E713" i="22"/>
  <c r="K713" i="22"/>
  <c r="J713" i="22" s="1"/>
  <c r="K1138" i="22" l="1"/>
  <c r="J1138" i="22" s="1"/>
  <c r="K1054" i="22"/>
  <c r="J1054" i="22" s="1"/>
  <c r="K1072" i="22"/>
  <c r="J1072" i="22" s="1"/>
  <c r="K1137" i="22"/>
  <c r="J1137" i="22" s="1"/>
  <c r="K1113" i="22"/>
  <c r="J1113" i="22" s="1"/>
  <c r="K1089" i="22"/>
  <c r="J1089" i="22" s="1"/>
  <c r="K1071" i="22"/>
  <c r="J1071" i="22" s="1"/>
  <c r="K1007" i="22"/>
  <c r="J1007" i="22" s="1"/>
  <c r="K1073" i="22"/>
  <c r="J1073" i="22" s="1"/>
  <c r="K1067" i="22"/>
  <c r="J1067" i="22" s="1"/>
  <c r="K807" i="22"/>
  <c r="J807" i="22" s="1"/>
  <c r="K911" i="22"/>
  <c r="J911" i="22" s="1"/>
  <c r="K899" i="22"/>
  <c r="J899" i="22" s="1"/>
  <c r="K913" i="22"/>
  <c r="J913" i="22" s="1"/>
  <c r="K889" i="22"/>
  <c r="J889" i="22" s="1"/>
  <c r="K945" i="22"/>
  <c r="J945" i="22" s="1"/>
  <c r="K906" i="22"/>
  <c r="J906" i="22" s="1"/>
  <c r="K820" i="22"/>
  <c r="J820" i="22" s="1"/>
  <c r="K814" i="22"/>
  <c r="J814" i="22" s="1"/>
  <c r="K805" i="22"/>
  <c r="J805" i="22" s="1"/>
  <c r="K799" i="22"/>
  <c r="J799" i="22" s="1"/>
  <c r="K863" i="22"/>
  <c r="J863" i="22" s="1"/>
  <c r="K731" i="22"/>
  <c r="J731" i="22" s="1"/>
  <c r="K786" i="22"/>
  <c r="J786" i="22" s="1"/>
  <c r="B553" i="22"/>
  <c r="D553" i="22"/>
  <c r="E553" i="22"/>
  <c r="B554" i="22"/>
  <c r="D554" i="22"/>
  <c r="E554" i="22"/>
  <c r="B555" i="22"/>
  <c r="D555" i="22"/>
  <c r="E555" i="22"/>
  <c r="B556" i="22"/>
  <c r="D556" i="22"/>
  <c r="E556" i="22"/>
  <c r="B557" i="22"/>
  <c r="D557" i="22"/>
  <c r="E557" i="22"/>
  <c r="B558" i="22"/>
  <c r="D558" i="22"/>
  <c r="E558" i="22"/>
  <c r="K558" i="22"/>
  <c r="J558" i="22" s="1"/>
  <c r="B559" i="22"/>
  <c r="D559" i="22"/>
  <c r="E559" i="22"/>
  <c r="B560" i="22"/>
  <c r="D560" i="22"/>
  <c r="E560" i="22"/>
  <c r="B561" i="22"/>
  <c r="D561" i="22"/>
  <c r="E561" i="22"/>
  <c r="K561" i="22"/>
  <c r="J561" i="22" s="1"/>
  <c r="B562" i="22"/>
  <c r="D562" i="22"/>
  <c r="E562" i="22"/>
  <c r="B563" i="22"/>
  <c r="D563" i="22"/>
  <c r="E563" i="22"/>
  <c r="B564" i="22"/>
  <c r="D564" i="22"/>
  <c r="E564" i="22"/>
  <c r="B565" i="22"/>
  <c r="D565" i="22"/>
  <c r="E565" i="22"/>
  <c r="B566" i="22"/>
  <c r="D566" i="22"/>
  <c r="E566" i="22"/>
  <c r="B567" i="22"/>
  <c r="D567" i="22"/>
  <c r="E567" i="22"/>
  <c r="K567" i="22"/>
  <c r="J567" i="22" s="1"/>
  <c r="B568" i="22"/>
  <c r="D568" i="22"/>
  <c r="E568" i="22"/>
  <c r="B569" i="22"/>
  <c r="D569" i="22"/>
  <c r="E569" i="22"/>
  <c r="B570" i="22"/>
  <c r="D570" i="22"/>
  <c r="E570" i="22"/>
  <c r="B571" i="22"/>
  <c r="D571" i="22"/>
  <c r="E571" i="22"/>
  <c r="B572" i="22"/>
  <c r="D572" i="22"/>
  <c r="E572" i="22"/>
  <c r="B573" i="22"/>
  <c r="D573" i="22"/>
  <c r="E573" i="22"/>
  <c r="B574" i="22"/>
  <c r="D574" i="22"/>
  <c r="E574" i="22"/>
  <c r="B575" i="22"/>
  <c r="D575" i="22"/>
  <c r="E575" i="22"/>
  <c r="B576" i="22"/>
  <c r="D576" i="22"/>
  <c r="E576" i="22"/>
  <c r="B577" i="22"/>
  <c r="D577" i="22"/>
  <c r="E577" i="22"/>
  <c r="B578" i="22"/>
  <c r="D578" i="22"/>
  <c r="E578" i="22"/>
  <c r="B579" i="22"/>
  <c r="D579" i="22"/>
  <c r="E579" i="22"/>
  <c r="K579" i="22"/>
  <c r="J579" i="22" s="1"/>
  <c r="B580" i="22"/>
  <c r="D580" i="22"/>
  <c r="E580" i="22"/>
  <c r="B581" i="22"/>
  <c r="D581" i="22"/>
  <c r="E581" i="22"/>
  <c r="B582" i="22"/>
  <c r="D582" i="22"/>
  <c r="E582" i="22"/>
  <c r="B583" i="22"/>
  <c r="D583" i="22"/>
  <c r="E583" i="22"/>
  <c r="B584" i="22"/>
  <c r="D584" i="22"/>
  <c r="E584" i="22"/>
  <c r="B585" i="22"/>
  <c r="D585" i="22"/>
  <c r="E585" i="22"/>
  <c r="B586" i="22"/>
  <c r="D586" i="22"/>
  <c r="E586" i="22"/>
  <c r="B587" i="22"/>
  <c r="D587" i="22"/>
  <c r="E587" i="22"/>
  <c r="B588" i="22"/>
  <c r="D588" i="22"/>
  <c r="E588" i="22"/>
  <c r="B589" i="22"/>
  <c r="D589" i="22"/>
  <c r="E589" i="22"/>
  <c r="K589" i="22"/>
  <c r="J589" i="22" s="1"/>
  <c r="B590" i="22"/>
  <c r="D590" i="22"/>
  <c r="E590" i="22"/>
  <c r="K590" i="22"/>
  <c r="J590" i="22" s="1"/>
  <c r="B591" i="22"/>
  <c r="D591" i="22"/>
  <c r="E591" i="22"/>
  <c r="B592" i="22"/>
  <c r="D592" i="22"/>
  <c r="E592" i="22"/>
  <c r="B593" i="22"/>
  <c r="D593" i="22"/>
  <c r="E593" i="22"/>
  <c r="B594" i="22"/>
  <c r="D594" i="22"/>
  <c r="E594" i="22"/>
  <c r="B595" i="22"/>
  <c r="D595" i="22"/>
  <c r="E595" i="22"/>
  <c r="B596" i="22"/>
  <c r="D596" i="22"/>
  <c r="E596" i="22"/>
  <c r="B597" i="22"/>
  <c r="D597" i="22"/>
  <c r="E597" i="22"/>
  <c r="B598" i="22"/>
  <c r="D598" i="22"/>
  <c r="E598" i="22"/>
  <c r="B599" i="22"/>
  <c r="D599" i="22"/>
  <c r="E599" i="22"/>
  <c r="K599" i="22"/>
  <c r="J599" i="22" s="1"/>
  <c r="B600" i="22"/>
  <c r="D600" i="22"/>
  <c r="E600" i="22"/>
  <c r="K600" i="22"/>
  <c r="J600" i="22" s="1"/>
  <c r="B601" i="22"/>
  <c r="D601" i="22"/>
  <c r="E601" i="22"/>
  <c r="B602" i="22"/>
  <c r="D602" i="22"/>
  <c r="E602" i="22"/>
  <c r="B603" i="22"/>
  <c r="D603" i="22"/>
  <c r="E603" i="22"/>
  <c r="B604" i="22"/>
  <c r="D604" i="22"/>
  <c r="E604" i="22"/>
  <c r="B605" i="22"/>
  <c r="D605" i="22"/>
  <c r="E605" i="22"/>
  <c r="B606" i="22"/>
  <c r="D606" i="22"/>
  <c r="E606" i="22"/>
  <c r="K606" i="22"/>
  <c r="J606" i="22" s="1"/>
  <c r="B607" i="22"/>
  <c r="D607" i="22"/>
  <c r="E607" i="22"/>
  <c r="B608" i="22"/>
  <c r="D608" i="22"/>
  <c r="E608" i="22"/>
  <c r="B609" i="22"/>
  <c r="D609" i="22"/>
  <c r="E609" i="22"/>
  <c r="B610" i="22"/>
  <c r="D610" i="22"/>
  <c r="E610" i="22"/>
  <c r="B611" i="22"/>
  <c r="D611" i="22"/>
  <c r="E611" i="22"/>
  <c r="B612" i="22"/>
  <c r="D612" i="22"/>
  <c r="E612" i="22"/>
  <c r="B613" i="22"/>
  <c r="D613" i="22"/>
  <c r="E613" i="22"/>
  <c r="B614" i="22"/>
  <c r="D614" i="22"/>
  <c r="E614" i="22"/>
  <c r="B615" i="22"/>
  <c r="D615" i="22"/>
  <c r="E615" i="22"/>
  <c r="B616" i="22"/>
  <c r="D616" i="22"/>
  <c r="E616" i="22"/>
  <c r="B617" i="22"/>
  <c r="D617" i="22"/>
  <c r="E617" i="22"/>
  <c r="B618" i="22"/>
  <c r="D618" i="22"/>
  <c r="E618" i="22"/>
  <c r="B619" i="22"/>
  <c r="D619" i="22"/>
  <c r="E619" i="22"/>
  <c r="B620" i="22"/>
  <c r="D620" i="22"/>
  <c r="E620" i="22"/>
  <c r="K620" i="22"/>
  <c r="J620" i="22" s="1"/>
  <c r="B621" i="22"/>
  <c r="D621" i="22"/>
  <c r="E621" i="22"/>
  <c r="B622" i="22"/>
  <c r="D622" i="22"/>
  <c r="E622" i="22"/>
  <c r="B623" i="22"/>
  <c r="D623" i="22"/>
  <c r="E623" i="22"/>
  <c r="B624" i="22"/>
  <c r="D624" i="22"/>
  <c r="E624" i="22"/>
  <c r="B625" i="22"/>
  <c r="D625" i="22"/>
  <c r="E625" i="22"/>
  <c r="B626" i="22"/>
  <c r="D626" i="22"/>
  <c r="E626" i="22"/>
  <c r="K626" i="22"/>
  <c r="J626" i="22" s="1"/>
  <c r="B627" i="22"/>
  <c r="D627" i="22"/>
  <c r="E627" i="22"/>
  <c r="B628" i="22"/>
  <c r="D628" i="22"/>
  <c r="E628" i="22"/>
  <c r="B629" i="22"/>
  <c r="D629" i="22"/>
  <c r="E629" i="22"/>
  <c r="B630" i="22"/>
  <c r="D630" i="22"/>
  <c r="E630" i="22"/>
  <c r="B631" i="22"/>
  <c r="D631" i="22"/>
  <c r="E631" i="22"/>
  <c r="B632" i="22"/>
  <c r="D632" i="22"/>
  <c r="E632" i="22"/>
  <c r="B633" i="22"/>
  <c r="D633" i="22"/>
  <c r="E633" i="22"/>
  <c r="B634" i="22"/>
  <c r="D634" i="22"/>
  <c r="E634" i="22"/>
  <c r="B635" i="22"/>
  <c r="D635" i="22"/>
  <c r="E635" i="22"/>
  <c r="B636" i="22"/>
  <c r="D636" i="22"/>
  <c r="E636" i="22"/>
  <c r="K636" i="22"/>
  <c r="J636" i="22" s="1"/>
  <c r="B474" i="22"/>
  <c r="D474" i="22"/>
  <c r="E474" i="22"/>
  <c r="B475" i="22"/>
  <c r="D475" i="22"/>
  <c r="E475" i="22"/>
  <c r="B476" i="22"/>
  <c r="D476" i="22"/>
  <c r="E476" i="22"/>
  <c r="B477" i="22"/>
  <c r="D477" i="22"/>
  <c r="E477" i="22"/>
  <c r="K477" i="22"/>
  <c r="J477" i="22" s="1"/>
  <c r="B478" i="22"/>
  <c r="D478" i="22"/>
  <c r="E478" i="22"/>
  <c r="K478" i="22"/>
  <c r="J478" i="22" s="1"/>
  <c r="B479" i="22"/>
  <c r="D479" i="22"/>
  <c r="E479" i="22"/>
  <c r="B480" i="22"/>
  <c r="D480" i="22"/>
  <c r="E480" i="22"/>
  <c r="B481" i="22"/>
  <c r="D481" i="22"/>
  <c r="E481" i="22"/>
  <c r="B482" i="22"/>
  <c r="D482" i="22"/>
  <c r="E482" i="22"/>
  <c r="B483" i="22"/>
  <c r="D483" i="22"/>
  <c r="E483" i="22"/>
  <c r="B484" i="22"/>
  <c r="D484" i="22"/>
  <c r="E484" i="22"/>
  <c r="B485" i="22"/>
  <c r="D485" i="22"/>
  <c r="E485" i="22"/>
  <c r="B486" i="22"/>
  <c r="D486" i="22"/>
  <c r="E486" i="22"/>
  <c r="B487" i="22"/>
  <c r="D487" i="22"/>
  <c r="E487" i="22"/>
  <c r="B488" i="22"/>
  <c r="D488" i="22"/>
  <c r="E488" i="22"/>
  <c r="B489" i="22"/>
  <c r="D489" i="22"/>
  <c r="E489" i="22"/>
  <c r="B490" i="22"/>
  <c r="D490" i="22"/>
  <c r="E490" i="22"/>
  <c r="B491" i="22"/>
  <c r="D491" i="22"/>
  <c r="E491" i="22"/>
  <c r="B492" i="22"/>
  <c r="D492" i="22"/>
  <c r="E492" i="22"/>
  <c r="B493" i="22"/>
  <c r="D493" i="22"/>
  <c r="E493" i="22"/>
  <c r="B494" i="22"/>
  <c r="D494" i="22"/>
  <c r="E494" i="22"/>
  <c r="K494" i="22"/>
  <c r="J494" i="22" s="1"/>
  <c r="B495" i="22"/>
  <c r="D495" i="22"/>
  <c r="E495" i="22"/>
  <c r="B496" i="22"/>
  <c r="D496" i="22"/>
  <c r="E496" i="22"/>
  <c r="B497" i="22"/>
  <c r="D497" i="22"/>
  <c r="E497" i="22"/>
  <c r="B498" i="22"/>
  <c r="D498" i="22"/>
  <c r="E498" i="22"/>
  <c r="B499" i="22"/>
  <c r="D499" i="22"/>
  <c r="E499" i="22"/>
  <c r="B500" i="22"/>
  <c r="D500" i="22"/>
  <c r="E500" i="22"/>
  <c r="B501" i="22"/>
  <c r="D501" i="22"/>
  <c r="E501" i="22"/>
  <c r="B502" i="22"/>
  <c r="D502" i="22"/>
  <c r="E502" i="22"/>
  <c r="B503" i="22"/>
  <c r="D503" i="22"/>
  <c r="E503" i="22"/>
  <c r="B504" i="22"/>
  <c r="D504" i="22"/>
  <c r="E504" i="22"/>
  <c r="K504" i="22"/>
  <c r="J504" i="22" s="1"/>
  <c r="B505" i="22"/>
  <c r="D505" i="22"/>
  <c r="E505" i="22"/>
  <c r="B506" i="22"/>
  <c r="D506" i="22"/>
  <c r="E506" i="22"/>
  <c r="B507" i="22"/>
  <c r="D507" i="22"/>
  <c r="E507" i="22"/>
  <c r="B508" i="22"/>
  <c r="D508" i="22"/>
  <c r="E508" i="22"/>
  <c r="B509" i="22"/>
  <c r="D509" i="22"/>
  <c r="E509" i="22"/>
  <c r="B510" i="22"/>
  <c r="D510" i="22"/>
  <c r="E510" i="22"/>
  <c r="B511" i="22"/>
  <c r="D511" i="22"/>
  <c r="E511" i="22"/>
  <c r="B512" i="22"/>
  <c r="D512" i="22"/>
  <c r="E512" i="22"/>
  <c r="B513" i="22"/>
  <c r="D513" i="22"/>
  <c r="E513" i="22"/>
  <c r="K513" i="22"/>
  <c r="J513" i="22" s="1"/>
  <c r="B514" i="22"/>
  <c r="D514" i="22"/>
  <c r="E514" i="22"/>
  <c r="B515" i="22"/>
  <c r="D515" i="22"/>
  <c r="E515" i="22"/>
  <c r="B516" i="22"/>
  <c r="D516" i="22"/>
  <c r="E516" i="22"/>
  <c r="B517" i="22"/>
  <c r="D517" i="22"/>
  <c r="E517" i="22"/>
  <c r="B518" i="22"/>
  <c r="D518" i="22"/>
  <c r="E518" i="22"/>
  <c r="B519" i="22"/>
  <c r="D519" i="22"/>
  <c r="E519" i="22"/>
  <c r="B520" i="22"/>
  <c r="D520" i="22"/>
  <c r="E520" i="22"/>
  <c r="B521" i="22"/>
  <c r="D521" i="22"/>
  <c r="E521" i="22"/>
  <c r="B522" i="22"/>
  <c r="D522" i="22"/>
  <c r="E522" i="22"/>
  <c r="B523" i="22"/>
  <c r="D523" i="22"/>
  <c r="E523" i="22"/>
  <c r="B524" i="22"/>
  <c r="D524" i="22"/>
  <c r="E524" i="22"/>
  <c r="B525" i="22"/>
  <c r="D525" i="22"/>
  <c r="E525" i="22"/>
  <c r="K525" i="22"/>
  <c r="J525" i="22" s="1"/>
  <c r="B526" i="22"/>
  <c r="D526" i="22"/>
  <c r="E526" i="22"/>
  <c r="B527" i="22"/>
  <c r="D527" i="22"/>
  <c r="E527" i="22"/>
  <c r="B528" i="22"/>
  <c r="D528" i="22"/>
  <c r="E528" i="22"/>
  <c r="B529" i="22"/>
  <c r="D529" i="22"/>
  <c r="E529" i="22"/>
  <c r="B530" i="22"/>
  <c r="D530" i="22"/>
  <c r="E530" i="22"/>
  <c r="B531" i="22"/>
  <c r="D531" i="22"/>
  <c r="E531" i="22"/>
  <c r="B532" i="22"/>
  <c r="D532" i="22"/>
  <c r="E532" i="22"/>
  <c r="B533" i="22"/>
  <c r="D533" i="22"/>
  <c r="E533" i="22"/>
  <c r="B534" i="22"/>
  <c r="D534" i="22"/>
  <c r="E534" i="22"/>
  <c r="K534" i="22"/>
  <c r="J534" i="22" s="1"/>
  <c r="B535" i="22"/>
  <c r="D535" i="22"/>
  <c r="E535" i="22"/>
  <c r="B536" i="22"/>
  <c r="D536" i="22"/>
  <c r="E536" i="22"/>
  <c r="B537" i="22"/>
  <c r="D537" i="22"/>
  <c r="E537" i="22"/>
  <c r="B538" i="22"/>
  <c r="D538" i="22"/>
  <c r="E538" i="22"/>
  <c r="B539" i="22"/>
  <c r="D539" i="22"/>
  <c r="E539" i="22"/>
  <c r="B540" i="22"/>
  <c r="D540" i="22"/>
  <c r="E540" i="22"/>
  <c r="B541" i="22"/>
  <c r="D541" i="22"/>
  <c r="E541" i="22"/>
  <c r="B542" i="22"/>
  <c r="D542" i="22"/>
  <c r="E542" i="22"/>
  <c r="B543" i="22"/>
  <c r="D543" i="22"/>
  <c r="E543" i="22"/>
  <c r="K543" i="22"/>
  <c r="J543" i="22" s="1"/>
  <c r="B544" i="22"/>
  <c r="D544" i="22"/>
  <c r="E544" i="22"/>
  <c r="B545" i="22"/>
  <c r="D545" i="22"/>
  <c r="E545" i="22"/>
  <c r="B546" i="22"/>
  <c r="D546" i="22"/>
  <c r="E546" i="22"/>
  <c r="B547" i="22"/>
  <c r="D547" i="22"/>
  <c r="E547" i="22"/>
  <c r="B548" i="22"/>
  <c r="D548" i="22"/>
  <c r="E548" i="22"/>
  <c r="B549" i="22"/>
  <c r="D549" i="22"/>
  <c r="E549" i="22"/>
  <c r="B550" i="22"/>
  <c r="D550" i="22"/>
  <c r="E550" i="22"/>
  <c r="B551" i="22"/>
  <c r="D551" i="22"/>
  <c r="E551" i="22"/>
  <c r="B552" i="22"/>
  <c r="D552" i="22"/>
  <c r="E552" i="22"/>
  <c r="K552" i="22"/>
  <c r="J552" i="22" s="1"/>
  <c r="J15" i="2"/>
  <c r="J14" i="2"/>
  <c r="K1003" i="22" s="1"/>
  <c r="J1003" i="22" s="1"/>
  <c r="J13" i="2"/>
  <c r="K479" i="22" s="1"/>
  <c r="J479" i="22" s="1"/>
  <c r="K938" i="22" l="1"/>
  <c r="J938" i="22" s="1"/>
  <c r="K1109" i="22"/>
  <c r="J1109" i="22" s="1"/>
  <c r="K1004" i="22"/>
  <c r="J1004" i="22" s="1"/>
  <c r="K1031" i="22"/>
  <c r="J1031" i="22" s="1"/>
  <c r="K1128" i="22"/>
  <c r="J1128" i="22" s="1"/>
  <c r="K1050" i="22"/>
  <c r="J1050" i="22" s="1"/>
  <c r="K1087" i="22"/>
  <c r="J1087" i="22" s="1"/>
  <c r="K800" i="22"/>
  <c r="J800" i="22" s="1"/>
  <c r="K738" i="22"/>
  <c r="J738" i="22" s="1"/>
  <c r="K759" i="22"/>
  <c r="J759" i="22" s="1"/>
  <c r="K564" i="22"/>
  <c r="J564" i="22" s="1"/>
  <c r="K660" i="22"/>
  <c r="J660" i="22" s="1"/>
  <c r="K690" i="22"/>
  <c r="J690" i="22" s="1"/>
  <c r="K676" i="22"/>
  <c r="J676" i="22" s="1"/>
  <c r="K638" i="22"/>
  <c r="J638" i="22" s="1"/>
  <c r="K647" i="22"/>
  <c r="J647" i="22" s="1"/>
  <c r="K639" i="22"/>
  <c r="J639" i="22" s="1"/>
  <c r="K661" i="22"/>
  <c r="J661" i="22" s="1"/>
  <c r="K677" i="22"/>
  <c r="J677" i="22" s="1"/>
  <c r="K629" i="22"/>
  <c r="J629" i="22" s="1"/>
  <c r="K484" i="22"/>
  <c r="J484" i="22" s="1"/>
  <c r="K481" i="22"/>
  <c r="J481" i="22" s="1"/>
  <c r="K568" i="22"/>
  <c r="J568" i="22" s="1"/>
  <c r="K483" i="22"/>
  <c r="J483" i="22" s="1"/>
  <c r="K480" i="22"/>
  <c r="J480" i="22" s="1"/>
  <c r="K482" i="22"/>
  <c r="J482" i="22" s="1"/>
  <c r="B376" i="22"/>
  <c r="D376" i="22"/>
  <c r="E376" i="22"/>
  <c r="B377" i="22"/>
  <c r="D377" i="22"/>
  <c r="E377" i="22"/>
  <c r="B378" i="22"/>
  <c r="D378" i="22"/>
  <c r="E378" i="22"/>
  <c r="B379" i="22"/>
  <c r="D379" i="22"/>
  <c r="E379" i="22"/>
  <c r="B380" i="22"/>
  <c r="D380" i="22"/>
  <c r="E380" i="22"/>
  <c r="B381" i="22"/>
  <c r="D381" i="22"/>
  <c r="E381" i="22"/>
  <c r="B382" i="22"/>
  <c r="D382" i="22"/>
  <c r="E382" i="22"/>
  <c r="K382" i="22"/>
  <c r="J382" i="22" s="1"/>
  <c r="B383" i="22"/>
  <c r="E383" i="22"/>
  <c r="K383" i="22"/>
  <c r="B384" i="22"/>
  <c r="E384" i="22"/>
  <c r="K384" i="22"/>
  <c r="B385" i="22"/>
  <c r="E385" i="22"/>
  <c r="K385" i="22"/>
  <c r="B386" i="22"/>
  <c r="E386" i="22"/>
  <c r="K386" i="22"/>
  <c r="B387" i="22"/>
  <c r="E387" i="22"/>
  <c r="K387" i="22"/>
  <c r="B388" i="22"/>
  <c r="E388" i="22"/>
  <c r="K388" i="22"/>
  <c r="B389" i="22"/>
  <c r="D389" i="22"/>
  <c r="E389" i="22"/>
  <c r="B390" i="22"/>
  <c r="D390" i="22"/>
  <c r="E390" i="22"/>
  <c r="B391" i="22"/>
  <c r="D391" i="22"/>
  <c r="E391" i="22"/>
  <c r="B392" i="22"/>
  <c r="D392" i="22"/>
  <c r="E392" i="22"/>
  <c r="B393" i="22"/>
  <c r="D393" i="22"/>
  <c r="E393" i="22"/>
  <c r="B394" i="22"/>
  <c r="D394" i="22"/>
  <c r="E394" i="22"/>
  <c r="B395" i="22"/>
  <c r="D395" i="22"/>
  <c r="E395" i="22"/>
  <c r="B396" i="22"/>
  <c r="D396" i="22"/>
  <c r="E396" i="22"/>
  <c r="B397" i="22"/>
  <c r="D397" i="22"/>
  <c r="E397" i="22"/>
  <c r="B398" i="22"/>
  <c r="D398" i="22"/>
  <c r="E398" i="22"/>
  <c r="B399" i="22"/>
  <c r="D399" i="22"/>
  <c r="E399" i="22"/>
  <c r="B400" i="22"/>
  <c r="D400" i="22"/>
  <c r="E400" i="22"/>
  <c r="K400" i="22"/>
  <c r="J400" i="22" s="1"/>
  <c r="B401" i="22"/>
  <c r="D401" i="22"/>
  <c r="E401" i="22"/>
  <c r="B402" i="22"/>
  <c r="D402" i="22"/>
  <c r="E402" i="22"/>
  <c r="B403" i="22"/>
  <c r="D403" i="22"/>
  <c r="E403" i="22"/>
  <c r="B404" i="22"/>
  <c r="D404" i="22"/>
  <c r="E404" i="22"/>
  <c r="B405" i="22"/>
  <c r="D405" i="22"/>
  <c r="E405" i="22"/>
  <c r="B406" i="22"/>
  <c r="D406" i="22"/>
  <c r="E406" i="22"/>
  <c r="B407" i="22"/>
  <c r="D407" i="22"/>
  <c r="E407" i="22"/>
  <c r="B408" i="22"/>
  <c r="D408" i="22"/>
  <c r="E408" i="22"/>
  <c r="B409" i="22"/>
  <c r="D409" i="22"/>
  <c r="E409" i="22"/>
  <c r="B410" i="22"/>
  <c r="D410" i="22"/>
  <c r="E410" i="22"/>
  <c r="K410" i="22"/>
  <c r="J410" i="22" s="1"/>
  <c r="B411" i="22"/>
  <c r="D411" i="22"/>
  <c r="E411" i="22"/>
  <c r="B412" i="22"/>
  <c r="D412" i="22"/>
  <c r="E412" i="22"/>
  <c r="K412" i="22"/>
  <c r="J412" i="22" s="1"/>
  <c r="B413" i="22"/>
  <c r="D413" i="22"/>
  <c r="E413" i="22"/>
  <c r="B414" i="22"/>
  <c r="D414" i="22"/>
  <c r="E414" i="22"/>
  <c r="B415" i="22"/>
  <c r="D415" i="22"/>
  <c r="E415" i="22"/>
  <c r="B416" i="22"/>
  <c r="D416" i="22"/>
  <c r="E416" i="22"/>
  <c r="B417" i="22"/>
  <c r="D417" i="22"/>
  <c r="E417" i="22"/>
  <c r="B418" i="22"/>
  <c r="D418" i="22"/>
  <c r="E418" i="22"/>
  <c r="B419" i="22"/>
  <c r="D419" i="22"/>
  <c r="E419" i="22"/>
  <c r="B420" i="22"/>
  <c r="D420" i="22"/>
  <c r="E420" i="22"/>
  <c r="K420" i="22"/>
  <c r="J420" i="22" s="1"/>
  <c r="B421" i="22"/>
  <c r="D421" i="22"/>
  <c r="E421" i="22"/>
  <c r="B422" i="22"/>
  <c r="D422" i="22"/>
  <c r="E422" i="22"/>
  <c r="B423" i="22"/>
  <c r="D423" i="22"/>
  <c r="E423" i="22"/>
  <c r="B424" i="22"/>
  <c r="D424" i="22"/>
  <c r="E424" i="22"/>
  <c r="B425" i="22"/>
  <c r="D425" i="22"/>
  <c r="E425" i="22"/>
  <c r="B426" i="22"/>
  <c r="D426" i="22"/>
  <c r="E426" i="22"/>
  <c r="B427" i="22"/>
  <c r="D427" i="22"/>
  <c r="E427" i="22"/>
  <c r="B428" i="22"/>
  <c r="D428" i="22"/>
  <c r="E428" i="22"/>
  <c r="B429" i="22"/>
  <c r="D429" i="22"/>
  <c r="E429" i="22"/>
  <c r="B430" i="22"/>
  <c r="D430" i="22"/>
  <c r="E430" i="22"/>
  <c r="B431" i="22"/>
  <c r="D431" i="22"/>
  <c r="E431" i="22"/>
  <c r="B432" i="22"/>
  <c r="D432" i="22"/>
  <c r="E432" i="22"/>
  <c r="B433" i="22"/>
  <c r="D433" i="22"/>
  <c r="E433" i="22"/>
  <c r="K433" i="22"/>
  <c r="J433" i="22" s="1"/>
  <c r="B434" i="22"/>
  <c r="D434" i="22"/>
  <c r="E434" i="22"/>
  <c r="B435" i="22"/>
  <c r="D435" i="22"/>
  <c r="E435" i="22"/>
  <c r="K435" i="22"/>
  <c r="J435" i="22" s="1"/>
  <c r="B436" i="22"/>
  <c r="D436" i="22"/>
  <c r="E436" i="22"/>
  <c r="B437" i="22"/>
  <c r="D437" i="22"/>
  <c r="E437" i="22"/>
  <c r="B438" i="22"/>
  <c r="D438" i="22"/>
  <c r="E438" i="22"/>
  <c r="B439" i="22"/>
  <c r="D439" i="22"/>
  <c r="E439" i="22"/>
  <c r="B440" i="22"/>
  <c r="D440" i="22"/>
  <c r="E440" i="22"/>
  <c r="B441" i="22"/>
  <c r="D441" i="22"/>
  <c r="E441" i="22"/>
  <c r="B442" i="22"/>
  <c r="D442" i="22"/>
  <c r="E442" i="22"/>
  <c r="B443" i="22"/>
  <c r="D443" i="22"/>
  <c r="E443" i="22"/>
  <c r="B444" i="22"/>
  <c r="D444" i="22"/>
  <c r="E444" i="22"/>
  <c r="B445" i="22"/>
  <c r="D445" i="22"/>
  <c r="E445" i="22"/>
  <c r="K445" i="22"/>
  <c r="J445" i="22" s="1"/>
  <c r="B446" i="22"/>
  <c r="D446" i="22"/>
  <c r="E446" i="22"/>
  <c r="K446" i="22"/>
  <c r="J446" i="22" s="1"/>
  <c r="B447" i="22"/>
  <c r="D447" i="22"/>
  <c r="E447" i="22"/>
  <c r="B448" i="22"/>
  <c r="D448" i="22"/>
  <c r="E448" i="22"/>
  <c r="B449" i="22"/>
  <c r="D449" i="22"/>
  <c r="E449" i="22"/>
  <c r="B450" i="22"/>
  <c r="D450" i="22"/>
  <c r="E450" i="22"/>
  <c r="K450" i="22"/>
  <c r="J450" i="22" s="1"/>
  <c r="B451" i="22"/>
  <c r="D451" i="22"/>
  <c r="E451" i="22"/>
  <c r="B452" i="22"/>
  <c r="D452" i="22"/>
  <c r="E452" i="22"/>
  <c r="B453" i="22"/>
  <c r="D453" i="22"/>
  <c r="E453" i="22"/>
  <c r="B454" i="22"/>
  <c r="D454" i="22"/>
  <c r="E454" i="22"/>
  <c r="B455" i="22"/>
  <c r="D455" i="22"/>
  <c r="E455" i="22"/>
  <c r="B456" i="22"/>
  <c r="D456" i="22"/>
  <c r="E456" i="22"/>
  <c r="B457" i="22"/>
  <c r="D457" i="22"/>
  <c r="E457" i="22"/>
  <c r="B458" i="22"/>
  <c r="D458" i="22"/>
  <c r="E458" i="22"/>
  <c r="B459" i="22"/>
  <c r="D459" i="22"/>
  <c r="E459" i="22"/>
  <c r="B460" i="22"/>
  <c r="D460" i="22"/>
  <c r="E460" i="22"/>
  <c r="B461" i="22"/>
  <c r="D461" i="22"/>
  <c r="E461" i="22"/>
  <c r="B462" i="22"/>
  <c r="D462" i="22"/>
  <c r="E462" i="22"/>
  <c r="B463" i="22"/>
  <c r="D463" i="22"/>
  <c r="E463" i="22"/>
  <c r="B464" i="22"/>
  <c r="D464" i="22"/>
  <c r="E464" i="22"/>
  <c r="B465" i="22"/>
  <c r="D465" i="22"/>
  <c r="E465" i="22"/>
  <c r="B466" i="22"/>
  <c r="D466" i="22"/>
  <c r="E466" i="22"/>
  <c r="B467" i="22"/>
  <c r="D467" i="22"/>
  <c r="E467" i="22"/>
  <c r="B468" i="22"/>
  <c r="D468" i="22"/>
  <c r="E468" i="22"/>
  <c r="K468" i="22"/>
  <c r="J468" i="22" s="1"/>
  <c r="B469" i="22"/>
  <c r="D469" i="22"/>
  <c r="E469" i="22"/>
  <c r="B470" i="22"/>
  <c r="D470" i="22"/>
  <c r="E470" i="22"/>
  <c r="B471" i="22"/>
  <c r="D471" i="22"/>
  <c r="E471" i="22"/>
  <c r="B472" i="22"/>
  <c r="D472" i="22"/>
  <c r="E472" i="22"/>
  <c r="B473" i="22"/>
  <c r="D473" i="22"/>
  <c r="E473" i="22"/>
  <c r="K473" i="22"/>
  <c r="J473" i="22" s="1"/>
  <c r="K375" i="22"/>
  <c r="J375" i="22" s="1"/>
  <c r="E375" i="22"/>
  <c r="D375" i="22"/>
  <c r="B375" i="22"/>
  <c r="E374" i="22"/>
  <c r="D374" i="22"/>
  <c r="B374" i="22"/>
  <c r="K373" i="22"/>
  <c r="J373" i="22" s="1"/>
  <c r="E373" i="22"/>
  <c r="D373" i="22"/>
  <c r="B373" i="22"/>
  <c r="E372" i="22"/>
  <c r="D372" i="22"/>
  <c r="B372" i="22"/>
  <c r="E371" i="22"/>
  <c r="D371" i="22"/>
  <c r="B371" i="22"/>
  <c r="E370" i="22"/>
  <c r="D370" i="22"/>
  <c r="B370" i="22"/>
  <c r="E369" i="22"/>
  <c r="D369" i="22"/>
  <c r="B369" i="22"/>
  <c r="E368" i="22"/>
  <c r="D368" i="22"/>
  <c r="B368" i="22"/>
  <c r="E367" i="22"/>
  <c r="D367" i="22"/>
  <c r="B367" i="22"/>
  <c r="E366" i="22"/>
  <c r="D366" i="22"/>
  <c r="B366" i="22"/>
  <c r="E365" i="22"/>
  <c r="D365" i="22"/>
  <c r="B365" i="22"/>
  <c r="E364" i="22"/>
  <c r="D364" i="22"/>
  <c r="B364" i="22"/>
  <c r="E363" i="22"/>
  <c r="D363" i="22"/>
  <c r="B363" i="22"/>
  <c r="E362" i="22"/>
  <c r="D362" i="22"/>
  <c r="B362" i="22"/>
  <c r="E361" i="22"/>
  <c r="D361" i="22"/>
  <c r="B361" i="22"/>
  <c r="E360" i="22"/>
  <c r="D360" i="22"/>
  <c r="B360" i="22"/>
  <c r="E359" i="22"/>
  <c r="D359" i="22"/>
  <c r="B359" i="22"/>
  <c r="K358" i="22"/>
  <c r="J358" i="22" s="1"/>
  <c r="E358" i="22"/>
  <c r="D358" i="22"/>
  <c r="B358" i="22"/>
  <c r="E357" i="22"/>
  <c r="D357" i="22"/>
  <c r="B357" i="22"/>
  <c r="E356" i="22"/>
  <c r="D356" i="22"/>
  <c r="B356" i="22"/>
  <c r="E355" i="22"/>
  <c r="D355" i="22"/>
  <c r="B355" i="22"/>
  <c r="E354" i="22"/>
  <c r="D354" i="22"/>
  <c r="B354" i="22"/>
  <c r="E353" i="22"/>
  <c r="D353" i="22"/>
  <c r="B353" i="22"/>
  <c r="E352" i="22"/>
  <c r="D352" i="22"/>
  <c r="B352" i="22"/>
  <c r="K351" i="22"/>
  <c r="J351" i="22" s="1"/>
  <c r="E351" i="22"/>
  <c r="D351" i="22"/>
  <c r="B351" i="22"/>
  <c r="K350" i="22"/>
  <c r="J350" i="22" s="1"/>
  <c r="E350" i="22"/>
  <c r="D350" i="22"/>
  <c r="B350" i="22"/>
  <c r="E349" i="22"/>
  <c r="D349" i="22"/>
  <c r="B349" i="22"/>
  <c r="E348" i="22"/>
  <c r="D348" i="22"/>
  <c r="B348" i="22"/>
  <c r="E347" i="22"/>
  <c r="D347" i="22"/>
  <c r="B347" i="22"/>
  <c r="E346" i="22"/>
  <c r="D346" i="22"/>
  <c r="B346" i="22"/>
  <c r="E345" i="22"/>
  <c r="D345" i="22"/>
  <c r="B345" i="22"/>
  <c r="E344" i="22"/>
  <c r="D344" i="22"/>
  <c r="B344" i="22"/>
  <c r="E343" i="22"/>
  <c r="D343" i="22"/>
  <c r="B343" i="22"/>
  <c r="E342" i="22"/>
  <c r="D342" i="22"/>
  <c r="B342" i="22"/>
  <c r="E341" i="22"/>
  <c r="D341" i="22"/>
  <c r="B341" i="22"/>
  <c r="E340" i="22"/>
  <c r="D340" i="22"/>
  <c r="B340" i="22"/>
  <c r="E339" i="22"/>
  <c r="D339" i="22"/>
  <c r="B339" i="22"/>
  <c r="E338" i="22"/>
  <c r="D338" i="22"/>
  <c r="B338" i="22"/>
  <c r="E337" i="22"/>
  <c r="D337" i="22"/>
  <c r="B337" i="22"/>
  <c r="E336" i="22"/>
  <c r="D336" i="22"/>
  <c r="B336" i="22"/>
  <c r="E335" i="22"/>
  <c r="D335" i="22"/>
  <c r="B335" i="22"/>
  <c r="E334" i="22"/>
  <c r="D334" i="22"/>
  <c r="B334" i="22"/>
  <c r="E333" i="22"/>
  <c r="D333" i="22"/>
  <c r="B333" i="22"/>
  <c r="E332" i="22"/>
  <c r="D332" i="22"/>
  <c r="B332" i="22"/>
  <c r="K331" i="22"/>
  <c r="J331" i="22" s="1"/>
  <c r="E331" i="22"/>
  <c r="D331" i="22"/>
  <c r="B331" i="22"/>
  <c r="E330" i="22"/>
  <c r="D330" i="22"/>
  <c r="B330" i="22"/>
  <c r="E329" i="22"/>
  <c r="D329" i="22"/>
  <c r="B329" i="22"/>
  <c r="E328" i="22"/>
  <c r="D328" i="22"/>
  <c r="B328" i="22"/>
  <c r="E327" i="22"/>
  <c r="D327" i="22"/>
  <c r="B327" i="22"/>
  <c r="E326" i="22"/>
  <c r="D326" i="22"/>
  <c r="B326" i="22"/>
  <c r="E325" i="22"/>
  <c r="D325" i="22"/>
  <c r="B325" i="22"/>
  <c r="E324" i="22"/>
  <c r="D324" i="22"/>
  <c r="B324" i="22"/>
  <c r="E323" i="22"/>
  <c r="D323" i="22"/>
  <c r="B323" i="22"/>
  <c r="E322" i="22"/>
  <c r="D322" i="22"/>
  <c r="B322" i="22"/>
  <c r="E321" i="22"/>
  <c r="D321" i="22"/>
  <c r="B321" i="22"/>
  <c r="E320" i="22"/>
  <c r="D320" i="22"/>
  <c r="B320" i="22"/>
  <c r="E319" i="22"/>
  <c r="D319" i="22"/>
  <c r="B319" i="22"/>
  <c r="E318" i="22"/>
  <c r="D318" i="22"/>
  <c r="B318" i="22"/>
  <c r="E317" i="22"/>
  <c r="D317" i="22"/>
  <c r="B317" i="22"/>
  <c r="K316" i="22"/>
  <c r="J316" i="22" s="1"/>
  <c r="E316" i="22"/>
  <c r="D316" i="22"/>
  <c r="B316" i="22"/>
  <c r="E315" i="22"/>
  <c r="D315" i="22"/>
  <c r="B315" i="22"/>
  <c r="E314" i="22"/>
  <c r="D314" i="22"/>
  <c r="B314" i="22"/>
  <c r="E313" i="22"/>
  <c r="D313" i="22"/>
  <c r="B313" i="22"/>
  <c r="E312" i="22"/>
  <c r="D312" i="22"/>
  <c r="B312" i="22"/>
  <c r="E311" i="22"/>
  <c r="D311" i="22"/>
  <c r="B311" i="22"/>
  <c r="E310" i="22"/>
  <c r="D310" i="22"/>
  <c r="B310" i="22"/>
  <c r="E309" i="22"/>
  <c r="D309" i="22"/>
  <c r="B309" i="22"/>
  <c r="E308" i="22"/>
  <c r="D308" i="22"/>
  <c r="B308" i="22"/>
  <c r="E307" i="22"/>
  <c r="D307" i="22"/>
  <c r="B307" i="22"/>
  <c r="E306" i="22"/>
  <c r="D306" i="22"/>
  <c r="B306" i="22"/>
  <c r="E305" i="22"/>
  <c r="D305" i="22"/>
  <c r="B305" i="22"/>
  <c r="E304" i="22"/>
  <c r="D304" i="22"/>
  <c r="B304" i="22"/>
  <c r="K303" i="22"/>
  <c r="J303" i="22" s="1"/>
  <c r="E303" i="22"/>
  <c r="D303" i="22"/>
  <c r="B303" i="22"/>
  <c r="E302" i="22"/>
  <c r="D302" i="22"/>
  <c r="B302" i="22"/>
  <c r="E301" i="22"/>
  <c r="D301" i="22"/>
  <c r="B301" i="22"/>
  <c r="K300" i="22"/>
  <c r="J300" i="22" s="1"/>
  <c r="E300" i="22"/>
  <c r="D300" i="22"/>
  <c r="B300" i="22"/>
  <c r="E299" i="22"/>
  <c r="D299" i="22"/>
  <c r="B299" i="22"/>
  <c r="K298" i="22"/>
  <c r="J298" i="22" s="1"/>
  <c r="E298" i="22"/>
  <c r="D298" i="22"/>
  <c r="B298" i="22"/>
  <c r="K297" i="22"/>
  <c r="J297" i="22" s="1"/>
  <c r="E297" i="22"/>
  <c r="D297" i="22"/>
  <c r="B297" i="22"/>
  <c r="E296" i="22"/>
  <c r="D296" i="22"/>
  <c r="B296" i="22"/>
  <c r="E295" i="22"/>
  <c r="D295" i="22"/>
  <c r="B295" i="22"/>
  <c r="E294" i="22"/>
  <c r="D294" i="22"/>
  <c r="B294" i="22"/>
  <c r="E293" i="22"/>
  <c r="D293" i="22"/>
  <c r="B293" i="22"/>
  <c r="E292" i="22"/>
  <c r="D292" i="22"/>
  <c r="B292" i="22"/>
  <c r="E291" i="22"/>
  <c r="D291" i="22"/>
  <c r="B291" i="22"/>
  <c r="E290" i="22"/>
  <c r="D290" i="22"/>
  <c r="B290" i="22"/>
  <c r="E289" i="22"/>
  <c r="D289" i="22"/>
  <c r="B289" i="22"/>
  <c r="E288" i="22"/>
  <c r="D288" i="22"/>
  <c r="B288" i="22"/>
  <c r="E287" i="22"/>
  <c r="D287" i="22"/>
  <c r="B287" i="22"/>
  <c r="K286" i="22"/>
  <c r="J286" i="22" s="1"/>
  <c r="E286" i="22"/>
  <c r="D286" i="22"/>
  <c r="B286" i="22"/>
  <c r="E285" i="22"/>
  <c r="D285" i="22"/>
  <c r="B285" i="22"/>
  <c r="E284" i="22"/>
  <c r="D284" i="22"/>
  <c r="B284" i="22"/>
  <c r="K283" i="22"/>
  <c r="J283" i="22" s="1"/>
  <c r="E283" i="22"/>
  <c r="D283" i="22"/>
  <c r="B283" i="22"/>
  <c r="E282" i="22"/>
  <c r="D282" i="22"/>
  <c r="B282" i="22"/>
  <c r="E281" i="22"/>
  <c r="D281" i="22"/>
  <c r="B281" i="22"/>
  <c r="E280" i="22"/>
  <c r="D280" i="22"/>
  <c r="B280" i="22"/>
  <c r="K279" i="22"/>
  <c r="J279" i="22" s="1"/>
  <c r="E279" i="22"/>
  <c r="D279" i="22"/>
  <c r="B279" i="22"/>
  <c r="E278" i="22"/>
  <c r="D278" i="22"/>
  <c r="B278" i="22"/>
  <c r="E277" i="22"/>
  <c r="D277" i="22"/>
  <c r="B277" i="22"/>
  <c r="E276" i="22"/>
  <c r="D276" i="22"/>
  <c r="B276" i="22"/>
  <c r="E275" i="22"/>
  <c r="D275" i="22"/>
  <c r="B275" i="22"/>
  <c r="E274" i="22"/>
  <c r="D274" i="22"/>
  <c r="B274" i="22"/>
  <c r="E273" i="22"/>
  <c r="D273" i="22"/>
  <c r="B273" i="22"/>
  <c r="E272" i="22"/>
  <c r="D272" i="22"/>
  <c r="B272" i="22"/>
  <c r="K271" i="22"/>
  <c r="J271" i="22" s="1"/>
  <c r="E271" i="22"/>
  <c r="D271" i="22"/>
  <c r="B271" i="22"/>
  <c r="E270" i="22"/>
  <c r="D270" i="22"/>
  <c r="B270" i="22"/>
  <c r="E269" i="22"/>
  <c r="D269" i="22"/>
  <c r="B269" i="22"/>
  <c r="E268" i="22"/>
  <c r="D268" i="22"/>
  <c r="B268" i="22"/>
  <c r="E267" i="22"/>
  <c r="D267" i="22"/>
  <c r="B267" i="22"/>
  <c r="E266" i="22"/>
  <c r="D266" i="22"/>
  <c r="B266" i="22"/>
  <c r="E265" i="22"/>
  <c r="D265" i="22"/>
  <c r="B265" i="22"/>
  <c r="E264" i="22"/>
  <c r="D264" i="22"/>
  <c r="B264" i="22"/>
  <c r="E263" i="22"/>
  <c r="D263" i="22"/>
  <c r="B263" i="22"/>
  <c r="E262" i="22"/>
  <c r="D262" i="22"/>
  <c r="B262" i="22"/>
  <c r="E261" i="22"/>
  <c r="D261" i="22"/>
  <c r="B261" i="22"/>
  <c r="E260" i="22"/>
  <c r="D260" i="22"/>
  <c r="B260" i="22"/>
  <c r="E259" i="22"/>
  <c r="D259" i="22"/>
  <c r="B259" i="22"/>
  <c r="E258" i="22"/>
  <c r="D258" i="22"/>
  <c r="B258" i="22"/>
  <c r="K257" i="22"/>
  <c r="J257" i="22" s="1"/>
  <c r="E257" i="22"/>
  <c r="D257" i="22"/>
  <c r="B257" i="22"/>
  <c r="E256" i="22"/>
  <c r="D256" i="22"/>
  <c r="B256" i="22"/>
  <c r="E255" i="22"/>
  <c r="D255" i="22"/>
  <c r="B255" i="22"/>
  <c r="E254" i="22"/>
  <c r="D254" i="22"/>
  <c r="B254" i="22"/>
  <c r="K253" i="22"/>
  <c r="J253" i="22" s="1"/>
  <c r="E253" i="22"/>
  <c r="D253" i="22"/>
  <c r="B253" i="22"/>
  <c r="E252" i="22"/>
  <c r="D252" i="22"/>
  <c r="B252" i="22"/>
  <c r="E251" i="22"/>
  <c r="D251" i="22"/>
  <c r="B251" i="22"/>
  <c r="E250" i="22"/>
  <c r="D250" i="22"/>
  <c r="B250" i="22"/>
  <c r="K249" i="22"/>
  <c r="J249" i="22" s="1"/>
  <c r="E249" i="22"/>
  <c r="D249" i="22"/>
  <c r="B249" i="22"/>
  <c r="E248" i="22"/>
  <c r="D248" i="22"/>
  <c r="B248" i="22"/>
  <c r="E247" i="22"/>
  <c r="D247" i="22"/>
  <c r="B247" i="22"/>
  <c r="E246" i="22"/>
  <c r="D246" i="22"/>
  <c r="B246" i="22"/>
  <c r="E245" i="22"/>
  <c r="D245" i="22"/>
  <c r="B245" i="22"/>
  <c r="E244" i="22"/>
  <c r="D244" i="22"/>
  <c r="B244" i="22"/>
  <c r="E243" i="22"/>
  <c r="D243" i="22"/>
  <c r="B243" i="22"/>
  <c r="E242" i="22"/>
  <c r="D242" i="22"/>
  <c r="B242" i="22"/>
  <c r="E241" i="22"/>
  <c r="D241" i="22"/>
  <c r="B241" i="22"/>
  <c r="E240" i="22"/>
  <c r="D240" i="22"/>
  <c r="B240" i="22"/>
  <c r="E239" i="22"/>
  <c r="D239" i="22"/>
  <c r="B239" i="22"/>
  <c r="E238" i="22"/>
  <c r="D238" i="22"/>
  <c r="B238" i="22"/>
  <c r="E237" i="22"/>
  <c r="D237" i="22"/>
  <c r="B237" i="22"/>
  <c r="K236" i="22"/>
  <c r="J236" i="22" s="1"/>
  <c r="E236" i="22"/>
  <c r="D236" i="22"/>
  <c r="B236" i="22"/>
  <c r="E235" i="22"/>
  <c r="D235" i="22"/>
  <c r="B235" i="22"/>
  <c r="E234" i="22"/>
  <c r="D234" i="22"/>
  <c r="B234" i="22"/>
  <c r="E233" i="22"/>
  <c r="D233" i="22"/>
  <c r="B233" i="22"/>
  <c r="E232" i="22"/>
  <c r="D232" i="22"/>
  <c r="B232" i="22"/>
  <c r="E231" i="22"/>
  <c r="D231" i="22"/>
  <c r="B231" i="22"/>
  <c r="E230" i="22"/>
  <c r="D230" i="22"/>
  <c r="B230" i="22"/>
  <c r="E229" i="22"/>
  <c r="D229" i="22"/>
  <c r="B229" i="22"/>
  <c r="E228" i="22"/>
  <c r="D228" i="22"/>
  <c r="B228" i="22"/>
  <c r="E227" i="22"/>
  <c r="D227" i="22"/>
  <c r="B227" i="22"/>
  <c r="E226" i="22"/>
  <c r="D226" i="22"/>
  <c r="B226" i="22"/>
  <c r="E225" i="22"/>
  <c r="D225" i="22"/>
  <c r="B225" i="22"/>
  <c r="E224" i="22"/>
  <c r="D224" i="22"/>
  <c r="B224" i="22"/>
  <c r="E223" i="22"/>
  <c r="D223" i="22"/>
  <c r="B223" i="22"/>
  <c r="E222" i="22"/>
  <c r="D222" i="22"/>
  <c r="B222" i="22"/>
  <c r="E221" i="22"/>
  <c r="D221" i="22"/>
  <c r="B221" i="22"/>
  <c r="K220" i="22"/>
  <c r="J220" i="22" s="1"/>
  <c r="E220" i="22"/>
  <c r="D220" i="22"/>
  <c r="B220" i="22"/>
  <c r="E219" i="22"/>
  <c r="D219" i="22"/>
  <c r="B219" i="22"/>
  <c r="E218" i="22"/>
  <c r="D218" i="22"/>
  <c r="B218" i="22"/>
  <c r="E217" i="22"/>
  <c r="D217" i="22"/>
  <c r="B217" i="22"/>
  <c r="K216" i="22"/>
  <c r="J216" i="22" s="1"/>
  <c r="E216" i="22"/>
  <c r="D216" i="22"/>
  <c r="B216" i="22"/>
  <c r="E215" i="22"/>
  <c r="D215" i="22"/>
  <c r="B215" i="22"/>
  <c r="E214" i="22"/>
  <c r="D214" i="22"/>
  <c r="B214" i="22"/>
  <c r="E213" i="22"/>
  <c r="D213" i="22"/>
  <c r="B213" i="22"/>
  <c r="E212" i="22"/>
  <c r="D212" i="22"/>
  <c r="B212" i="22"/>
  <c r="E211" i="22"/>
  <c r="D211" i="22"/>
  <c r="B211" i="22"/>
  <c r="E210" i="22"/>
  <c r="D210" i="22"/>
  <c r="B210" i="22"/>
  <c r="E209" i="22"/>
  <c r="D209" i="22"/>
  <c r="B209" i="22"/>
  <c r="E208" i="22"/>
  <c r="D208" i="22"/>
  <c r="B208" i="22"/>
  <c r="E207" i="22"/>
  <c r="D207" i="22"/>
  <c r="B207" i="22"/>
  <c r="E206" i="22"/>
  <c r="D206" i="22"/>
  <c r="B206" i="22"/>
  <c r="K205" i="22"/>
  <c r="J205" i="22" s="1"/>
  <c r="E205" i="22"/>
  <c r="D205" i="22"/>
  <c r="B205" i="22"/>
  <c r="E204" i="22"/>
  <c r="D204" i="22"/>
  <c r="B204" i="22"/>
  <c r="E203" i="22"/>
  <c r="D203" i="22"/>
  <c r="B203" i="22"/>
  <c r="E202" i="22"/>
  <c r="D202" i="22"/>
  <c r="B202" i="22"/>
  <c r="E201" i="22"/>
  <c r="D201" i="22"/>
  <c r="B201" i="22"/>
  <c r="E200" i="22"/>
  <c r="D200" i="22"/>
  <c r="B200" i="22"/>
  <c r="E199" i="22"/>
  <c r="D199" i="22"/>
  <c r="B199" i="22"/>
  <c r="E198" i="22"/>
  <c r="D198" i="22"/>
  <c r="B198" i="22"/>
  <c r="E197" i="22"/>
  <c r="D197" i="22"/>
  <c r="B197" i="22"/>
  <c r="E196" i="22"/>
  <c r="D196" i="22"/>
  <c r="B196" i="22"/>
  <c r="E195" i="22"/>
  <c r="D195" i="22"/>
  <c r="B195" i="22"/>
  <c r="K194" i="22"/>
  <c r="J194" i="22" s="1"/>
  <c r="E194" i="22"/>
  <c r="D194" i="22"/>
  <c r="B194" i="22"/>
  <c r="E193" i="22"/>
  <c r="D193" i="22"/>
  <c r="B193" i="22"/>
  <c r="K192" i="22"/>
  <c r="J192" i="22" s="1"/>
  <c r="E192" i="22"/>
  <c r="D192" i="22"/>
  <c r="B192" i="22"/>
  <c r="E191" i="22"/>
  <c r="D191" i="22"/>
  <c r="B191" i="22"/>
  <c r="E190" i="22"/>
  <c r="D190" i="22"/>
  <c r="B190" i="22"/>
  <c r="E189" i="22"/>
  <c r="D189" i="22"/>
  <c r="B189" i="22"/>
  <c r="E188" i="22"/>
  <c r="D188" i="22"/>
  <c r="B188" i="22"/>
  <c r="E187" i="22"/>
  <c r="D187" i="22"/>
  <c r="B187" i="22"/>
  <c r="E186" i="22"/>
  <c r="D186" i="22"/>
  <c r="B186" i="22"/>
  <c r="E185" i="22"/>
  <c r="D185" i="22"/>
  <c r="B185" i="22"/>
  <c r="E184" i="22"/>
  <c r="D184" i="22"/>
  <c r="B184" i="22"/>
  <c r="E183" i="22"/>
  <c r="D183" i="22"/>
  <c r="B183" i="22"/>
  <c r="E182" i="22"/>
  <c r="D182" i="22"/>
  <c r="B182" i="22"/>
  <c r="E181" i="22"/>
  <c r="D181" i="22"/>
  <c r="B181" i="22"/>
  <c r="E180" i="22"/>
  <c r="D180" i="22"/>
  <c r="B180" i="22"/>
  <c r="E179" i="22"/>
  <c r="D179" i="22"/>
  <c r="B179" i="22"/>
  <c r="E178" i="22"/>
  <c r="D178" i="22"/>
  <c r="B178" i="22"/>
  <c r="E177" i="22"/>
  <c r="D177" i="22"/>
  <c r="B177" i="22"/>
  <c r="E176" i="22"/>
  <c r="D176" i="22"/>
  <c r="B176" i="22"/>
  <c r="E175" i="22"/>
  <c r="D175" i="22"/>
  <c r="B175" i="22"/>
  <c r="E174" i="22"/>
  <c r="D174" i="22"/>
  <c r="B174" i="22"/>
  <c r="E173" i="22"/>
  <c r="D173" i="22"/>
  <c r="B173" i="22"/>
  <c r="K172" i="22"/>
  <c r="J172" i="22" s="1"/>
  <c r="E172" i="22"/>
  <c r="D172" i="22"/>
  <c r="B172" i="22"/>
  <c r="K171" i="22"/>
  <c r="J171" i="22" s="1"/>
  <c r="E171" i="22"/>
  <c r="D171" i="22"/>
  <c r="B171" i="22"/>
  <c r="E170" i="22"/>
  <c r="D170" i="22"/>
  <c r="B170" i="22"/>
  <c r="E169" i="22"/>
  <c r="D169" i="22"/>
  <c r="B169" i="22"/>
  <c r="E168" i="22"/>
  <c r="D168" i="22"/>
  <c r="B168" i="22"/>
  <c r="E167" i="22"/>
  <c r="D167" i="22"/>
  <c r="B167" i="22"/>
  <c r="E166" i="22"/>
  <c r="D166" i="22"/>
  <c r="B166" i="22"/>
  <c r="E165" i="22"/>
  <c r="D165" i="22"/>
  <c r="B165" i="22"/>
  <c r="E164" i="22"/>
  <c r="D164" i="22"/>
  <c r="B164" i="22"/>
  <c r="E163" i="22"/>
  <c r="D163" i="22"/>
  <c r="B163" i="22"/>
  <c r="E162" i="22"/>
  <c r="D162" i="22"/>
  <c r="B162" i="22"/>
  <c r="E161" i="22"/>
  <c r="D161" i="22"/>
  <c r="B161" i="22"/>
  <c r="E160" i="22"/>
  <c r="D160" i="22"/>
  <c r="B160" i="22"/>
  <c r="E159" i="22"/>
  <c r="D159" i="22"/>
  <c r="B159" i="22"/>
  <c r="K158" i="22"/>
  <c r="J158" i="22" s="1"/>
  <c r="E158" i="22"/>
  <c r="D158" i="22"/>
  <c r="B158" i="22"/>
  <c r="E157" i="22"/>
  <c r="D157" i="22"/>
  <c r="B157" i="22"/>
  <c r="E156" i="22"/>
  <c r="D156" i="22"/>
  <c r="B156" i="22"/>
  <c r="K155" i="22"/>
  <c r="E155" i="22"/>
  <c r="B155" i="22"/>
  <c r="K154" i="22"/>
  <c r="E154" i="22"/>
  <c r="B154" i="22"/>
  <c r="E153" i="22"/>
  <c r="D153" i="22"/>
  <c r="B153" i="22"/>
  <c r="E152" i="22"/>
  <c r="D152" i="22"/>
  <c r="B152" i="22"/>
  <c r="E151" i="22"/>
  <c r="D151" i="22"/>
  <c r="B151" i="22"/>
  <c r="E150" i="22"/>
  <c r="D150" i="22"/>
  <c r="B150" i="22"/>
  <c r="E149" i="22"/>
  <c r="D149" i="22"/>
  <c r="B149" i="22"/>
  <c r="E148" i="22"/>
  <c r="D148" i="22"/>
  <c r="B148" i="22"/>
  <c r="E147" i="22"/>
  <c r="D147" i="22"/>
  <c r="B147" i="22"/>
  <c r="E146" i="22"/>
  <c r="D146" i="22"/>
  <c r="B146" i="22"/>
  <c r="E145" i="22"/>
  <c r="D145" i="22"/>
  <c r="B145" i="22"/>
  <c r="E144" i="22"/>
  <c r="D144" i="22"/>
  <c r="B144" i="22"/>
  <c r="E143" i="22"/>
  <c r="D143" i="22"/>
  <c r="B143" i="22"/>
  <c r="E142" i="22"/>
  <c r="D142" i="22"/>
  <c r="B142" i="22"/>
  <c r="E141" i="22"/>
  <c r="D141" i="22"/>
  <c r="B141" i="22"/>
  <c r="K140" i="22"/>
  <c r="J140" i="22" s="1"/>
  <c r="E140" i="22"/>
  <c r="D140" i="22"/>
  <c r="B140" i="22"/>
  <c r="E139" i="22"/>
  <c r="D139" i="22"/>
  <c r="B139" i="22"/>
  <c r="E138" i="22"/>
  <c r="D138" i="22"/>
  <c r="B138" i="22"/>
  <c r="E137" i="22"/>
  <c r="D137" i="22"/>
  <c r="B137" i="22"/>
  <c r="E136" i="22"/>
  <c r="D136" i="22"/>
  <c r="B136" i="22"/>
  <c r="E135" i="22"/>
  <c r="D135" i="22"/>
  <c r="B135" i="22"/>
  <c r="E134" i="22"/>
  <c r="D134" i="22"/>
  <c r="B134" i="22"/>
  <c r="E133" i="22"/>
  <c r="D133" i="22"/>
  <c r="B133" i="22"/>
  <c r="E132" i="22"/>
  <c r="D132" i="22"/>
  <c r="B132" i="22"/>
  <c r="E131" i="22"/>
  <c r="D131" i="22"/>
  <c r="B131" i="22"/>
  <c r="E130" i="22"/>
  <c r="D130" i="22"/>
  <c r="B130" i="22"/>
  <c r="E129" i="22"/>
  <c r="D129" i="22"/>
  <c r="B129" i="22"/>
  <c r="E128" i="22"/>
  <c r="D128" i="22"/>
  <c r="B128" i="22"/>
  <c r="E127" i="22"/>
  <c r="D127" i="22"/>
  <c r="B127" i="22"/>
  <c r="K126" i="22"/>
  <c r="J126" i="22" s="1"/>
  <c r="E126" i="22"/>
  <c r="D126" i="22"/>
  <c r="B126" i="22"/>
  <c r="K125" i="22"/>
  <c r="J125" i="22" s="1"/>
  <c r="E125" i="22"/>
  <c r="D125" i="22"/>
  <c r="B125" i="22"/>
  <c r="E124" i="22"/>
  <c r="D124" i="22"/>
  <c r="B124" i="22"/>
  <c r="E123" i="22"/>
  <c r="D123" i="22"/>
  <c r="B123" i="22"/>
  <c r="E122" i="22"/>
  <c r="D122" i="22"/>
  <c r="B122" i="22"/>
  <c r="K121" i="22"/>
  <c r="J121" i="22" s="1"/>
  <c r="E121" i="22"/>
  <c r="D121" i="22"/>
  <c r="B121" i="22"/>
  <c r="E120" i="22"/>
  <c r="D120" i="22"/>
  <c r="B120" i="22"/>
  <c r="E119" i="22"/>
  <c r="D119" i="22"/>
  <c r="B119" i="22"/>
  <c r="E118" i="22"/>
  <c r="D118" i="22"/>
  <c r="B118" i="22"/>
  <c r="E117" i="22"/>
  <c r="D117" i="22"/>
  <c r="B117" i="22"/>
  <c r="E116" i="22"/>
  <c r="D116" i="22"/>
  <c r="B116" i="22"/>
  <c r="E115" i="22"/>
  <c r="D115" i="22"/>
  <c r="B115" i="22"/>
  <c r="E114" i="22"/>
  <c r="D114" i="22"/>
  <c r="B114" i="22"/>
  <c r="E113" i="22"/>
  <c r="D113" i="22"/>
  <c r="B113" i="22"/>
  <c r="E112" i="22"/>
  <c r="D112" i="22"/>
  <c r="B112" i="22"/>
  <c r="E111" i="22"/>
  <c r="D111" i="22"/>
  <c r="B111" i="22"/>
  <c r="E110" i="22"/>
  <c r="D110" i="22"/>
  <c r="B110" i="22"/>
  <c r="E109" i="22"/>
  <c r="D109" i="22"/>
  <c r="B109" i="22"/>
  <c r="E108" i="22"/>
  <c r="D108" i="22"/>
  <c r="B108" i="22"/>
  <c r="E107" i="22"/>
  <c r="D107" i="22"/>
  <c r="B107" i="22"/>
  <c r="E106" i="22"/>
  <c r="D106" i="22"/>
  <c r="B106" i="22"/>
  <c r="K105" i="22"/>
  <c r="J105" i="22" s="1"/>
  <c r="E105" i="22"/>
  <c r="D105" i="22"/>
  <c r="B105" i="22"/>
  <c r="E104" i="22"/>
  <c r="D104" i="22"/>
  <c r="B104" i="22"/>
  <c r="E103" i="22"/>
  <c r="D103" i="22"/>
  <c r="B103" i="22"/>
  <c r="E102" i="22"/>
  <c r="D102" i="22"/>
  <c r="B102" i="22"/>
  <c r="E101" i="22"/>
  <c r="D101" i="22"/>
  <c r="B101" i="22"/>
  <c r="E100" i="22"/>
  <c r="D100" i="22"/>
  <c r="B100" i="22"/>
  <c r="E99" i="22"/>
  <c r="D99" i="22"/>
  <c r="B99" i="22"/>
  <c r="K98" i="22"/>
  <c r="J98" i="22" s="1"/>
  <c r="E98" i="22"/>
  <c r="D98" i="22"/>
  <c r="B98" i="22"/>
  <c r="E97" i="22"/>
  <c r="D97" i="22"/>
  <c r="B97" i="22"/>
  <c r="E96" i="22"/>
  <c r="D96" i="22"/>
  <c r="B96" i="22"/>
  <c r="E95" i="22"/>
  <c r="D95" i="22"/>
  <c r="B95" i="22"/>
  <c r="E94" i="22"/>
  <c r="D94" i="22"/>
  <c r="B94" i="22"/>
  <c r="E93" i="22"/>
  <c r="D93" i="22"/>
  <c r="B93" i="22"/>
  <c r="E92" i="22"/>
  <c r="D92" i="22"/>
  <c r="B92" i="22"/>
  <c r="E91" i="22"/>
  <c r="D91" i="22"/>
  <c r="B91" i="22"/>
  <c r="E90" i="22"/>
  <c r="D90" i="22"/>
  <c r="B90" i="22"/>
  <c r="E89" i="22"/>
  <c r="D89" i="22"/>
  <c r="B89" i="22"/>
  <c r="E88" i="22"/>
  <c r="D88" i="22"/>
  <c r="B88" i="22"/>
  <c r="E87" i="22"/>
  <c r="D87" i="22"/>
  <c r="B87" i="22"/>
  <c r="E86" i="22"/>
  <c r="D86" i="22"/>
  <c r="B86" i="22"/>
  <c r="K85" i="22"/>
  <c r="J85" i="22" s="1"/>
  <c r="E85" i="22"/>
  <c r="D85" i="22"/>
  <c r="B85" i="22"/>
  <c r="E84" i="22"/>
  <c r="D84" i="22"/>
  <c r="B84" i="22"/>
  <c r="E83" i="22"/>
  <c r="D83" i="22"/>
  <c r="B83" i="22"/>
  <c r="E82" i="22"/>
  <c r="D82" i="22"/>
  <c r="B82" i="22"/>
  <c r="E81" i="22"/>
  <c r="D81" i="22"/>
  <c r="B81" i="22"/>
  <c r="E80" i="22"/>
  <c r="D80" i="22"/>
  <c r="B80" i="22"/>
  <c r="E79" i="22"/>
  <c r="D79" i="22"/>
  <c r="B79" i="22"/>
  <c r="E78" i="22"/>
  <c r="D78" i="22"/>
  <c r="B78" i="22"/>
  <c r="K77" i="22"/>
  <c r="J77" i="22" s="1"/>
  <c r="E77" i="22"/>
  <c r="D77" i="22"/>
  <c r="B77" i="22"/>
  <c r="E76" i="22"/>
  <c r="D76" i="22"/>
  <c r="B76" i="22"/>
  <c r="E75" i="22"/>
  <c r="D75" i="22"/>
  <c r="B75" i="22"/>
  <c r="E74" i="22"/>
  <c r="D74" i="22"/>
  <c r="B74" i="22"/>
  <c r="E73" i="22"/>
  <c r="D73" i="22"/>
  <c r="B73" i="22"/>
  <c r="E72" i="22"/>
  <c r="D72" i="22"/>
  <c r="B72" i="22"/>
  <c r="E71" i="22"/>
  <c r="D71" i="22"/>
  <c r="B71" i="22"/>
  <c r="E70" i="22"/>
  <c r="D70" i="22"/>
  <c r="B70" i="22"/>
  <c r="E69" i="22"/>
  <c r="D69" i="22"/>
  <c r="B69" i="22"/>
  <c r="E68" i="22"/>
  <c r="D68" i="22"/>
  <c r="B68" i="22"/>
  <c r="E67" i="22"/>
  <c r="D67" i="22"/>
  <c r="B67" i="22"/>
  <c r="E66" i="22"/>
  <c r="D66" i="22"/>
  <c r="B66" i="22"/>
  <c r="E65" i="22"/>
  <c r="D65" i="22"/>
  <c r="B65" i="22"/>
  <c r="E64" i="22"/>
  <c r="D64" i="22"/>
  <c r="B64" i="22"/>
  <c r="K63" i="22"/>
  <c r="J63" i="22" s="1"/>
  <c r="E63" i="22"/>
  <c r="D63" i="22"/>
  <c r="B63" i="22"/>
  <c r="E62" i="22"/>
  <c r="D62" i="22"/>
  <c r="B62" i="22"/>
  <c r="E61" i="22"/>
  <c r="D61" i="22"/>
  <c r="B61" i="22"/>
  <c r="E60" i="22"/>
  <c r="D60" i="22"/>
  <c r="B60" i="22"/>
  <c r="E59" i="22"/>
  <c r="D59" i="22"/>
  <c r="B59" i="22"/>
  <c r="K58" i="22"/>
  <c r="J58" i="22" s="1"/>
  <c r="E58" i="22"/>
  <c r="D58" i="22"/>
  <c r="B58" i="22"/>
  <c r="E57" i="22"/>
  <c r="D57" i="22"/>
  <c r="B57" i="22"/>
  <c r="E56" i="22"/>
  <c r="D56" i="22"/>
  <c r="B56" i="22"/>
  <c r="E55" i="22"/>
  <c r="D55" i="22"/>
  <c r="B55" i="22"/>
  <c r="E54" i="22"/>
  <c r="D54" i="22"/>
  <c r="B54" i="22"/>
  <c r="E53" i="22"/>
  <c r="D53" i="22"/>
  <c r="B53" i="22"/>
  <c r="E52" i="22"/>
  <c r="D52" i="22"/>
  <c r="B52" i="22"/>
  <c r="E51" i="22"/>
  <c r="D51" i="22"/>
  <c r="B51" i="22"/>
  <c r="E50" i="22"/>
  <c r="D50" i="22"/>
  <c r="B50" i="22"/>
  <c r="K49" i="22"/>
  <c r="J49" i="22" s="1"/>
  <c r="E49" i="22"/>
  <c r="D49" i="22"/>
  <c r="B49" i="22"/>
  <c r="E48" i="22"/>
  <c r="D48" i="22"/>
  <c r="B48" i="22"/>
  <c r="E47" i="22"/>
  <c r="D47" i="22"/>
  <c r="B47" i="22"/>
  <c r="E46" i="22"/>
  <c r="D46" i="22"/>
  <c r="B46" i="22"/>
  <c r="E45" i="22"/>
  <c r="D45" i="22"/>
  <c r="B45" i="22"/>
  <c r="E44" i="22"/>
  <c r="D44" i="22"/>
  <c r="B44" i="22"/>
  <c r="E43" i="22"/>
  <c r="D43" i="22"/>
  <c r="B43" i="22"/>
  <c r="E42" i="22"/>
  <c r="D42" i="22"/>
  <c r="B42" i="22"/>
  <c r="E41" i="22"/>
  <c r="D41" i="22"/>
  <c r="B41" i="22"/>
  <c r="E40" i="22"/>
  <c r="D40" i="22"/>
  <c r="B40" i="22"/>
  <c r="E39" i="22"/>
  <c r="D39" i="22"/>
  <c r="B39" i="22"/>
  <c r="E38" i="22"/>
  <c r="D38" i="22"/>
  <c r="B38" i="22"/>
  <c r="E37" i="22"/>
  <c r="D37" i="22"/>
  <c r="B37" i="22"/>
  <c r="E36" i="22"/>
  <c r="D36" i="22"/>
  <c r="B36" i="22"/>
  <c r="K35" i="22"/>
  <c r="J35" i="22" s="1"/>
  <c r="E35" i="22"/>
  <c r="D35" i="22"/>
  <c r="B35" i="22"/>
  <c r="E34" i="22"/>
  <c r="D34" i="22"/>
  <c r="B34" i="22"/>
  <c r="E33" i="22"/>
  <c r="D33" i="22"/>
  <c r="B33" i="22"/>
  <c r="E32" i="22"/>
  <c r="D32" i="22"/>
  <c r="B32" i="22"/>
  <c r="E31" i="22"/>
  <c r="D31" i="22"/>
  <c r="B31" i="22"/>
  <c r="E30" i="22"/>
  <c r="D30" i="22"/>
  <c r="B30" i="22"/>
  <c r="E29" i="22"/>
  <c r="D29" i="22"/>
  <c r="B29" i="22"/>
  <c r="E28" i="22"/>
  <c r="D28" i="22"/>
  <c r="B28" i="22"/>
  <c r="E27" i="22"/>
  <c r="D27" i="22"/>
  <c r="B27" i="22"/>
  <c r="E26" i="22"/>
  <c r="D26" i="22"/>
  <c r="B26" i="22"/>
  <c r="K25" i="22"/>
  <c r="J25" i="22" s="1"/>
  <c r="E25" i="22"/>
  <c r="D25" i="22"/>
  <c r="B25" i="22"/>
  <c r="E24" i="22"/>
  <c r="D24" i="22"/>
  <c r="B24" i="22"/>
  <c r="E23" i="22"/>
  <c r="D23" i="22"/>
  <c r="B23" i="22"/>
  <c r="E22" i="22"/>
  <c r="D22" i="22"/>
  <c r="B22" i="22"/>
  <c r="E21" i="22"/>
  <c r="D21" i="22"/>
  <c r="B21" i="22"/>
  <c r="E20" i="22"/>
  <c r="D20" i="22"/>
  <c r="B20" i="22"/>
  <c r="E19" i="22"/>
  <c r="D19" i="22"/>
  <c r="B19" i="22"/>
  <c r="E18" i="22"/>
  <c r="D18" i="22"/>
  <c r="B18" i="22"/>
  <c r="E17" i="22"/>
  <c r="D17" i="22"/>
  <c r="B17" i="22"/>
  <c r="E16" i="22"/>
  <c r="D16" i="22"/>
  <c r="B16" i="22"/>
  <c r="E15" i="22"/>
  <c r="D15" i="22"/>
  <c r="B15" i="22"/>
  <c r="K14" i="22"/>
  <c r="J14" i="22" s="1"/>
  <c r="E14" i="22"/>
  <c r="D14" i="22"/>
  <c r="B14" i="22"/>
  <c r="E13" i="22"/>
  <c r="D13" i="22"/>
  <c r="B13" i="22"/>
  <c r="E12" i="22"/>
  <c r="D12" i="22"/>
  <c r="B12" i="22"/>
  <c r="E11" i="22"/>
  <c r="D11" i="22"/>
  <c r="B11" i="22"/>
  <c r="E10" i="22"/>
  <c r="D10" i="22"/>
  <c r="B10" i="22"/>
  <c r="E9" i="22"/>
  <c r="D9" i="22"/>
  <c r="B9" i="22"/>
  <c r="E8" i="22"/>
  <c r="D8" i="22"/>
  <c r="B8" i="22"/>
  <c r="E7" i="22"/>
  <c r="D7" i="22"/>
  <c r="B7" i="22"/>
  <c r="E6" i="22"/>
  <c r="D6" i="22"/>
  <c r="B6" i="22"/>
  <c r="E5" i="22"/>
  <c r="D5" i="22"/>
  <c r="B5" i="22"/>
  <c r="E4" i="22"/>
  <c r="D4" i="22"/>
  <c r="B4" i="22"/>
  <c r="E3" i="22"/>
  <c r="D3" i="22"/>
  <c r="B3" i="22"/>
  <c r="J90" i="2"/>
  <c r="J91" i="2"/>
  <c r="J18" i="2"/>
  <c r="J17" i="2"/>
  <c r="J16" i="2"/>
  <c r="K939" i="22" l="1"/>
  <c r="J939" i="22" s="1"/>
  <c r="K1088" i="22"/>
  <c r="J1088" i="22" s="1"/>
  <c r="K1062" i="22"/>
  <c r="J1062" i="22" s="1"/>
  <c r="K1005" i="22"/>
  <c r="J1005" i="22" s="1"/>
  <c r="K1051" i="22"/>
  <c r="J1051" i="22" s="1"/>
  <c r="K1129" i="22"/>
  <c r="J1129" i="22" s="1"/>
  <c r="K1070" i="22"/>
  <c r="J1070" i="22" s="1"/>
  <c r="K1080" i="22"/>
  <c r="J1080" i="22" s="1"/>
  <c r="K1110" i="22"/>
  <c r="J1110" i="22" s="1"/>
  <c r="K1032" i="22"/>
  <c r="J1032" i="22" s="1"/>
  <c r="K1006" i="22"/>
  <c r="J1006" i="22" s="1"/>
  <c r="K990" i="22"/>
  <c r="J990" i="22" s="1"/>
  <c r="K898" i="22"/>
  <c r="J898" i="22" s="1"/>
  <c r="K878" i="22"/>
  <c r="J878" i="22" s="1"/>
  <c r="K897" i="22"/>
  <c r="J897" i="22" s="1"/>
  <c r="K910" i="22"/>
  <c r="J910" i="22" s="1"/>
  <c r="K940" i="22"/>
  <c r="J940" i="22" s="1"/>
  <c r="K862" i="22"/>
  <c r="J862" i="22" s="1"/>
  <c r="K828" i="22"/>
  <c r="J828" i="22" s="1"/>
  <c r="K854" i="22"/>
  <c r="J854" i="22" s="1"/>
  <c r="K811" i="22"/>
  <c r="J811" i="22" s="1"/>
  <c r="K760" i="22"/>
  <c r="J760" i="22" s="1"/>
  <c r="K612" i="22"/>
  <c r="J612" i="22" s="1"/>
  <c r="K761" i="22"/>
  <c r="J761" i="22" s="1"/>
  <c r="K784" i="22"/>
  <c r="J784" i="22" s="1"/>
  <c r="K706" i="22"/>
  <c r="J706" i="22" s="1"/>
  <c r="K662" i="22"/>
  <c r="J662" i="22" s="1"/>
  <c r="K503" i="22"/>
  <c r="J503" i="22" s="1"/>
  <c r="K515" i="22"/>
  <c r="J515" i="22" s="1"/>
  <c r="K528" i="22"/>
  <c r="J528" i="22" s="1"/>
  <c r="K426" i="22"/>
  <c r="J426" i="22" s="1"/>
  <c r="K569" i="22"/>
  <c r="J569" i="22" s="1"/>
  <c r="K611" i="22"/>
  <c r="J611" i="22" s="1"/>
  <c r="K487" i="22"/>
  <c r="J487" i="22" s="1"/>
  <c r="K496" i="22"/>
  <c r="J496" i="22" s="1"/>
  <c r="K439" i="22"/>
  <c r="J439" i="22" s="1"/>
  <c r="K460" i="22"/>
  <c r="J460" i="22" s="1"/>
  <c r="K459" i="22"/>
  <c r="J459" i="22" s="1"/>
  <c r="J114" i="2" l="1"/>
  <c r="J113" i="2"/>
  <c r="J115" i="2"/>
  <c r="J95" i="2"/>
  <c r="J88" i="2"/>
  <c r="J87" i="2"/>
  <c r="K975" i="22" s="1"/>
  <c r="J975" i="22" s="1"/>
  <c r="J86" i="2"/>
  <c r="J85" i="2"/>
  <c r="J82" i="2"/>
  <c r="K122" i="22" s="1"/>
  <c r="J122" i="22" s="1"/>
  <c r="J81" i="2"/>
  <c r="J80" i="2"/>
  <c r="J79" i="2"/>
  <c r="J70" i="2"/>
  <c r="K778" i="22" s="1"/>
  <c r="J778" i="22" s="1"/>
  <c r="J69" i="2"/>
  <c r="J68" i="2"/>
  <c r="J67" i="2"/>
  <c r="J66" i="2"/>
  <c r="K986" i="22" s="1"/>
  <c r="J986" i="22" s="1"/>
  <c r="J65" i="2"/>
  <c r="K1065" i="22" s="1"/>
  <c r="J1065" i="22" s="1"/>
  <c r="J64" i="2"/>
  <c r="J63" i="2"/>
  <c r="J59" i="2"/>
  <c r="J58" i="2"/>
  <c r="K775" i="22" s="1"/>
  <c r="J775" i="22" s="1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78" i="2"/>
  <c r="J77" i="2"/>
  <c r="J76" i="2"/>
  <c r="J75" i="2"/>
  <c r="J30" i="2"/>
  <c r="K531" i="22" s="1"/>
  <c r="J531" i="22" s="1"/>
  <c r="J29" i="2"/>
  <c r="J28" i="2"/>
  <c r="J27" i="2"/>
  <c r="J26" i="2"/>
  <c r="J25" i="2"/>
  <c r="K718" i="22" s="1"/>
  <c r="J718" i="22" s="1"/>
  <c r="J24" i="2"/>
  <c r="J23" i="2"/>
  <c r="J21" i="2"/>
  <c r="J12" i="2"/>
  <c r="J11" i="2"/>
  <c r="J10" i="2"/>
  <c r="J9" i="2"/>
  <c r="J8" i="2"/>
  <c r="J7" i="2"/>
  <c r="J6" i="2"/>
  <c r="J5" i="2"/>
  <c r="J4" i="2"/>
  <c r="J112" i="2"/>
  <c r="K398" i="22" s="1"/>
  <c r="J398" i="22" s="1"/>
  <c r="J111" i="2"/>
  <c r="J110" i="2"/>
  <c r="J109" i="2"/>
  <c r="J108" i="2"/>
  <c r="J107" i="2"/>
  <c r="J106" i="2"/>
  <c r="K399" i="22" s="1"/>
  <c r="J399" i="22" s="1"/>
  <c r="J105" i="2"/>
  <c r="J104" i="2"/>
  <c r="J103" i="2"/>
  <c r="J102" i="2"/>
  <c r="J101" i="2"/>
  <c r="J100" i="2"/>
  <c r="J99" i="2"/>
  <c r="J98" i="2"/>
  <c r="K743" i="22" l="1"/>
  <c r="J743" i="22" s="1"/>
  <c r="K603" i="22"/>
  <c r="J603" i="22" s="1"/>
  <c r="K1098" i="22"/>
  <c r="J1098" i="22" s="1"/>
  <c r="K907" i="22"/>
  <c r="J907" i="22" s="1"/>
  <c r="K1100" i="22"/>
  <c r="J1100" i="22" s="1"/>
  <c r="K1154" i="22"/>
  <c r="J1154" i="22" s="1"/>
  <c r="K1083" i="22"/>
  <c r="J1083" i="22" s="1"/>
  <c r="K1140" i="22"/>
  <c r="J1140" i="22" s="1"/>
  <c r="K981" i="22"/>
  <c r="J981" i="22" s="1"/>
  <c r="K996" i="22"/>
  <c r="J996" i="22" s="1"/>
  <c r="K1117" i="22"/>
  <c r="J1117" i="22" s="1"/>
  <c r="K970" i="22"/>
  <c r="J970" i="22" s="1"/>
  <c r="K1133" i="22"/>
  <c r="J1133" i="22" s="1"/>
  <c r="K1058" i="22"/>
  <c r="J1058" i="22" s="1"/>
  <c r="K1092" i="22"/>
  <c r="J1092" i="22" s="1"/>
  <c r="K1119" i="22"/>
  <c r="J1119" i="22" s="1"/>
  <c r="K985" i="22"/>
  <c r="J985" i="22" s="1"/>
  <c r="K1024" i="22"/>
  <c r="J1024" i="22" s="1"/>
  <c r="K1017" i="22"/>
  <c r="J1017" i="22" s="1"/>
  <c r="K1029" i="22"/>
  <c r="J1029" i="22" s="1"/>
  <c r="K1047" i="22"/>
  <c r="J1047" i="22" s="1"/>
  <c r="K1102" i="22"/>
  <c r="J1102" i="22" s="1"/>
  <c r="K1120" i="22"/>
  <c r="J1120" i="22" s="1"/>
  <c r="K1097" i="22"/>
  <c r="J1097" i="22" s="1"/>
  <c r="K1142" i="22"/>
  <c r="J1142" i="22" s="1"/>
  <c r="K995" i="22"/>
  <c r="J995" i="22" s="1"/>
  <c r="K1068" i="22"/>
  <c r="J1068" i="22" s="1"/>
  <c r="K1149" i="22"/>
  <c r="J1149" i="22" s="1"/>
  <c r="K960" i="22"/>
  <c r="J960" i="22" s="1"/>
  <c r="K937" i="22"/>
  <c r="J937" i="22" s="1"/>
  <c r="K1151" i="22"/>
  <c r="J1151" i="22" s="1"/>
  <c r="K1057" i="22"/>
  <c r="J1057" i="22" s="1"/>
  <c r="K1012" i="22"/>
  <c r="J1012" i="22" s="1"/>
  <c r="K962" i="22"/>
  <c r="J962" i="22" s="1"/>
  <c r="K1016" i="22"/>
  <c r="J1016" i="22" s="1"/>
  <c r="K1028" i="22"/>
  <c r="J1028" i="22" s="1"/>
  <c r="K1093" i="22"/>
  <c r="J1093" i="22" s="1"/>
  <c r="K1126" i="22"/>
  <c r="J1126" i="22" s="1"/>
  <c r="K839" i="22"/>
  <c r="J839" i="22" s="1"/>
  <c r="K1079" i="22"/>
  <c r="J1079" i="22" s="1"/>
  <c r="K1107" i="22"/>
  <c r="J1107" i="22" s="1"/>
  <c r="K979" i="22"/>
  <c r="J979" i="22" s="1"/>
  <c r="K1085" i="22"/>
  <c r="J1085" i="22" s="1"/>
  <c r="K1103" i="22"/>
  <c r="J1103" i="22" s="1"/>
  <c r="K1121" i="22"/>
  <c r="J1121" i="22" s="1"/>
  <c r="K974" i="22"/>
  <c r="J974" i="22" s="1"/>
  <c r="K998" i="22"/>
  <c r="J998" i="22" s="1"/>
  <c r="K1077" i="22"/>
  <c r="J1077" i="22" s="1"/>
  <c r="K963" i="22"/>
  <c r="J963" i="22" s="1"/>
  <c r="K1144" i="22"/>
  <c r="J1144" i="22" s="1"/>
  <c r="K1045" i="22"/>
  <c r="J1045" i="22" s="1"/>
  <c r="K1021" i="22"/>
  <c r="J1021" i="22" s="1"/>
  <c r="K953" i="22"/>
  <c r="J953" i="22" s="1"/>
  <c r="K1146" i="22"/>
  <c r="J1146" i="22" s="1"/>
  <c r="K1130" i="22"/>
  <c r="J1130" i="22" s="1"/>
  <c r="K1052" i="22"/>
  <c r="J1052" i="22" s="1"/>
  <c r="K1111" i="22"/>
  <c r="J1111" i="22" s="1"/>
  <c r="K1147" i="22"/>
  <c r="J1147" i="22" s="1"/>
  <c r="K1036" i="22"/>
  <c r="J1036" i="22" s="1"/>
  <c r="K980" i="22"/>
  <c r="J980" i="22" s="1"/>
  <c r="K992" i="22"/>
  <c r="J992" i="22" s="1"/>
  <c r="K1040" i="22"/>
  <c r="J1040" i="22" s="1"/>
  <c r="K1011" i="22"/>
  <c r="J1011" i="22" s="1"/>
  <c r="K1056" i="22"/>
  <c r="J1056" i="22" s="1"/>
  <c r="K1112" i="22"/>
  <c r="J1112" i="22" s="1"/>
  <c r="K1037" i="22"/>
  <c r="J1037" i="22" s="1"/>
  <c r="K1104" i="22"/>
  <c r="J1104" i="22" s="1"/>
  <c r="K1131" i="22"/>
  <c r="J1131" i="22" s="1"/>
  <c r="K1008" i="22"/>
  <c r="J1008" i="22" s="1"/>
  <c r="K884" i="22"/>
  <c r="J884" i="22" s="1"/>
  <c r="K982" i="22"/>
  <c r="J982" i="22" s="1"/>
  <c r="K1064" i="22"/>
  <c r="J1064" i="22" s="1"/>
  <c r="K1106" i="22"/>
  <c r="J1106" i="22" s="1"/>
  <c r="K959" i="22"/>
  <c r="J959" i="22" s="1"/>
  <c r="K972" i="22"/>
  <c r="J972" i="22" s="1"/>
  <c r="K984" i="22"/>
  <c r="J984" i="22" s="1"/>
  <c r="K1084" i="22"/>
  <c r="J1084" i="22" s="1"/>
  <c r="K1096" i="22"/>
  <c r="J1096" i="22" s="1"/>
  <c r="K1141" i="22"/>
  <c r="J1141" i="22" s="1"/>
  <c r="K994" i="22"/>
  <c r="J994" i="22" s="1"/>
  <c r="K1015" i="22"/>
  <c r="J1015" i="22" s="1"/>
  <c r="K1033" i="22"/>
  <c r="J1033" i="22" s="1"/>
  <c r="K1148" i="22"/>
  <c r="J1148" i="22" s="1"/>
  <c r="K954" i="22"/>
  <c r="J954" i="22" s="1"/>
  <c r="K1053" i="22"/>
  <c r="J1053" i="22" s="1"/>
  <c r="K1132" i="22"/>
  <c r="J1132" i="22" s="1"/>
  <c r="K991" i="22"/>
  <c r="J991" i="22" s="1"/>
  <c r="K968" i="22"/>
  <c r="J968" i="22" s="1"/>
  <c r="K955" i="22"/>
  <c r="J955" i="22" s="1"/>
  <c r="K1118" i="22"/>
  <c r="J1118" i="22" s="1"/>
  <c r="K983" i="22"/>
  <c r="J983" i="22" s="1"/>
  <c r="K1019" i="22"/>
  <c r="J1019" i="22" s="1"/>
  <c r="K1075" i="22"/>
  <c r="J1075" i="22" s="1"/>
  <c r="K976" i="22"/>
  <c r="J976" i="22" s="1"/>
  <c r="K997" i="22"/>
  <c r="J997" i="22" s="1"/>
  <c r="K1042" i="22"/>
  <c r="J1042" i="22" s="1"/>
  <c r="K1095" i="22"/>
  <c r="J1095" i="22" s="1"/>
  <c r="K1155" i="22"/>
  <c r="J1155" i="22" s="1"/>
  <c r="K1041" i="22"/>
  <c r="J1041" i="22" s="1"/>
  <c r="K1018" i="22"/>
  <c r="J1018" i="22" s="1"/>
  <c r="K876" i="22"/>
  <c r="J876" i="22" s="1"/>
  <c r="K1124" i="22"/>
  <c r="J1124" i="22" s="1"/>
  <c r="K1001" i="22"/>
  <c r="J1001" i="22" s="1"/>
  <c r="K1025" i="22"/>
  <c r="J1025" i="22" s="1"/>
  <c r="K966" i="22"/>
  <c r="J966" i="22" s="1"/>
  <c r="K1108" i="22"/>
  <c r="J1108" i="22" s="1"/>
  <c r="K1055" i="22"/>
  <c r="J1055" i="22" s="1"/>
  <c r="K957" i="22"/>
  <c r="J957" i="22" s="1"/>
  <c r="K1030" i="22"/>
  <c r="J1030" i="22" s="1"/>
  <c r="K1009" i="22"/>
  <c r="J1009" i="22" s="1"/>
  <c r="K956" i="22"/>
  <c r="J956" i="22" s="1"/>
  <c r="K971" i="22"/>
  <c r="J971" i="22" s="1"/>
  <c r="K1013" i="22"/>
  <c r="J1013" i="22" s="1"/>
  <c r="K1034" i="22"/>
  <c r="J1034" i="22" s="1"/>
  <c r="K993" i="22"/>
  <c r="J993" i="22" s="1"/>
  <c r="K1059" i="22"/>
  <c r="J1059" i="22" s="1"/>
  <c r="K1090" i="22"/>
  <c r="J1090" i="22" s="1"/>
  <c r="K1135" i="22"/>
  <c r="J1135" i="22" s="1"/>
  <c r="K932" i="22"/>
  <c r="J932" i="22" s="1"/>
  <c r="K1002" i="22"/>
  <c r="J1002" i="22" s="1"/>
  <c r="K1026" i="22"/>
  <c r="J1026" i="22" s="1"/>
  <c r="K771" i="22"/>
  <c r="J771" i="22" s="1"/>
  <c r="K1150" i="22"/>
  <c r="J1150" i="22" s="1"/>
  <c r="K1076" i="22"/>
  <c r="J1076" i="22" s="1"/>
  <c r="K1043" i="22"/>
  <c r="J1043" i="22" s="1"/>
  <c r="K1143" i="22"/>
  <c r="J1143" i="22" s="1"/>
  <c r="K1020" i="22"/>
  <c r="J1020" i="22" s="1"/>
  <c r="K1139" i="22"/>
  <c r="J1139" i="22" s="1"/>
  <c r="K1116" i="22"/>
  <c r="J1116" i="22" s="1"/>
  <c r="K969" i="22"/>
  <c r="J969" i="22" s="1"/>
  <c r="K1099" i="22"/>
  <c r="J1099" i="22" s="1"/>
  <c r="K958" i="22"/>
  <c r="J958" i="22" s="1"/>
  <c r="K877" i="22"/>
  <c r="J877" i="22" s="1"/>
  <c r="K1022" i="22"/>
  <c r="J1022" i="22" s="1"/>
  <c r="K1049" i="22"/>
  <c r="J1049" i="22" s="1"/>
  <c r="K1082" i="22"/>
  <c r="J1082" i="22" s="1"/>
  <c r="K1094" i="22"/>
  <c r="J1094" i="22" s="1"/>
  <c r="K1134" i="22"/>
  <c r="J1134" i="22" s="1"/>
  <c r="K1152" i="22"/>
  <c r="J1152" i="22" s="1"/>
  <c r="K1114" i="22"/>
  <c r="J1114" i="22" s="1"/>
  <c r="K967" i="22"/>
  <c r="J967" i="22" s="1"/>
  <c r="K1039" i="22"/>
  <c r="J1039" i="22" s="1"/>
  <c r="K893" i="22"/>
  <c r="J893" i="22" s="1"/>
  <c r="K1127" i="22"/>
  <c r="J1127" i="22" s="1"/>
  <c r="K989" i="22"/>
  <c r="J989" i="22" s="1"/>
  <c r="K1101" i="22"/>
  <c r="J1101" i="22" s="1"/>
  <c r="K965" i="22"/>
  <c r="J965" i="22" s="1"/>
  <c r="K1122" i="22"/>
  <c r="J1122" i="22" s="1"/>
  <c r="K988" i="22"/>
  <c r="J988" i="22" s="1"/>
  <c r="K1048" i="22"/>
  <c r="J1048" i="22" s="1"/>
  <c r="K1000" i="22"/>
  <c r="J1000" i="22" s="1"/>
  <c r="K1125" i="22"/>
  <c r="J1125" i="22" s="1"/>
  <c r="K961" i="22"/>
  <c r="J961" i="22" s="1"/>
  <c r="K1027" i="22"/>
  <c r="J1027" i="22" s="1"/>
  <c r="K1010" i="22"/>
  <c r="J1010" i="22" s="1"/>
  <c r="K1038" i="22"/>
  <c r="J1038" i="22" s="1"/>
  <c r="K1066" i="22"/>
  <c r="J1066" i="22" s="1"/>
  <c r="K1153" i="22"/>
  <c r="J1153" i="22" s="1"/>
  <c r="K1091" i="22"/>
  <c r="J1091" i="22" s="1"/>
  <c r="K1115" i="22"/>
  <c r="J1115" i="22" s="1"/>
  <c r="K1136" i="22"/>
  <c r="J1136" i="22" s="1"/>
  <c r="K1074" i="22"/>
  <c r="J1074" i="22" s="1"/>
  <c r="K1014" i="22"/>
  <c r="J1014" i="22" s="1"/>
  <c r="K1035" i="22"/>
  <c r="J1035" i="22" s="1"/>
  <c r="K1063" i="22"/>
  <c r="J1063" i="22" s="1"/>
  <c r="K1081" i="22"/>
  <c r="J1081" i="22" s="1"/>
  <c r="K1060" i="22"/>
  <c r="J1060" i="22" s="1"/>
  <c r="K1044" i="22"/>
  <c r="J1044" i="22" s="1"/>
  <c r="K973" i="22"/>
  <c r="J973" i="22" s="1"/>
  <c r="K915" i="22"/>
  <c r="J915" i="22" s="1"/>
  <c r="K934" i="22"/>
  <c r="J934" i="22" s="1"/>
  <c r="K950" i="22"/>
  <c r="J950" i="22" s="1"/>
  <c r="K895" i="22"/>
  <c r="J895" i="22" s="1"/>
  <c r="K922" i="22"/>
  <c r="J922" i="22" s="1"/>
  <c r="K900" i="22"/>
  <c r="J900" i="22" s="1"/>
  <c r="K880" i="22"/>
  <c r="J880" i="22" s="1"/>
  <c r="K946" i="22"/>
  <c r="J946" i="22" s="1"/>
  <c r="K887" i="22"/>
  <c r="J887" i="22" s="1"/>
  <c r="K110" i="22"/>
  <c r="J110" i="22" s="1"/>
  <c r="K888" i="22"/>
  <c r="J888" i="22" s="1"/>
  <c r="K914" i="22"/>
  <c r="J914" i="22" s="1"/>
  <c r="K947" i="22"/>
  <c r="J947" i="22" s="1"/>
  <c r="K933" i="22"/>
  <c r="J933" i="22" s="1"/>
  <c r="K904" i="22"/>
  <c r="J904" i="22" s="1"/>
  <c r="K916" i="22"/>
  <c r="J916" i="22" s="1"/>
  <c r="K892" i="22"/>
  <c r="J892" i="22" s="1"/>
  <c r="K919" i="22"/>
  <c r="J919" i="22" s="1"/>
  <c r="K926" i="22"/>
  <c r="J926" i="22" s="1"/>
  <c r="K941" i="22"/>
  <c r="J941" i="22" s="1"/>
  <c r="K927" i="22"/>
  <c r="J927" i="22" s="1"/>
  <c r="K883" i="22"/>
  <c r="J883" i="22" s="1"/>
  <c r="K918" i="22"/>
  <c r="J918" i="22" s="1"/>
  <c r="K925" i="22"/>
  <c r="J925" i="22" s="1"/>
  <c r="K928" i="22"/>
  <c r="J928" i="22" s="1"/>
  <c r="K935" i="22"/>
  <c r="J935" i="22" s="1"/>
  <c r="K890" i="22"/>
  <c r="J890" i="22" s="1"/>
  <c r="K902" i="22"/>
  <c r="J902" i="22" s="1"/>
  <c r="K885" i="22"/>
  <c r="J885" i="22" s="1"/>
  <c r="K882" i="22"/>
  <c r="J882" i="22" s="1"/>
  <c r="K924" i="22"/>
  <c r="J924" i="22" s="1"/>
  <c r="K949" i="22"/>
  <c r="J949" i="22" s="1"/>
  <c r="K951" i="22"/>
  <c r="J951" i="22" s="1"/>
  <c r="K908" i="22"/>
  <c r="J908" i="22" s="1"/>
  <c r="K920" i="22"/>
  <c r="J920" i="22" s="1"/>
  <c r="K929" i="22"/>
  <c r="J929" i="22" s="1"/>
  <c r="K948" i="22"/>
  <c r="J948" i="22" s="1"/>
  <c r="K901" i="22"/>
  <c r="J901" i="22" s="1"/>
  <c r="K881" i="22"/>
  <c r="J881" i="22" s="1"/>
  <c r="K896" i="22"/>
  <c r="J896" i="22" s="1"/>
  <c r="K879" i="22"/>
  <c r="J879" i="22" s="1"/>
  <c r="K912" i="22"/>
  <c r="J912" i="22" s="1"/>
  <c r="K905" i="22"/>
  <c r="J905" i="22" s="1"/>
  <c r="K936" i="22"/>
  <c r="J936" i="22" s="1"/>
  <c r="K923" i="22"/>
  <c r="J923" i="22" s="1"/>
  <c r="K891" i="22"/>
  <c r="J891" i="22" s="1"/>
  <c r="K903" i="22"/>
  <c r="J903" i="22" s="1"/>
  <c r="K930" i="22"/>
  <c r="J930" i="22" s="1"/>
  <c r="K942" i="22"/>
  <c r="J942" i="22" s="1"/>
  <c r="K766" i="22"/>
  <c r="J766" i="22" s="1"/>
  <c r="K861" i="22"/>
  <c r="J861" i="22" s="1"/>
  <c r="K673" i="22"/>
  <c r="J673" i="22" s="1"/>
  <c r="K804" i="22"/>
  <c r="J804" i="22" s="1"/>
  <c r="K848" i="22"/>
  <c r="J848" i="22" s="1"/>
  <c r="K834" i="22"/>
  <c r="J834" i="22" s="1"/>
  <c r="K817" i="22"/>
  <c r="J817" i="22" s="1"/>
  <c r="K821" i="22"/>
  <c r="J821" i="22" s="1"/>
  <c r="K801" i="22"/>
  <c r="J801" i="22" s="1"/>
  <c r="K866" i="22"/>
  <c r="J866" i="22" s="1"/>
  <c r="K852" i="22"/>
  <c r="J852" i="22" s="1"/>
  <c r="K832" i="22"/>
  <c r="J832" i="22" s="1"/>
  <c r="K875" i="22"/>
  <c r="J875" i="22" s="1"/>
  <c r="K840" i="22"/>
  <c r="J840" i="22" s="1"/>
  <c r="K855" i="22"/>
  <c r="J855" i="22" s="1"/>
  <c r="K812" i="22"/>
  <c r="J812" i="22" s="1"/>
  <c r="K842" i="22"/>
  <c r="J842" i="22" s="1"/>
  <c r="K830" i="22"/>
  <c r="J830" i="22" s="1"/>
  <c r="K870" i="22"/>
  <c r="J870" i="22" s="1"/>
  <c r="K859" i="22"/>
  <c r="J859" i="22" s="1"/>
  <c r="K868" i="22"/>
  <c r="J868" i="22" s="1"/>
  <c r="K816" i="22"/>
  <c r="J816" i="22" s="1"/>
  <c r="K822" i="22"/>
  <c r="J822" i="22" s="1"/>
  <c r="K802" i="22"/>
  <c r="J802" i="22" s="1"/>
  <c r="K871" i="22"/>
  <c r="J871" i="22" s="1"/>
  <c r="K849" i="22"/>
  <c r="J849" i="22" s="1"/>
  <c r="K827" i="22"/>
  <c r="J827" i="22" s="1"/>
  <c r="K860" i="22"/>
  <c r="J860" i="22" s="1"/>
  <c r="K826" i="22"/>
  <c r="J826" i="22" s="1"/>
  <c r="K858" i="22"/>
  <c r="J858" i="22" s="1"/>
  <c r="K838" i="22"/>
  <c r="J838" i="22" s="1"/>
  <c r="K833" i="22"/>
  <c r="J833" i="22" s="1"/>
  <c r="K869" i="22"/>
  <c r="J869" i="22" s="1"/>
  <c r="K823" i="22"/>
  <c r="J823" i="22" s="1"/>
  <c r="K867" i="22"/>
  <c r="J867" i="22" s="1"/>
  <c r="K810" i="22"/>
  <c r="J810" i="22" s="1"/>
  <c r="K815" i="22"/>
  <c r="J815" i="22" s="1"/>
  <c r="K831" i="22"/>
  <c r="J831" i="22" s="1"/>
  <c r="K864" i="22"/>
  <c r="J864" i="22" s="1"/>
  <c r="K844" i="22"/>
  <c r="J844" i="22" s="1"/>
  <c r="K824" i="22"/>
  <c r="J824" i="22" s="1"/>
  <c r="K856" i="22"/>
  <c r="J856" i="22" s="1"/>
  <c r="K845" i="22"/>
  <c r="J845" i="22" s="1"/>
  <c r="K847" i="22"/>
  <c r="J847" i="22" s="1"/>
  <c r="K865" i="22"/>
  <c r="J865" i="22" s="1"/>
  <c r="K851" i="22"/>
  <c r="J851" i="22" s="1"/>
  <c r="K843" i="22"/>
  <c r="J843" i="22" s="1"/>
  <c r="K813" i="22"/>
  <c r="J813" i="22" s="1"/>
  <c r="K803" i="22"/>
  <c r="J803" i="22" s="1"/>
  <c r="K695" i="22"/>
  <c r="J695" i="22" s="1"/>
  <c r="K715" i="22"/>
  <c r="J715" i="22" s="1"/>
  <c r="K744" i="22"/>
  <c r="J744" i="22" s="1"/>
  <c r="K511" i="22"/>
  <c r="J511" i="22" s="1"/>
  <c r="K725" i="22"/>
  <c r="J725" i="22" s="1"/>
  <c r="K716" i="22"/>
  <c r="J716" i="22" s="1"/>
  <c r="K714" i="22"/>
  <c r="J714" i="22" s="1"/>
  <c r="K756" i="22"/>
  <c r="J756" i="22" s="1"/>
  <c r="K774" i="22"/>
  <c r="J774" i="22" s="1"/>
  <c r="K791" i="22"/>
  <c r="J791" i="22" s="1"/>
  <c r="K754" i="22"/>
  <c r="J754" i="22" s="1"/>
  <c r="K604" i="22"/>
  <c r="J604" i="22" s="1"/>
  <c r="K737" i="22"/>
  <c r="J737" i="22" s="1"/>
  <c r="K650" i="22"/>
  <c r="J650" i="22" s="1"/>
  <c r="K755" i="22"/>
  <c r="J755" i="22" s="1"/>
  <c r="K773" i="22"/>
  <c r="J773" i="22" s="1"/>
  <c r="K741" i="22"/>
  <c r="J741" i="22" s="1"/>
  <c r="K729" i="22"/>
  <c r="J729" i="22" s="1"/>
  <c r="K790" i="22"/>
  <c r="J790" i="22" s="1"/>
  <c r="K734" i="22"/>
  <c r="J734" i="22" s="1"/>
  <c r="K727" i="22"/>
  <c r="J727" i="22" s="1"/>
  <c r="K719" i="22"/>
  <c r="J719" i="22" s="1"/>
  <c r="K726" i="22"/>
  <c r="J726" i="22" s="1"/>
  <c r="K795" i="22"/>
  <c r="J795" i="22" s="1"/>
  <c r="K733" i="22"/>
  <c r="J733" i="22" s="1"/>
  <c r="K717" i="22"/>
  <c r="J717" i="22" s="1"/>
  <c r="K724" i="22"/>
  <c r="J724" i="22" s="1"/>
  <c r="K742" i="22"/>
  <c r="J742" i="22" s="1"/>
  <c r="K757" i="22"/>
  <c r="J757" i="22" s="1"/>
  <c r="K772" i="22"/>
  <c r="J772" i="22" s="1"/>
  <c r="K764" i="22"/>
  <c r="J764" i="22" s="1"/>
  <c r="K781" i="22"/>
  <c r="J781" i="22" s="1"/>
  <c r="K767" i="22"/>
  <c r="J767" i="22" s="1"/>
  <c r="K794" i="22"/>
  <c r="J794" i="22" s="1"/>
  <c r="K758" i="22"/>
  <c r="J758" i="22" s="1"/>
  <c r="K745" i="22"/>
  <c r="J745" i="22" s="1"/>
  <c r="K696" i="22"/>
  <c r="J696" i="22" s="1"/>
  <c r="K777" i="22"/>
  <c r="J777" i="22" s="1"/>
  <c r="K763" i="22"/>
  <c r="J763" i="22" s="1"/>
  <c r="K785" i="22"/>
  <c r="J785" i="22" s="1"/>
  <c r="K723" i="22"/>
  <c r="J723" i="22" s="1"/>
  <c r="K732" i="22"/>
  <c r="J732" i="22" s="1"/>
  <c r="K739" i="22"/>
  <c r="J739" i="22" s="1"/>
  <c r="K752" i="22"/>
  <c r="J752" i="22" s="1"/>
  <c r="K788" i="22"/>
  <c r="J788" i="22" s="1"/>
  <c r="K749" i="22"/>
  <c r="J749" i="22" s="1"/>
  <c r="K797" i="22"/>
  <c r="J797" i="22" s="1"/>
  <c r="K768" i="22"/>
  <c r="J768" i="22" s="1"/>
  <c r="K722" i="22"/>
  <c r="J722" i="22" s="1"/>
  <c r="K753" i="22"/>
  <c r="J753" i="22" s="1"/>
  <c r="K780" i="22"/>
  <c r="J780" i="22" s="1"/>
  <c r="K779" i="22"/>
  <c r="J779" i="22" s="1"/>
  <c r="K751" i="22"/>
  <c r="J751" i="22" s="1"/>
  <c r="K592" i="22"/>
  <c r="J592" i="22" s="1"/>
  <c r="K770" i="22"/>
  <c r="J770" i="22" s="1"/>
  <c r="K765" i="22"/>
  <c r="J765" i="22" s="1"/>
  <c r="K783" i="22"/>
  <c r="J783" i="22" s="1"/>
  <c r="K720" i="22"/>
  <c r="J720" i="22" s="1"/>
  <c r="K789" i="22"/>
  <c r="J789" i="22" s="1"/>
  <c r="K736" i="22"/>
  <c r="J736" i="22" s="1"/>
  <c r="K728" i="22"/>
  <c r="J728" i="22" s="1"/>
  <c r="K702" i="22"/>
  <c r="J702" i="22" s="1"/>
  <c r="K671" i="22"/>
  <c r="J671" i="22" s="1"/>
  <c r="K648" i="22"/>
  <c r="J648" i="22" s="1"/>
  <c r="K644" i="22"/>
  <c r="J644" i="22" s="1"/>
  <c r="K692" i="22"/>
  <c r="J692" i="22" s="1"/>
  <c r="K707" i="22"/>
  <c r="J707" i="22" s="1"/>
  <c r="K668" i="22"/>
  <c r="J668" i="22" s="1"/>
  <c r="K675" i="22"/>
  <c r="J675" i="22" s="1"/>
  <c r="K659" i="22"/>
  <c r="J659" i="22" s="1"/>
  <c r="K689" i="22"/>
  <c r="J689" i="22" s="1"/>
  <c r="K642" i="22"/>
  <c r="J642" i="22" s="1"/>
  <c r="K663" i="22"/>
  <c r="J663" i="22" s="1"/>
  <c r="K682" i="22"/>
  <c r="J682" i="22" s="1"/>
  <c r="K698" i="22"/>
  <c r="J698" i="22" s="1"/>
  <c r="K665" i="22"/>
  <c r="J665" i="22" s="1"/>
  <c r="K686" i="22"/>
  <c r="J686" i="22" s="1"/>
  <c r="K653" i="22"/>
  <c r="J653" i="22" s="1"/>
  <c r="K657" i="22"/>
  <c r="J657" i="22" s="1"/>
  <c r="K666" i="22"/>
  <c r="J666" i="22" s="1"/>
  <c r="K684" i="22"/>
  <c r="J684" i="22" s="1"/>
  <c r="K700" i="22"/>
  <c r="J700" i="22" s="1"/>
  <c r="K691" i="22"/>
  <c r="J691" i="22" s="1"/>
  <c r="K679" i="22"/>
  <c r="J679" i="22" s="1"/>
  <c r="K640" i="22"/>
  <c r="J640" i="22" s="1"/>
  <c r="K710" i="22"/>
  <c r="J710" i="22" s="1"/>
  <c r="K708" i="22"/>
  <c r="J708" i="22" s="1"/>
  <c r="K643" i="22"/>
  <c r="J643" i="22" s="1"/>
  <c r="K693" i="22"/>
  <c r="J693" i="22" s="1"/>
  <c r="K667" i="22"/>
  <c r="J667" i="22" s="1"/>
  <c r="K670" i="22"/>
  <c r="J670" i="22" s="1"/>
  <c r="K654" i="22"/>
  <c r="J654" i="22" s="1"/>
  <c r="K678" i="22"/>
  <c r="J678" i="22" s="1"/>
  <c r="K687" i="22"/>
  <c r="J687" i="22" s="1"/>
  <c r="K709" i="22"/>
  <c r="J709" i="22" s="1"/>
  <c r="K711" i="22"/>
  <c r="J711" i="22" s="1"/>
  <c r="K701" i="22"/>
  <c r="J701" i="22" s="1"/>
  <c r="K651" i="22"/>
  <c r="J651" i="22" s="1"/>
  <c r="K699" i="22"/>
  <c r="J699" i="22" s="1"/>
  <c r="K683" i="22"/>
  <c r="J683" i="22" s="1"/>
  <c r="K688" i="22"/>
  <c r="J688" i="22" s="1"/>
  <c r="K674" i="22"/>
  <c r="J674" i="22" s="1"/>
  <c r="K681" i="22"/>
  <c r="J681" i="22" s="1"/>
  <c r="K694" i="22"/>
  <c r="J694" i="22" s="1"/>
  <c r="K712" i="22"/>
  <c r="J712" i="22" s="1"/>
  <c r="K703" i="22"/>
  <c r="J703" i="22" s="1"/>
  <c r="K705" i="22"/>
  <c r="J705" i="22" s="1"/>
  <c r="K637" i="22"/>
  <c r="J637" i="22" s="1"/>
  <c r="K645" i="22"/>
  <c r="J645" i="22" s="1"/>
  <c r="K655" i="22"/>
  <c r="J655" i="22" s="1"/>
  <c r="K680" i="22"/>
  <c r="J680" i="22" s="1"/>
  <c r="K697" i="22"/>
  <c r="J697" i="22" s="1"/>
  <c r="K652" i="22"/>
  <c r="J652" i="22" s="1"/>
  <c r="K630" i="22"/>
  <c r="J630" i="22" s="1"/>
  <c r="K571" i="22"/>
  <c r="J571" i="22" s="1"/>
  <c r="K583" i="22"/>
  <c r="J583" i="22" s="1"/>
  <c r="K557" i="22"/>
  <c r="J557" i="22" s="1"/>
  <c r="K512" i="22"/>
  <c r="J512" i="22" s="1"/>
  <c r="K594" i="22"/>
  <c r="J594" i="22" s="1"/>
  <c r="K576" i="22"/>
  <c r="J576" i="22" s="1"/>
  <c r="K550" i="22"/>
  <c r="J550" i="22" s="1"/>
  <c r="K607" i="22"/>
  <c r="J607" i="22" s="1"/>
  <c r="K476" i="22"/>
  <c r="J476" i="22" s="1"/>
  <c r="K509" i="22"/>
  <c r="J509" i="22" s="1"/>
  <c r="K533" i="22"/>
  <c r="J533" i="22" s="1"/>
  <c r="K519" i="22"/>
  <c r="J519" i="22" s="1"/>
  <c r="K617" i="22"/>
  <c r="J617" i="22" s="1"/>
  <c r="K602" i="22"/>
  <c r="J602" i="22" s="1"/>
  <c r="K616" i="22"/>
  <c r="J616" i="22" s="1"/>
  <c r="K554" i="22"/>
  <c r="J554" i="22" s="1"/>
  <c r="K598" i="22"/>
  <c r="J598" i="22" s="1"/>
  <c r="K631" i="22"/>
  <c r="J631" i="22" s="1"/>
  <c r="K475" i="22"/>
  <c r="J475" i="22" s="1"/>
  <c r="K491" i="22"/>
  <c r="J491" i="22" s="1"/>
  <c r="K621" i="22"/>
  <c r="J621" i="22" s="1"/>
  <c r="K562" i="22"/>
  <c r="J562" i="22" s="1"/>
  <c r="K535" i="22"/>
  <c r="J535" i="22" s="1"/>
  <c r="K527" i="22"/>
  <c r="J527" i="22" s="1"/>
  <c r="K551" i="22"/>
  <c r="J551" i="22" s="1"/>
  <c r="K628" i="22"/>
  <c r="J628" i="22" s="1"/>
  <c r="K486" i="22"/>
  <c r="J486" i="22" s="1"/>
  <c r="K522" i="22"/>
  <c r="J522" i="22" s="1"/>
  <c r="K622" i="22"/>
  <c r="J622" i="22" s="1"/>
  <c r="K586" i="22"/>
  <c r="J586" i="22" s="1"/>
  <c r="K609" i="22"/>
  <c r="J609" i="22" s="1"/>
  <c r="K548" i="22"/>
  <c r="J548" i="22" s="1"/>
  <c r="K610" i="22"/>
  <c r="J610" i="22" s="1"/>
  <c r="K536" i="22"/>
  <c r="J536" i="22" s="1"/>
  <c r="K593" i="22"/>
  <c r="J593" i="22" s="1"/>
  <c r="K514" i="22"/>
  <c r="J514" i="22" s="1"/>
  <c r="K580" i="22"/>
  <c r="J580" i="22" s="1"/>
  <c r="K632" i="22"/>
  <c r="J632" i="22" s="1"/>
  <c r="K489" i="22"/>
  <c r="J489" i="22" s="1"/>
  <c r="K501" i="22"/>
  <c r="J501" i="22" s="1"/>
  <c r="K506" i="22"/>
  <c r="J506" i="22" s="1"/>
  <c r="K537" i="22"/>
  <c r="J537" i="22" s="1"/>
  <c r="K549" i="22"/>
  <c r="J549" i="22" s="1"/>
  <c r="K560" i="22"/>
  <c r="J560" i="22" s="1"/>
  <c r="K634" i="22"/>
  <c r="J634" i="22" s="1"/>
  <c r="K574" i="22"/>
  <c r="J574" i="22" s="1"/>
  <c r="K627" i="22"/>
  <c r="J627" i="22" s="1"/>
  <c r="K553" i="22"/>
  <c r="J553" i="22" s="1"/>
  <c r="K566" i="22"/>
  <c r="J566" i="22" s="1"/>
  <c r="K524" i="22"/>
  <c r="J524" i="22" s="1"/>
  <c r="K542" i="22"/>
  <c r="J542" i="22" s="1"/>
  <c r="K578" i="22"/>
  <c r="J578" i="22" s="1"/>
  <c r="K625" i="22"/>
  <c r="J625" i="22" s="1"/>
  <c r="K499" i="22"/>
  <c r="J499" i="22" s="1"/>
  <c r="K588" i="22"/>
  <c r="J588" i="22" s="1"/>
  <c r="K613" i="22"/>
  <c r="J613" i="22" s="1"/>
  <c r="K497" i="22"/>
  <c r="J497" i="22" s="1"/>
  <c r="K595" i="22"/>
  <c r="J595" i="22" s="1"/>
  <c r="K565" i="22"/>
  <c r="J565" i="22" s="1"/>
  <c r="K529" i="22"/>
  <c r="J529" i="22" s="1"/>
  <c r="K500" i="22"/>
  <c r="J500" i="22" s="1"/>
  <c r="K546" i="22"/>
  <c r="J546" i="22" s="1"/>
  <c r="K508" i="22"/>
  <c r="J508" i="22" s="1"/>
  <c r="K517" i="22"/>
  <c r="J517" i="22" s="1"/>
  <c r="K619" i="22"/>
  <c r="J619" i="22" s="1"/>
  <c r="K495" i="22"/>
  <c r="J495" i="22" s="1"/>
  <c r="K584" i="22"/>
  <c r="J584" i="22" s="1"/>
  <c r="K573" i="22"/>
  <c r="J573" i="22" s="1"/>
  <c r="K601" i="22"/>
  <c r="J601" i="22" s="1"/>
  <c r="K520" i="22"/>
  <c r="J520" i="22" s="1"/>
  <c r="K538" i="22"/>
  <c r="J538" i="22" s="1"/>
  <c r="K563" i="22"/>
  <c r="J563" i="22" s="1"/>
  <c r="K530" i="22"/>
  <c r="J530" i="22" s="1"/>
  <c r="K581" i="22"/>
  <c r="J581" i="22" s="1"/>
  <c r="K614" i="22"/>
  <c r="J614" i="22" s="1"/>
  <c r="K474" i="22"/>
  <c r="J474" i="22" s="1"/>
  <c r="K507" i="22"/>
  <c r="J507" i="22" s="1"/>
  <c r="K516" i="22"/>
  <c r="J516" i="22" s="1"/>
  <c r="K544" i="22"/>
  <c r="J544" i="22" s="1"/>
  <c r="K518" i="22"/>
  <c r="J518" i="22" s="1"/>
  <c r="K532" i="22"/>
  <c r="J532" i="22" s="1"/>
  <c r="K539" i="22"/>
  <c r="J539" i="22" s="1"/>
  <c r="K559" i="22"/>
  <c r="J559" i="22" s="1"/>
  <c r="K505" i="22"/>
  <c r="J505" i="22" s="1"/>
  <c r="K545" i="22"/>
  <c r="J545" i="22" s="1"/>
  <c r="K498" i="22"/>
  <c r="J498" i="22" s="1"/>
  <c r="K596" i="22"/>
  <c r="J596" i="22" s="1"/>
  <c r="K299" i="22"/>
  <c r="J299" i="22" s="1"/>
  <c r="K492" i="22"/>
  <c r="J492" i="22" s="1"/>
  <c r="K493" i="22"/>
  <c r="J493" i="22" s="1"/>
  <c r="K623" i="22"/>
  <c r="J623" i="22" s="1"/>
  <c r="K608" i="22"/>
  <c r="J608" i="22" s="1"/>
  <c r="K591" i="22"/>
  <c r="J591" i="22" s="1"/>
  <c r="K540" i="22"/>
  <c r="J540" i="22" s="1"/>
  <c r="K490" i="22"/>
  <c r="J490" i="22" s="1"/>
  <c r="K618" i="22"/>
  <c r="J618" i="22" s="1"/>
  <c r="K555" i="22"/>
  <c r="J555" i="22" s="1"/>
  <c r="K635" i="22"/>
  <c r="J635" i="22" s="1"/>
  <c r="K587" i="22"/>
  <c r="J587" i="22" s="1"/>
  <c r="K362" i="22"/>
  <c r="J362" i="22" s="1"/>
  <c r="K485" i="22"/>
  <c r="J485" i="22" s="1"/>
  <c r="K521" i="22"/>
  <c r="J521" i="22" s="1"/>
  <c r="K575" i="22"/>
  <c r="J575" i="22" s="1"/>
  <c r="K526" i="22"/>
  <c r="J526" i="22" s="1"/>
  <c r="K488" i="22"/>
  <c r="J488" i="22" s="1"/>
  <c r="K597" i="22"/>
  <c r="J597" i="22" s="1"/>
  <c r="K570" i="22"/>
  <c r="J570" i="22" s="1"/>
  <c r="K582" i="22"/>
  <c r="J582" i="22" s="1"/>
  <c r="K615" i="22"/>
  <c r="J615" i="22" s="1"/>
  <c r="K572" i="22"/>
  <c r="J572" i="22" s="1"/>
  <c r="K556" i="22"/>
  <c r="J556" i="22" s="1"/>
  <c r="K510" i="22"/>
  <c r="J510" i="22" s="1"/>
  <c r="K502" i="22"/>
  <c r="J502" i="22" s="1"/>
  <c r="K547" i="22"/>
  <c r="J547" i="22" s="1"/>
  <c r="K633" i="22"/>
  <c r="J633" i="22" s="1"/>
  <c r="K585" i="22"/>
  <c r="J585" i="22" s="1"/>
  <c r="K605" i="22"/>
  <c r="J605" i="22" s="1"/>
  <c r="K624" i="22"/>
  <c r="J624" i="22" s="1"/>
  <c r="K523" i="22"/>
  <c r="J523" i="22" s="1"/>
  <c r="K541" i="22"/>
  <c r="J541" i="22" s="1"/>
  <c r="K577" i="22"/>
  <c r="J577" i="22" s="1"/>
  <c r="K240" i="22"/>
  <c r="J240" i="22" s="1"/>
  <c r="K289" i="22"/>
  <c r="J289" i="22" s="1"/>
  <c r="K90" i="22"/>
  <c r="J90" i="22" s="1"/>
  <c r="K344" i="22"/>
  <c r="J344" i="22" s="1"/>
  <c r="K224" i="22"/>
  <c r="J224" i="22" s="1"/>
  <c r="K70" i="22"/>
  <c r="J70" i="22" s="1"/>
  <c r="K16" i="22"/>
  <c r="J16" i="22" s="1"/>
  <c r="K29" i="22"/>
  <c r="J29" i="22" s="1"/>
  <c r="K5" i="22"/>
  <c r="J5" i="22" s="1"/>
  <c r="K342" i="22"/>
  <c r="J342" i="22" s="1"/>
  <c r="K313" i="22"/>
  <c r="J313" i="22" s="1"/>
  <c r="K292" i="22"/>
  <c r="J292" i="22" s="1"/>
  <c r="K390" i="22"/>
  <c r="J390" i="22" s="1"/>
  <c r="K182" i="22"/>
  <c r="J182" i="22" s="1"/>
  <c r="K114" i="22"/>
  <c r="J114" i="22" s="1"/>
  <c r="K380" i="22"/>
  <c r="J380" i="22" s="1"/>
  <c r="K94" i="22"/>
  <c r="J94" i="22" s="1"/>
  <c r="K73" i="22"/>
  <c r="J73" i="22" s="1"/>
  <c r="K19" i="22"/>
  <c r="J19" i="22" s="1"/>
  <c r="K9" i="22"/>
  <c r="J9" i="22" s="1"/>
  <c r="K243" i="22"/>
  <c r="J243" i="22" s="1"/>
  <c r="K228" i="22"/>
  <c r="J228" i="22" s="1"/>
  <c r="K432" i="22"/>
  <c r="J432" i="22" s="1"/>
  <c r="K295" i="22"/>
  <c r="J295" i="22" s="1"/>
  <c r="K280" i="22"/>
  <c r="J280" i="22" s="1"/>
  <c r="K265" i="22"/>
  <c r="J265" i="22" s="1"/>
  <c r="K208" i="22"/>
  <c r="J208" i="22" s="1"/>
  <c r="K187" i="22"/>
  <c r="J187" i="22" s="1"/>
  <c r="K99" i="22"/>
  <c r="J99" i="22" s="1"/>
  <c r="K78" i="22"/>
  <c r="J78" i="22" s="1"/>
  <c r="K42" i="22"/>
  <c r="J42" i="22" s="1"/>
  <c r="K437" i="22"/>
  <c r="J437" i="22" s="1"/>
  <c r="K455" i="22"/>
  <c r="J455" i="22" s="1"/>
  <c r="K353" i="22"/>
  <c r="J353" i="22" s="1"/>
  <c r="K326" i="22"/>
  <c r="J326" i="22" s="1"/>
  <c r="K156" i="22"/>
  <c r="J156" i="22" s="1"/>
  <c r="K118" i="22"/>
  <c r="J118" i="22" s="1"/>
  <c r="K55" i="22"/>
  <c r="J55" i="22" s="1"/>
  <c r="K22" i="22"/>
  <c r="J22" i="22" s="1"/>
  <c r="K234" i="22"/>
  <c r="J234" i="22" s="1"/>
  <c r="K356" i="22"/>
  <c r="J356" i="22" s="1"/>
  <c r="K319" i="22"/>
  <c r="J319" i="22" s="1"/>
  <c r="K235" i="22"/>
  <c r="J235" i="22" s="1"/>
  <c r="K123" i="22"/>
  <c r="J123" i="22" s="1"/>
  <c r="K269" i="22"/>
  <c r="J269" i="22" s="1"/>
  <c r="K251" i="22"/>
  <c r="J251" i="22" s="1"/>
  <c r="K215" i="22"/>
  <c r="J215" i="22" s="1"/>
  <c r="K61" i="22"/>
  <c r="J61" i="22" s="1"/>
  <c r="K448" i="22"/>
  <c r="J448" i="22" s="1"/>
  <c r="K195" i="22"/>
  <c r="J195" i="22" s="1"/>
  <c r="K131" i="22"/>
  <c r="J131" i="22" s="1"/>
  <c r="K173" i="22"/>
  <c r="J173" i="22" s="1"/>
  <c r="K335" i="22"/>
  <c r="J335" i="22" s="1"/>
  <c r="K317" i="22"/>
  <c r="J317" i="22" s="1"/>
  <c r="K305" i="22"/>
  <c r="J305" i="22" s="1"/>
  <c r="K255" i="22"/>
  <c r="J255" i="22" s="1"/>
  <c r="K143" i="22"/>
  <c r="J143" i="22" s="1"/>
  <c r="K128" i="22"/>
  <c r="J128" i="22" s="1"/>
  <c r="K87" i="22"/>
  <c r="J87" i="22" s="1"/>
  <c r="K66" i="22"/>
  <c r="J66" i="22" s="1"/>
  <c r="K422" i="22"/>
  <c r="J422" i="22" s="1"/>
  <c r="K452" i="22"/>
  <c r="J452" i="22" s="1"/>
  <c r="K218" i="22"/>
  <c r="J218" i="22" s="1"/>
  <c r="K28" i="22"/>
  <c r="J28" i="22" s="1"/>
  <c r="K107" i="22"/>
  <c r="J107" i="22" s="1"/>
  <c r="K15" i="22"/>
  <c r="J15" i="22" s="1"/>
  <c r="K184" i="22"/>
  <c r="J184" i="22" s="1"/>
  <c r="K152" i="22"/>
  <c r="J152" i="22" s="1"/>
  <c r="K96" i="22"/>
  <c r="J96" i="22" s="1"/>
  <c r="K81" i="22"/>
  <c r="J81" i="22" s="1"/>
  <c r="K136" i="22"/>
  <c r="J136" i="22" s="1"/>
  <c r="K115" i="22"/>
  <c r="J115" i="22" s="1"/>
  <c r="K40" i="22"/>
  <c r="J40" i="22" s="1"/>
  <c r="K20" i="22"/>
  <c r="J20" i="22" s="1"/>
  <c r="K53" i="22"/>
  <c r="J53" i="22" s="1"/>
  <c r="K403" i="22"/>
  <c r="J403" i="22" s="1"/>
  <c r="K330" i="22"/>
  <c r="J330" i="22" s="1"/>
  <c r="K315" i="22"/>
  <c r="J315" i="22" s="1"/>
  <c r="K294" i="22"/>
  <c r="J294" i="22" s="1"/>
  <c r="K282" i="22"/>
  <c r="J282" i="22" s="1"/>
  <c r="K397" i="22"/>
  <c r="J397" i="22" s="1"/>
  <c r="K343" i="22"/>
  <c r="J343" i="22" s="1"/>
  <c r="K244" i="22"/>
  <c r="J244" i="22" s="1"/>
  <c r="K381" i="22"/>
  <c r="J381" i="22" s="1"/>
  <c r="K170" i="22"/>
  <c r="J170" i="22" s="1"/>
  <c r="K120" i="22"/>
  <c r="J120" i="22" s="1"/>
  <c r="K102" i="22"/>
  <c r="J102" i="22" s="1"/>
  <c r="K57" i="22"/>
  <c r="J57" i="22" s="1"/>
  <c r="K24" i="22"/>
  <c r="J24" i="22" s="1"/>
  <c r="K413" i="22"/>
  <c r="J413" i="22" s="1"/>
  <c r="K440" i="22"/>
  <c r="J440" i="22" s="1"/>
  <c r="K467" i="22"/>
  <c r="J467" i="22" s="1"/>
  <c r="K371" i="22"/>
  <c r="J371" i="22" s="1"/>
  <c r="K230" i="22"/>
  <c r="J230" i="22" s="1"/>
  <c r="K212" i="22"/>
  <c r="J212" i="22" s="1"/>
  <c r="K191" i="22"/>
  <c r="J191" i="22" s="1"/>
  <c r="K150" i="22"/>
  <c r="J150" i="22" s="1"/>
  <c r="K34" i="22"/>
  <c r="J34" i="22" s="1"/>
  <c r="K13" i="22"/>
  <c r="J13" i="22" s="1"/>
  <c r="K47" i="22"/>
  <c r="J47" i="22" s="1"/>
  <c r="K74" i="22"/>
  <c r="J74" i="22" s="1"/>
  <c r="K177" i="22"/>
  <c r="J177" i="22" s="1"/>
  <c r="K346" i="22"/>
  <c r="J346" i="22" s="1"/>
  <c r="K322" i="22"/>
  <c r="J322" i="22" s="1"/>
  <c r="K199" i="22"/>
  <c r="J199" i="22" s="1"/>
  <c r="K404" i="22"/>
  <c r="J404" i="22" s="1"/>
  <c r="K314" i="22"/>
  <c r="J314" i="22" s="1"/>
  <c r="K260" i="22"/>
  <c r="J260" i="22" s="1"/>
  <c r="K221" i="22"/>
  <c r="J221" i="22" s="1"/>
  <c r="K162" i="22"/>
  <c r="J162" i="22" s="1"/>
  <c r="K409" i="22"/>
  <c r="J409" i="22" s="1"/>
  <c r="K457" i="22"/>
  <c r="J457" i="22" s="1"/>
  <c r="K396" i="22"/>
  <c r="J396" i="22" s="1"/>
  <c r="K469" i="22"/>
  <c r="J469" i="22" s="1"/>
  <c r="K213" i="22"/>
  <c r="J213" i="22" s="1"/>
  <c r="K355" i="22"/>
  <c r="J355" i="22" s="1"/>
  <c r="K233" i="22"/>
  <c r="J233" i="22" s="1"/>
  <c r="K186" i="22"/>
  <c r="J186" i="22" s="1"/>
  <c r="K270" i="22"/>
  <c r="J270" i="22" s="1"/>
  <c r="K447" i="22"/>
  <c r="J447" i="22" s="1"/>
  <c r="K471" i="22"/>
  <c r="J471" i="22" s="1"/>
  <c r="K193" i="22"/>
  <c r="J193" i="22" s="1"/>
  <c r="K84" i="22"/>
  <c r="J84" i="22" s="1"/>
  <c r="K419" i="22"/>
  <c r="J419" i="22" s="1"/>
  <c r="K434" i="22"/>
  <c r="J434" i="22" s="1"/>
  <c r="K374" i="22"/>
  <c r="J374" i="22" s="1"/>
  <c r="K359" i="22"/>
  <c r="J359" i="22" s="1"/>
  <c r="K139" i="22"/>
  <c r="J139" i="22" s="1"/>
  <c r="K124" i="22"/>
  <c r="J124" i="22" s="1"/>
  <c r="K104" i="22"/>
  <c r="J104" i="22" s="1"/>
  <c r="K62" i="22"/>
  <c r="J62" i="22" s="1"/>
  <c r="K436" i="22"/>
  <c r="J436" i="22" s="1"/>
  <c r="K339" i="22"/>
  <c r="J339" i="22" s="1"/>
  <c r="K252" i="22"/>
  <c r="J252" i="22" s="1"/>
  <c r="K429" i="22"/>
  <c r="J429" i="22" s="1"/>
  <c r="K456" i="22"/>
  <c r="J456" i="22" s="1"/>
  <c r="K163" i="22"/>
  <c r="J163" i="22" s="1"/>
  <c r="K323" i="22"/>
  <c r="J323" i="22" s="1"/>
  <c r="K288" i="22"/>
  <c r="J288" i="22" s="1"/>
  <c r="K204" i="22"/>
  <c r="J204" i="22" s="1"/>
  <c r="K340" i="22"/>
  <c r="J340" i="22" s="1"/>
  <c r="K181" i="22"/>
  <c r="J181" i="22" s="1"/>
  <c r="K72" i="22"/>
  <c r="J72" i="22" s="1"/>
  <c r="K39" i="22"/>
  <c r="J39" i="22" s="1"/>
  <c r="K33" i="22"/>
  <c r="J33" i="22" s="1"/>
  <c r="K275" i="22"/>
  <c r="J275" i="22" s="1"/>
  <c r="K227" i="22"/>
  <c r="J227" i="22" s="1"/>
  <c r="K148" i="22"/>
  <c r="J148" i="22" s="1"/>
  <c r="K7" i="22"/>
  <c r="J7" i="22" s="1"/>
  <c r="K113" i="22"/>
  <c r="J113" i="22" s="1"/>
  <c r="K18" i="22"/>
  <c r="J18" i="22" s="1"/>
  <c r="K430" i="22"/>
  <c r="J430" i="22" s="1"/>
  <c r="K327" i="22"/>
  <c r="J327" i="22" s="1"/>
  <c r="K306" i="22"/>
  <c r="J306" i="22" s="1"/>
  <c r="K264" i="22"/>
  <c r="J264" i="22" s="1"/>
  <c r="K174" i="22"/>
  <c r="J174" i="22" s="1"/>
  <c r="K334" i="22"/>
  <c r="J334" i="22" s="1"/>
  <c r="K206" i="22"/>
  <c r="J206" i="22" s="1"/>
  <c r="K443" i="22"/>
  <c r="J443" i="22" s="1"/>
  <c r="K293" i="22"/>
  <c r="J293" i="22" s="1"/>
  <c r="K278" i="22"/>
  <c r="J278" i="22" s="1"/>
  <c r="K245" i="22"/>
  <c r="J245" i="22" s="1"/>
  <c r="K276" i="22"/>
  <c r="J276" i="22" s="1"/>
  <c r="K267" i="22"/>
  <c r="J267" i="22" s="1"/>
  <c r="K231" i="22"/>
  <c r="J231" i="22" s="1"/>
  <c r="K189" i="22"/>
  <c r="J189" i="22" s="1"/>
  <c r="K247" i="22"/>
  <c r="J247" i="22" s="1"/>
  <c r="K421" i="22"/>
  <c r="J421" i="22" s="1"/>
  <c r="K451" i="22"/>
  <c r="J451" i="22" s="1"/>
  <c r="K360" i="22"/>
  <c r="J360" i="22" s="1"/>
  <c r="K237" i="22"/>
  <c r="J237" i="22" s="1"/>
  <c r="K106" i="22"/>
  <c r="J106" i="22" s="1"/>
  <c r="K402" i="22"/>
  <c r="J402" i="22" s="1"/>
  <c r="K411" i="22"/>
  <c r="J411" i="22" s="1"/>
  <c r="K438" i="22"/>
  <c r="J438" i="22" s="1"/>
  <c r="K301" i="22"/>
  <c r="J301" i="22" s="1"/>
  <c r="K217" i="22"/>
  <c r="J217" i="22" s="1"/>
  <c r="K175" i="22"/>
  <c r="J175" i="22" s="1"/>
  <c r="K27" i="22"/>
  <c r="J27" i="22" s="1"/>
  <c r="K332" i="22"/>
  <c r="J332" i="22" s="1"/>
  <c r="K320" i="22"/>
  <c r="J320" i="22" s="1"/>
  <c r="K284" i="22"/>
  <c r="J284" i="22" s="1"/>
  <c r="K272" i="22"/>
  <c r="J272" i="22" s="1"/>
  <c r="K254" i="22"/>
  <c r="J254" i="22" s="1"/>
  <c r="K197" i="22"/>
  <c r="J197" i="22" s="1"/>
  <c r="K142" i="22"/>
  <c r="J142" i="22" s="1"/>
  <c r="K127" i="22"/>
  <c r="J127" i="22" s="1"/>
  <c r="K46" i="22"/>
  <c r="J46" i="22" s="1"/>
  <c r="K3" i="22"/>
  <c r="J3" i="22" s="1"/>
  <c r="K56" i="22"/>
  <c r="J56" i="22" s="1"/>
  <c r="K65" i="22"/>
  <c r="J65" i="22" s="1"/>
  <c r="K364" i="22"/>
  <c r="J364" i="22" s="1"/>
  <c r="K259" i="22"/>
  <c r="J259" i="22" s="1"/>
  <c r="K83" i="22"/>
  <c r="J83" i="22" s="1"/>
  <c r="K337" i="22"/>
  <c r="J337" i="22" s="1"/>
  <c r="K428" i="22"/>
  <c r="J428" i="22" s="1"/>
  <c r="K308" i="22"/>
  <c r="J308" i="22" s="1"/>
  <c r="K345" i="22"/>
  <c r="J345" i="22" s="1"/>
  <c r="K324" i="22"/>
  <c r="J324" i="22" s="1"/>
  <c r="K45" i="22"/>
  <c r="J45" i="22" s="1"/>
  <c r="K164" i="22"/>
  <c r="J164" i="22" s="1"/>
  <c r="K427" i="22"/>
  <c r="J427" i="22" s="1"/>
  <c r="K348" i="22"/>
  <c r="J348" i="22" s="1"/>
  <c r="K225" i="22"/>
  <c r="J225" i="22" s="1"/>
  <c r="K310" i="22"/>
  <c r="J310" i="22" s="1"/>
  <c r="K274" i="22"/>
  <c r="J274" i="22" s="1"/>
  <c r="K262" i="22"/>
  <c r="J262" i="22" s="1"/>
  <c r="K166" i="22"/>
  <c r="J166" i="22" s="1"/>
  <c r="K146" i="22"/>
  <c r="J146" i="22" s="1"/>
  <c r="K203" i="22"/>
  <c r="J203" i="22" s="1"/>
  <c r="K111" i="22"/>
  <c r="J111" i="22" s="1"/>
  <c r="K242" i="22"/>
  <c r="J242" i="22" s="1"/>
  <c r="K132" i="22"/>
  <c r="J132" i="22" s="1"/>
  <c r="K389" i="22"/>
  <c r="J389" i="22" s="1"/>
  <c r="K180" i="22"/>
  <c r="J180" i="22" s="1"/>
  <c r="K52" i="22"/>
  <c r="J52" i="22" s="1"/>
  <c r="K31" i="22"/>
  <c r="J31" i="22" s="1"/>
  <c r="K6" i="22"/>
  <c r="J6" i="22" s="1"/>
  <c r="K38" i="22"/>
  <c r="J38" i="22" s="1"/>
  <c r="K418" i="22"/>
  <c r="J418" i="22" s="1"/>
  <c r="K369" i="22"/>
  <c r="J369" i="22" s="1"/>
  <c r="K354" i="22"/>
  <c r="J354" i="22" s="1"/>
  <c r="K246" i="22"/>
  <c r="J246" i="22" s="1"/>
  <c r="K137" i="22"/>
  <c r="J137" i="22" s="1"/>
  <c r="K441" i="22"/>
  <c r="J441" i="22" s="1"/>
  <c r="K465" i="22"/>
  <c r="J465" i="22" s="1"/>
  <c r="K169" i="22"/>
  <c r="J169" i="22" s="1"/>
  <c r="K157" i="22"/>
  <c r="J157" i="22" s="1"/>
  <c r="K209" i="22"/>
  <c r="J209" i="22" s="1"/>
  <c r="K188" i="22"/>
  <c r="J188" i="22" s="1"/>
  <c r="K75" i="22"/>
  <c r="J75" i="22" s="1"/>
  <c r="K407" i="22"/>
  <c r="J407" i="22" s="1"/>
  <c r="K425" i="22"/>
  <c r="J425" i="22" s="1"/>
  <c r="K281" i="22"/>
  <c r="J281" i="22" s="1"/>
  <c r="K392" i="22"/>
  <c r="J392" i="22" s="1"/>
  <c r="K43" i="22"/>
  <c r="J43" i="22" s="1"/>
  <c r="K12" i="22"/>
  <c r="J12" i="22" s="1"/>
  <c r="K23" i="22"/>
  <c r="J23" i="22" s="1"/>
  <c r="K415" i="22"/>
  <c r="J415" i="22" s="1"/>
  <c r="K336" i="22"/>
  <c r="J336" i="22" s="1"/>
  <c r="K318" i="22"/>
  <c r="J318" i="22" s="1"/>
  <c r="K141" i="22"/>
  <c r="J141" i="22" s="1"/>
  <c r="K36" i="22"/>
  <c r="J36" i="22" s="1"/>
  <c r="K449" i="22"/>
  <c r="J449" i="22" s="1"/>
  <c r="K333" i="22"/>
  <c r="J333" i="22" s="1"/>
  <c r="K321" i="22"/>
  <c r="J321" i="22" s="1"/>
  <c r="K285" i="22"/>
  <c r="J285" i="22" s="1"/>
  <c r="K219" i="22"/>
  <c r="J219" i="22" s="1"/>
  <c r="K198" i="22"/>
  <c r="J198" i="22" s="1"/>
  <c r="K88" i="22"/>
  <c r="J88" i="22" s="1"/>
  <c r="K376" i="22"/>
  <c r="J376" i="22" s="1"/>
  <c r="K423" i="22"/>
  <c r="J423" i="22" s="1"/>
  <c r="K453" i="22"/>
  <c r="J453" i="22" s="1"/>
  <c r="K361" i="22"/>
  <c r="J361" i="22" s="1"/>
  <c r="K256" i="22"/>
  <c r="J256" i="22" s="1"/>
  <c r="K238" i="22"/>
  <c r="J238" i="22" s="1"/>
  <c r="K160" i="22"/>
  <c r="J160" i="22" s="1"/>
  <c r="K393" i="22"/>
  <c r="J393" i="22" s="1"/>
  <c r="K108" i="22"/>
  <c r="J108" i="22" s="1"/>
  <c r="K302" i="22"/>
  <c r="J302" i="22" s="1"/>
  <c r="K176" i="22"/>
  <c r="J176" i="22" s="1"/>
  <c r="K67" i="22"/>
  <c r="J67" i="22" s="1"/>
  <c r="K309" i="22"/>
  <c r="J309" i="22" s="1"/>
  <c r="K222" i="22"/>
  <c r="J222" i="22" s="1"/>
  <c r="K338" i="22"/>
  <c r="J338" i="22" s="1"/>
  <c r="K201" i="22"/>
  <c r="J201" i="22" s="1"/>
  <c r="K463" i="22"/>
  <c r="J463" i="22" s="1"/>
  <c r="K325" i="22"/>
  <c r="J325" i="22" s="1"/>
  <c r="K226" i="22"/>
  <c r="J226" i="22" s="1"/>
  <c r="K93" i="22"/>
  <c r="J93" i="22" s="1"/>
  <c r="K365" i="22"/>
  <c r="J365" i="22" s="1"/>
  <c r="K311" i="22"/>
  <c r="J311" i="22" s="1"/>
  <c r="K287" i="22"/>
  <c r="J287" i="22" s="1"/>
  <c r="K147" i="22"/>
  <c r="J147" i="22" s="1"/>
  <c r="K133" i="22"/>
  <c r="J133" i="22" s="1"/>
  <c r="K112" i="22"/>
  <c r="J112" i="22" s="1"/>
  <c r="K32" i="22"/>
  <c r="J32" i="22" s="1"/>
  <c r="K442" i="22"/>
  <c r="J442" i="22" s="1"/>
  <c r="K454" i="22"/>
  <c r="J454" i="22" s="1"/>
  <c r="K431" i="22"/>
  <c r="J431" i="22" s="1"/>
  <c r="K372" i="22"/>
  <c r="J372" i="22" s="1"/>
  <c r="K444" i="22"/>
  <c r="J444" i="22" s="1"/>
  <c r="K349" i="22"/>
  <c r="J349" i="22" s="1"/>
  <c r="K363" i="22"/>
  <c r="J363" i="22" s="1"/>
  <c r="K130" i="22"/>
  <c r="J130" i="22" s="1"/>
  <c r="K414" i="22"/>
  <c r="J414" i="22" s="1"/>
  <c r="K178" i="22"/>
  <c r="J178" i="22" s="1"/>
  <c r="K239" i="22"/>
  <c r="J239" i="22" s="1"/>
  <c r="K200" i="22"/>
  <c r="J200" i="22" s="1"/>
  <c r="K91" i="22"/>
  <c r="J91" i="22" s="1"/>
  <c r="K4" i="22"/>
  <c r="J4" i="22" s="1"/>
  <c r="K68" i="22"/>
  <c r="J68" i="22" s="1"/>
  <c r="K50" i="22"/>
  <c r="J50" i="22" s="1"/>
  <c r="K261" i="22"/>
  <c r="J261" i="22" s="1"/>
  <c r="K405" i="22"/>
  <c r="J405" i="22" s="1"/>
  <c r="K223" i="22"/>
  <c r="J223" i="22" s="1"/>
  <c r="K202" i="22"/>
  <c r="J202" i="22" s="1"/>
  <c r="K179" i="22"/>
  <c r="J179" i="22" s="1"/>
  <c r="K69" i="22"/>
  <c r="J69" i="22" s="1"/>
  <c r="K144" i="22"/>
  <c r="J144" i="22" s="1"/>
  <c r="K377" i="22"/>
  <c r="J377" i="22" s="1"/>
  <c r="K109" i="22"/>
  <c r="J109" i="22" s="1"/>
  <c r="K129" i="22"/>
  <c r="J129" i="22" s="1"/>
  <c r="K89" i="22"/>
  <c r="J89" i="22" s="1"/>
  <c r="K165" i="22"/>
  <c r="J165" i="22" s="1"/>
  <c r="K51" i="22"/>
  <c r="J51" i="22" s="1"/>
  <c r="K30" i="22"/>
  <c r="J30" i="22" s="1"/>
  <c r="K416" i="22"/>
  <c r="J416" i="22" s="1"/>
  <c r="K461" i="22"/>
  <c r="J461" i="22" s="1"/>
  <c r="K347" i="22"/>
  <c r="J347" i="22" s="1"/>
  <c r="K71" i="22"/>
  <c r="J71" i="22" s="1"/>
  <c r="K17" i="22"/>
  <c r="J17" i="22" s="1"/>
  <c r="K92" i="22"/>
  <c r="J92" i="22" s="1"/>
  <c r="K116" i="22"/>
  <c r="J116" i="22" s="1"/>
  <c r="K417" i="22"/>
  <c r="J417" i="22" s="1"/>
  <c r="K352" i="22"/>
  <c r="J352" i="22" s="1"/>
  <c r="K328" i="22"/>
  <c r="J328" i="22" s="1"/>
  <c r="K185" i="22"/>
  <c r="J185" i="22" s="1"/>
  <c r="K54" i="22"/>
  <c r="J54" i="22" s="1"/>
  <c r="K368" i="22"/>
  <c r="J368" i="22" s="1"/>
  <c r="K153" i="22"/>
  <c r="J153" i="22" s="1"/>
  <c r="K135" i="22"/>
  <c r="J135" i="22" s="1"/>
  <c r="K97" i="22"/>
  <c r="J97" i="22" s="1"/>
  <c r="K82" i="22"/>
  <c r="J82" i="22" s="1"/>
  <c r="K21" i="22"/>
  <c r="J21" i="22" s="1"/>
  <c r="K11" i="22"/>
  <c r="J11" i="22" s="1"/>
  <c r="K41" i="22"/>
  <c r="J41" i="22" s="1"/>
  <c r="K79" i="22"/>
  <c r="J79" i="22" s="1"/>
  <c r="K277" i="22"/>
  <c r="J277" i="22" s="1"/>
  <c r="K268" i="22"/>
  <c r="J268" i="22" s="1"/>
  <c r="K232" i="22"/>
  <c r="J232" i="22" s="1"/>
  <c r="K167" i="22"/>
  <c r="J167" i="22" s="1"/>
  <c r="K210" i="22"/>
  <c r="J210" i="22" s="1"/>
  <c r="K100" i="22"/>
  <c r="J100" i="22" s="1"/>
  <c r="K366" i="22"/>
  <c r="J366" i="22" s="1"/>
  <c r="K312" i="22"/>
  <c r="J312" i="22" s="1"/>
  <c r="K291" i="22"/>
  <c r="J291" i="22" s="1"/>
  <c r="K149" i="22"/>
  <c r="J149" i="22" s="1"/>
  <c r="K464" i="22"/>
  <c r="J464" i="22" s="1"/>
  <c r="K341" i="22"/>
  <c r="J341" i="22" s="1"/>
  <c r="K263" i="22"/>
  <c r="J263" i="22" s="1"/>
  <c r="K8" i="22"/>
  <c r="J8" i="22" s="1"/>
  <c r="K357" i="22"/>
  <c r="J357" i="22" s="1"/>
  <c r="K207" i="22"/>
  <c r="J207" i="22" s="1"/>
  <c r="K391" i="22"/>
  <c r="J391" i="22" s="1"/>
  <c r="K134" i="22"/>
  <c r="J134" i="22" s="1"/>
  <c r="K119" i="22"/>
  <c r="J119" i="22" s="1"/>
  <c r="K367" i="22"/>
  <c r="J367" i="22" s="1"/>
  <c r="K241" i="22"/>
  <c r="J241" i="22" s="1"/>
  <c r="K378" i="22"/>
  <c r="J378" i="22" s="1"/>
  <c r="K290" i="22"/>
  <c r="J290" i="22" s="1"/>
  <c r="K161" i="22"/>
  <c r="J161" i="22" s="1"/>
  <c r="K183" i="22"/>
  <c r="J183" i="22" s="1"/>
  <c r="K151" i="22"/>
  <c r="J151" i="22" s="1"/>
  <c r="K10" i="22"/>
  <c r="J10" i="22" s="1"/>
  <c r="K95" i="22"/>
  <c r="J95" i="22" s="1"/>
  <c r="K80" i="22"/>
  <c r="J80" i="22" s="1"/>
  <c r="K273" i="22"/>
  <c r="J273" i="22" s="1"/>
  <c r="K168" i="22"/>
  <c r="J168" i="22" s="1"/>
  <c r="K145" i="22"/>
  <c r="J145" i="22" s="1"/>
  <c r="K76" i="22"/>
  <c r="J76" i="22" s="1"/>
  <c r="K379" i="22"/>
  <c r="J379" i="22" s="1"/>
  <c r="K394" i="22"/>
  <c r="J394" i="22" s="1"/>
  <c r="K408" i="22"/>
  <c r="J408" i="22" s="1"/>
  <c r="K370" i="22"/>
  <c r="J370" i="22" s="1"/>
  <c r="K307" i="22"/>
  <c r="J307" i="22" s="1"/>
  <c r="K229" i="22"/>
  <c r="J229" i="22" s="1"/>
  <c r="K211" i="22"/>
  <c r="J211" i="22" s="1"/>
  <c r="K190" i="22"/>
  <c r="J190" i="22" s="1"/>
  <c r="K138" i="22"/>
  <c r="J138" i="22" s="1"/>
  <c r="K458" i="22"/>
  <c r="J458" i="22" s="1"/>
  <c r="K329" i="22"/>
  <c r="J329" i="22" s="1"/>
  <c r="K296" i="22"/>
  <c r="J296" i="22" s="1"/>
  <c r="K266" i="22"/>
  <c r="J266" i="22" s="1"/>
  <c r="K248" i="22"/>
  <c r="J248" i="22" s="1"/>
  <c r="K59" i="22"/>
  <c r="J59" i="22" s="1"/>
  <c r="K101" i="22"/>
  <c r="J101" i="22" s="1"/>
  <c r="K44" i="22"/>
  <c r="J44" i="22" s="1"/>
  <c r="K258" i="22"/>
  <c r="J258" i="22" s="1"/>
  <c r="K214" i="22"/>
  <c r="J214" i="22" s="1"/>
  <c r="K117" i="22"/>
  <c r="J117" i="22" s="1"/>
  <c r="K60" i="22"/>
  <c r="J60" i="22" s="1"/>
  <c r="K395" i="22"/>
  <c r="J395" i="22" s="1"/>
  <c r="K103" i="22"/>
  <c r="J103" i="22" s="1"/>
  <c r="K250" i="22"/>
  <c r="J250" i="22" s="1"/>
  <c r="K48" i="22"/>
  <c r="J48" i="22" s="1"/>
  <c r="K470" i="22"/>
  <c r="J470" i="22" s="1"/>
  <c r="K401" i="22"/>
  <c r="J401" i="22" s="1"/>
  <c r="K472" i="22"/>
  <c r="J472" i="22" s="1"/>
  <c r="K159" i="22"/>
  <c r="J159" i="22" s="1"/>
  <c r="K304" i="22"/>
  <c r="J304" i="22" s="1"/>
  <c r="K196" i="22"/>
  <c r="J196" i="22" s="1"/>
  <c r="K64" i="22"/>
  <c r="J64" i="22" s="1"/>
  <c r="K37" i="22"/>
  <c r="J37" i="22" s="1"/>
  <c r="K86" i="22"/>
  <c r="J86" i="22" s="1"/>
  <c r="K26" i="22"/>
  <c r="J26" i="22" s="1"/>
  <c r="K406" i="22"/>
  <c r="J406" i="22" s="1"/>
  <c r="K462" i="22"/>
  <c r="J462" i="22" s="1"/>
  <c r="K424" i="22"/>
  <c r="J424" i="22" s="1"/>
  <c r="K466" i="22"/>
  <c r="J466" i="22" s="1"/>
  <c r="AD11" i="2"/>
  <c r="AD25" i="2" s="1"/>
  <c r="AC11" i="2"/>
  <c r="AC17" i="2" s="1"/>
  <c r="AB11" i="2"/>
  <c r="AB26" i="2" s="1"/>
  <c r="AA11" i="2"/>
  <c r="AA25" i="2" s="1"/>
  <c r="Z11" i="2"/>
  <c r="Z20" i="2" s="1"/>
  <c r="Y11" i="2"/>
  <c r="Y15" i="2" s="1"/>
  <c r="X11" i="2"/>
  <c r="X25" i="2" s="1"/>
  <c r="W11" i="2"/>
  <c r="W23" i="2" s="1"/>
  <c r="V11" i="2"/>
  <c r="V18" i="2" s="1"/>
  <c r="U11" i="2"/>
  <c r="U12" i="2" s="1"/>
  <c r="J338" i="16" l="1"/>
  <c r="U13" i="2"/>
  <c r="AA21" i="2"/>
  <c r="AA23" i="2"/>
  <c r="Y18" i="2"/>
  <c r="AC20" i="2"/>
  <c r="AC15" i="2"/>
  <c r="AC26" i="2"/>
  <c r="AC24" i="2"/>
  <c r="AC21" i="2"/>
  <c r="AC12" i="2"/>
  <c r="AD22" i="2"/>
  <c r="Z13" i="2"/>
  <c r="AD23" i="2"/>
  <c r="AC13" i="2"/>
  <c r="AA24" i="2"/>
  <c r="Z16" i="2"/>
  <c r="X26" i="2"/>
  <c r="AC16" i="2"/>
  <c r="AC18" i="2"/>
  <c r="AE25" i="2"/>
  <c r="W21" i="2"/>
  <c r="V16" i="2"/>
  <c r="V19" i="2"/>
  <c r="U14" i="2"/>
  <c r="AC19" i="2"/>
  <c r="Z22" i="2"/>
  <c r="X24" i="2"/>
  <c r="V17" i="2"/>
  <c r="Z19" i="2"/>
  <c r="W22" i="2"/>
  <c r="AC14" i="2"/>
  <c r="AA17" i="2"/>
  <c r="AA14" i="2"/>
  <c r="W20" i="2"/>
  <c r="Y12" i="2"/>
  <c r="V15" i="2"/>
  <c r="AE15" i="2" l="1"/>
  <c r="AE20" i="2"/>
  <c r="AE18" i="2"/>
  <c r="AE23" i="2"/>
  <c r="AE26" i="2"/>
  <c r="AE22" i="2"/>
  <c r="AE13" i="2"/>
  <c r="AE12" i="2"/>
  <c r="AE24" i="2"/>
  <c r="AE21" i="2"/>
  <c r="AE16" i="2"/>
  <c r="AE19" i="2"/>
  <c r="AE14" i="2"/>
  <c r="AE17" i="2"/>
</calcChain>
</file>

<file path=xl/sharedStrings.xml><?xml version="1.0" encoding="utf-8"?>
<sst xmlns="http://schemas.openxmlformats.org/spreadsheetml/2006/main" count="5716" uniqueCount="1449">
  <si>
    <t>권역</t>
  </si>
  <si>
    <t>코드</t>
  </si>
  <si>
    <t>건물</t>
  </si>
  <si>
    <t>쓰레기</t>
  </si>
  <si>
    <t>재활용</t>
  </si>
  <si>
    <t>음쓰</t>
  </si>
  <si>
    <t>인원</t>
  </si>
  <si>
    <t>월</t>
  </si>
  <si>
    <t>화</t>
  </si>
  <si>
    <t>수</t>
  </si>
  <si>
    <t>목</t>
  </si>
  <si>
    <t>금</t>
  </si>
  <si>
    <t>토</t>
  </si>
  <si>
    <t>일</t>
  </si>
  <si>
    <t>빨래</t>
  </si>
  <si>
    <t>건조</t>
  </si>
  <si>
    <t>이동</t>
  </si>
  <si>
    <t>비고</t>
  </si>
  <si>
    <t>연락처</t>
  </si>
  <si>
    <t>은행</t>
  </si>
  <si>
    <t>계좌</t>
  </si>
  <si>
    <t>침구류 커버, 수건 교체</t>
  </si>
  <si>
    <t>강동 천호</t>
  </si>
  <si>
    <t>A</t>
  </si>
  <si>
    <t>예건</t>
  </si>
  <si>
    <t>1층</t>
  </si>
  <si>
    <t>봉투</t>
  </si>
  <si>
    <t>마디나</t>
  </si>
  <si>
    <t>ㅇ</t>
  </si>
  <si>
    <t>뚜벅</t>
  </si>
  <si>
    <t>돈 필요</t>
  </si>
  <si>
    <t>010-8447-3332</t>
  </si>
  <si>
    <t>토스</t>
  </si>
  <si>
    <t>1001-8877-7919</t>
  </si>
  <si>
    <t>침구류 머리카락</t>
  </si>
  <si>
    <t>성우</t>
  </si>
  <si>
    <t>B</t>
  </si>
  <si>
    <t>강동 북천호</t>
  </si>
  <si>
    <t>거울, 유리</t>
  </si>
  <si>
    <t>더하임</t>
  </si>
  <si>
    <t>?? 카드</t>
  </si>
  <si>
    <t>스뎅 수전</t>
  </si>
  <si>
    <t>천호다성</t>
  </si>
  <si>
    <t>??</t>
  </si>
  <si>
    <t>김정은</t>
  </si>
  <si>
    <t>010-4737-7534</t>
  </si>
  <si>
    <t>국민</t>
  </si>
  <si>
    <t>채수구</t>
  </si>
  <si>
    <t>강동 중길동</t>
  </si>
  <si>
    <t>C</t>
  </si>
  <si>
    <t>은성</t>
  </si>
  <si>
    <t>화장실 물청소, 변기</t>
  </si>
  <si>
    <t>영무</t>
  </si>
  <si>
    <t>등록 카드</t>
  </si>
  <si>
    <t>선반, 데스크 등</t>
  </si>
  <si>
    <t>강동 북길동</t>
  </si>
  <si>
    <t>D</t>
  </si>
  <si>
    <t>청광1차</t>
  </si>
  <si>
    <t>바닥 청소기</t>
  </si>
  <si>
    <t>길동다성</t>
  </si>
  <si>
    <t>E</t>
  </si>
  <si>
    <t>강동 남길동</t>
  </si>
  <si>
    <t>냉장고 비움</t>
  </si>
  <si>
    <t>르센티</t>
  </si>
  <si>
    <t>F</t>
  </si>
  <si>
    <t>설거지, 렌지 청소</t>
  </si>
  <si>
    <t>동구햇살</t>
  </si>
  <si>
    <t>강동QV</t>
  </si>
  <si>
    <t>유민정</t>
  </si>
  <si>
    <t>2건 이상</t>
  </si>
  <si>
    <t>010-5906-7472</t>
  </si>
  <si>
    <t>신한</t>
  </si>
  <si>
    <t>빨래 돌리기</t>
  </si>
  <si>
    <t>렘브</t>
  </si>
  <si>
    <t>청광3차</t>
  </si>
  <si>
    <t>한양립스</t>
  </si>
  <si>
    <r>
      <rPr>
        <sz val="10"/>
        <color rgb="FF000000"/>
        <rFont val="Arial"/>
        <family val="2"/>
      </rPr>
      <t>sk2</t>
    </r>
    <r>
      <rPr>
        <sz val="10"/>
        <color rgb="FF000000"/>
        <rFont val="맑은 고딕"/>
        <family val="3"/>
        <charset val="129"/>
      </rPr>
      <t>차</t>
    </r>
  </si>
  <si>
    <t>류지영</t>
  </si>
  <si>
    <t>강동 전역</t>
  </si>
  <si>
    <t>자차</t>
  </si>
  <si>
    <t>남편</t>
  </si>
  <si>
    <t>010-4509-5717</t>
  </si>
  <si>
    <t>카카오</t>
  </si>
  <si>
    <t>3333-1742-08879</t>
  </si>
  <si>
    <t>강동 성내</t>
  </si>
  <si>
    <t>G</t>
  </si>
  <si>
    <t>si</t>
  </si>
  <si>
    <t>태상</t>
  </si>
  <si>
    <t>오앤</t>
  </si>
  <si>
    <t>김정한</t>
  </si>
  <si>
    <t>자전거</t>
  </si>
  <si>
    <t>010-7626-1955</t>
  </si>
  <si>
    <t>110-314-724-430</t>
  </si>
  <si>
    <t>송파 오금</t>
  </si>
  <si>
    <t>H</t>
  </si>
  <si>
    <t>오금스타</t>
  </si>
  <si>
    <t>하남 미사</t>
  </si>
  <si>
    <t>I</t>
  </si>
  <si>
    <t>미사 마이움</t>
  </si>
  <si>
    <t>지1층</t>
  </si>
  <si>
    <t>박연실</t>
  </si>
  <si>
    <t>기업</t>
  </si>
  <si>
    <t>060-018435-02-014</t>
  </si>
  <si>
    <t>미사 힐스</t>
  </si>
  <si>
    <t>미사 롯데</t>
  </si>
  <si>
    <t>중구</t>
  </si>
  <si>
    <t>J</t>
  </si>
  <si>
    <t>하람휴</t>
  </si>
  <si>
    <t>전봇대</t>
  </si>
  <si>
    <t>동대문</t>
  </si>
  <si>
    <t>K</t>
  </si>
  <si>
    <t>선일</t>
  </si>
  <si>
    <t>주차장</t>
  </si>
  <si>
    <t>빨래 수거</t>
  </si>
  <si>
    <t>태솔</t>
  </si>
  <si>
    <t>뉴시티</t>
  </si>
  <si>
    <t>지2층</t>
  </si>
  <si>
    <t>서울 기타</t>
  </si>
  <si>
    <t>L</t>
  </si>
  <si>
    <t>방학</t>
  </si>
  <si>
    <t>중화</t>
  </si>
  <si>
    <t>가산</t>
  </si>
  <si>
    <t>장승연</t>
  </si>
  <si>
    <t>010-2773-2244</t>
  </si>
  <si>
    <t>하나</t>
  </si>
  <si>
    <t>142-910597-91407</t>
  </si>
  <si>
    <t>인천</t>
  </si>
  <si>
    <t>M</t>
  </si>
  <si>
    <t>카이저</t>
  </si>
  <si>
    <t>교통 카드</t>
  </si>
  <si>
    <t>지방</t>
  </si>
  <si>
    <t>N</t>
  </si>
  <si>
    <t>블루</t>
  </si>
  <si>
    <t>수아</t>
  </si>
  <si>
    <t>강수미</t>
  </si>
  <si>
    <t>010-2272-4424</t>
  </si>
  <si>
    <t>110-191-641767</t>
  </si>
  <si>
    <t>박진성</t>
  </si>
  <si>
    <t>010-6288-7469</t>
  </si>
  <si>
    <t>농협</t>
  </si>
  <si>
    <t>100029-56-096965</t>
  </si>
  <si>
    <t>김민주</t>
  </si>
  <si>
    <t>540-004738-02-011</t>
  </si>
  <si>
    <t>김영숙</t>
  </si>
  <si>
    <t>010-3319-8759</t>
  </si>
  <si>
    <t>450902-01-350165</t>
  </si>
  <si>
    <t>안현기</t>
  </si>
  <si>
    <t>동대문, 중화</t>
  </si>
  <si>
    <t>010-6261-2659</t>
  </si>
  <si>
    <t>3333-0808-48445</t>
  </si>
  <si>
    <t>장미숙</t>
  </si>
  <si>
    <t>010-3767-3054</t>
  </si>
  <si>
    <t>오재관</t>
  </si>
  <si>
    <t>황월규</t>
  </si>
  <si>
    <t>김미림, 서춘희, 위현숙, 윤현설, 이지영, 정성미</t>
  </si>
  <si>
    <t>김정의</t>
  </si>
  <si>
    <t>스케쥴, 김순응, 김양기, 정순옥, 한순자</t>
  </si>
  <si>
    <t>울산</t>
  </si>
  <si>
    <t>한해숙</t>
  </si>
  <si>
    <t>010-5130-4017</t>
  </si>
  <si>
    <t>815-0875-6067-124</t>
  </si>
  <si>
    <t>명칭</t>
  </si>
  <si>
    <t>방</t>
  </si>
  <si>
    <t>Q</t>
  </si>
  <si>
    <t>ss</t>
  </si>
  <si>
    <t>단가</t>
  </si>
  <si>
    <t>단가 기준</t>
  </si>
  <si>
    <t>S 센텀 1차</t>
  </si>
  <si>
    <t>침대</t>
  </si>
  <si>
    <t>화장실</t>
  </si>
  <si>
    <t>1룸 1베드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</si>
  <si>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맑은 고딕"/>
        <family val="3"/>
        <charset val="129"/>
      </rPr>
      <t>룸 2베드</t>
    </r>
  </si>
  <si>
    <t>T 센텀 2차</t>
  </si>
  <si>
    <t>센텀 2차 301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</si>
  <si>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맑은 고딕"/>
        <family val="3"/>
        <charset val="129"/>
      </rPr>
      <t xml:space="preserve">룸 </t>
    </r>
    <r>
      <rPr>
        <sz val="10"/>
        <color rgb="FF000000"/>
        <rFont val="Arial"/>
        <family val="2"/>
      </rPr>
      <t>3</t>
    </r>
    <r>
      <rPr>
        <sz val="10"/>
        <color rgb="FF000000"/>
        <rFont val="맑은 고딕"/>
        <family val="3"/>
        <charset val="129"/>
      </rPr>
      <t>베드</t>
    </r>
  </si>
  <si>
    <t>센텀 2차 302</t>
  </si>
  <si>
    <t>복층 1베드</t>
  </si>
  <si>
    <t>센텀 2차 406</t>
  </si>
  <si>
    <t>복층 2베드</t>
  </si>
  <si>
    <t>센텀 2차 501</t>
  </si>
  <si>
    <t>복층 3베드</t>
  </si>
  <si>
    <t>센텀 2차 701</t>
  </si>
  <si>
    <t>1.5룸 1베드</t>
  </si>
  <si>
    <t>U 성우스타</t>
  </si>
  <si>
    <t>성우 201</t>
  </si>
  <si>
    <t>1.5룸 2베드</t>
  </si>
  <si>
    <t>성우 204</t>
  </si>
  <si>
    <t>2룸 2베드</t>
  </si>
  <si>
    <t>2룸 3베드</t>
  </si>
  <si>
    <t>성우 402</t>
  </si>
  <si>
    <t>2룸 2베드 2화</t>
  </si>
  <si>
    <t>성우 803</t>
  </si>
  <si>
    <t>2룸 3베드 2화</t>
  </si>
  <si>
    <t>성우 903</t>
  </si>
  <si>
    <t>3룸 3베드</t>
  </si>
  <si>
    <t>성우 904</t>
  </si>
  <si>
    <t>3룸 3베드 2화</t>
  </si>
  <si>
    <t>A 강동 천호</t>
  </si>
  <si>
    <t>예건 202</t>
  </si>
  <si>
    <t>3룸 4베드</t>
  </si>
  <si>
    <t>예건 204</t>
  </si>
  <si>
    <t>예건 205</t>
  </si>
  <si>
    <t>예건 303</t>
  </si>
  <si>
    <t>예건 404</t>
  </si>
  <si>
    <t>예건 602</t>
  </si>
  <si>
    <t>예건 702</t>
  </si>
  <si>
    <t>예건 802</t>
  </si>
  <si>
    <t>예건 902</t>
  </si>
  <si>
    <t>A2 강동 북천호</t>
  </si>
  <si>
    <t>천호다성 603</t>
  </si>
  <si>
    <t>B 강동 중길동</t>
  </si>
  <si>
    <t>은성 603</t>
  </si>
  <si>
    <t>영무 302</t>
  </si>
  <si>
    <t>영무 1008</t>
  </si>
  <si>
    <t>C 강동 북길동</t>
  </si>
  <si>
    <t>청광1차 207</t>
  </si>
  <si>
    <t>청광1차 608</t>
  </si>
  <si>
    <t>청광1차 609</t>
  </si>
  <si>
    <t>청광1차 709</t>
  </si>
  <si>
    <t>청광1차 910</t>
  </si>
  <si>
    <t>청광1차 1303</t>
  </si>
  <si>
    <t>길동다성 506</t>
  </si>
  <si>
    <t>D 강동 남길동</t>
  </si>
  <si>
    <t>청광3차 1416</t>
  </si>
  <si>
    <t>청광3차 214</t>
  </si>
  <si>
    <t>청광3차 507</t>
  </si>
  <si>
    <t>청광3차 806</t>
  </si>
  <si>
    <t>청광3차 1315</t>
  </si>
  <si>
    <t>청광3차 1412</t>
  </si>
  <si>
    <t>SK2차 623</t>
  </si>
  <si>
    <t>E 강동 남길동</t>
  </si>
  <si>
    <t>르센티 1801</t>
  </si>
  <si>
    <t>복</t>
  </si>
  <si>
    <t>르센티 1106</t>
  </si>
  <si>
    <t>렘브 204</t>
  </si>
  <si>
    <t>렘브 505</t>
  </si>
  <si>
    <t>동구햇살 1203</t>
  </si>
  <si>
    <t>F 강동 둔촌</t>
  </si>
  <si>
    <t>한양립스 503</t>
  </si>
  <si>
    <t>오앤 401</t>
  </si>
  <si>
    <t>태상 501</t>
  </si>
  <si>
    <t>G 강동 성내</t>
  </si>
  <si>
    <t>si 403</t>
  </si>
  <si>
    <t>si 502</t>
  </si>
  <si>
    <t>si 602</t>
  </si>
  <si>
    <t>H 송파 오금</t>
  </si>
  <si>
    <t>오금 빨래 수거</t>
  </si>
  <si>
    <t>오금스타 102</t>
  </si>
  <si>
    <t>오금스타 103</t>
  </si>
  <si>
    <t>오금스타 201</t>
  </si>
  <si>
    <t>오금스타 203</t>
  </si>
  <si>
    <t>오금스타 205</t>
  </si>
  <si>
    <t>오금스타 401</t>
  </si>
  <si>
    <t>오금스타 402</t>
  </si>
  <si>
    <t>I 하남 미사</t>
  </si>
  <si>
    <t>미사 마이움 102-803</t>
  </si>
  <si>
    <t>미사 힐스 804</t>
  </si>
  <si>
    <t>미사 롯데 960</t>
  </si>
  <si>
    <t>K 동대문</t>
  </si>
  <si>
    <t>선일 101</t>
  </si>
  <si>
    <t>태솔 205</t>
  </si>
  <si>
    <t>뉴시티 1413</t>
  </si>
  <si>
    <t>L 서울 기타</t>
  </si>
  <si>
    <t>세종에코 304</t>
  </si>
  <si>
    <t>방학 709</t>
  </si>
  <si>
    <t>가산 지웰 328</t>
  </si>
  <si>
    <t>J 중구</t>
  </si>
  <si>
    <t>하람휴 902</t>
  </si>
  <si>
    <t>하람휴 1102</t>
  </si>
  <si>
    <t>M 인천</t>
  </si>
  <si>
    <t>카이저 101-1204</t>
  </si>
  <si>
    <t>카이저 203-308</t>
  </si>
  <si>
    <t>N 지방</t>
  </si>
  <si>
    <t>울산 블루 307</t>
  </si>
  <si>
    <t>울산 블루 315</t>
  </si>
  <si>
    <t>울산 수아 1007</t>
  </si>
  <si>
    <t>청소일자</t>
  </si>
  <si>
    <t>요일</t>
  </si>
  <si>
    <t>숙소명</t>
  </si>
  <si>
    <t>워크맨</t>
  </si>
  <si>
    <t>체크사항/요구사항</t>
  </si>
  <si>
    <t>입금체크</t>
  </si>
  <si>
    <t>운영 지출</t>
  </si>
  <si>
    <t>D8</t>
    <phoneticPr fontId="12" type="noConversion"/>
  </si>
  <si>
    <t>C6</t>
    <phoneticPr fontId="12" type="noConversion"/>
  </si>
  <si>
    <t>C7</t>
    <phoneticPr fontId="12" type="noConversion"/>
  </si>
  <si>
    <t>D1</t>
    <phoneticPr fontId="12" type="noConversion"/>
  </si>
  <si>
    <t>D6</t>
    <phoneticPr fontId="12" type="noConversion"/>
  </si>
  <si>
    <t>D7</t>
    <phoneticPr fontId="12" type="noConversion"/>
  </si>
  <si>
    <t>D2</t>
    <phoneticPr fontId="12" type="noConversion"/>
  </si>
  <si>
    <t>E3</t>
    <phoneticPr fontId="12" type="noConversion"/>
  </si>
  <si>
    <t>F1</t>
    <phoneticPr fontId="12" type="noConversion"/>
  </si>
  <si>
    <t>F2</t>
    <phoneticPr fontId="12" type="noConversion"/>
  </si>
  <si>
    <t>N2</t>
    <phoneticPr fontId="12" type="noConversion"/>
  </si>
  <si>
    <t>C2</t>
    <phoneticPr fontId="12" type="noConversion"/>
  </si>
  <si>
    <t>E1</t>
    <phoneticPr fontId="12" type="noConversion"/>
  </si>
  <si>
    <t>E2</t>
    <phoneticPr fontId="12" type="noConversion"/>
  </si>
  <si>
    <t>F3</t>
    <phoneticPr fontId="12" type="noConversion"/>
  </si>
  <si>
    <t>K1</t>
    <phoneticPr fontId="12" type="noConversion"/>
  </si>
  <si>
    <t>K4</t>
    <phoneticPr fontId="12" type="noConversion"/>
  </si>
  <si>
    <t>L2</t>
    <phoneticPr fontId="12" type="noConversion"/>
  </si>
  <si>
    <t>D3</t>
    <phoneticPr fontId="12" type="noConversion"/>
  </si>
  <si>
    <t>L3</t>
    <phoneticPr fontId="12" type="noConversion"/>
  </si>
  <si>
    <t>D5</t>
    <phoneticPr fontId="12" type="noConversion"/>
  </si>
  <si>
    <t>E4</t>
    <phoneticPr fontId="12" type="noConversion"/>
  </si>
  <si>
    <t>K3</t>
    <phoneticPr fontId="12" type="noConversion"/>
  </si>
  <si>
    <t>오금스타 303</t>
    <phoneticPr fontId="12" type="noConversion"/>
  </si>
  <si>
    <t>I2</t>
    <phoneticPr fontId="12" type="noConversion"/>
  </si>
  <si>
    <t>C4</t>
    <phoneticPr fontId="12" type="noConversion"/>
  </si>
  <si>
    <t>I1</t>
    <phoneticPr fontId="12" type="noConversion"/>
  </si>
  <si>
    <t>D4</t>
    <phoneticPr fontId="12" type="noConversion"/>
  </si>
  <si>
    <t>M1</t>
    <phoneticPr fontId="12" type="noConversion"/>
  </si>
  <si>
    <t>N4</t>
    <phoneticPr fontId="12" type="noConversion"/>
  </si>
  <si>
    <t>울산 자이 101-2407</t>
    <phoneticPr fontId="12" type="noConversion"/>
  </si>
  <si>
    <t>N1</t>
    <phoneticPr fontId="12" type="noConversion"/>
  </si>
  <si>
    <t>E5</t>
    <phoneticPr fontId="12" type="noConversion"/>
  </si>
  <si>
    <t>더하임 304</t>
    <phoneticPr fontId="12" type="noConversion"/>
  </si>
  <si>
    <t>토</t>
    <phoneticPr fontId="12" type="noConversion"/>
  </si>
  <si>
    <t>일</t>
    <phoneticPr fontId="12" type="noConversion"/>
  </si>
  <si>
    <t>센텀 2차 606</t>
    <phoneticPr fontId="12" type="noConversion"/>
  </si>
  <si>
    <t>성우 301</t>
    <phoneticPr fontId="12" type="noConversion"/>
  </si>
  <si>
    <t>더하임 305</t>
    <phoneticPr fontId="12" type="noConversion"/>
  </si>
  <si>
    <t>C3</t>
    <phoneticPr fontId="12" type="noConversion"/>
  </si>
  <si>
    <t>M2</t>
    <phoneticPr fontId="12" type="noConversion"/>
  </si>
  <si>
    <t>L1</t>
    <phoneticPr fontId="12" type="noConversion"/>
  </si>
  <si>
    <t>T51</t>
    <phoneticPr fontId="12" type="noConversion"/>
  </si>
  <si>
    <t>A82</t>
    <phoneticPr fontId="12" type="noConversion"/>
  </si>
  <si>
    <t>U21</t>
    <phoneticPr fontId="12" type="noConversion"/>
  </si>
  <si>
    <t>U24</t>
    <phoneticPr fontId="12" type="noConversion"/>
  </si>
  <si>
    <t>H13</t>
    <phoneticPr fontId="12" type="noConversion"/>
  </si>
  <si>
    <t>A24</t>
    <phoneticPr fontId="12" type="noConversion"/>
  </si>
  <si>
    <t>G2</t>
    <phoneticPr fontId="12" type="noConversion"/>
  </si>
  <si>
    <t>H21</t>
    <phoneticPr fontId="12" type="noConversion"/>
  </si>
  <si>
    <t>U94</t>
    <phoneticPr fontId="12" type="noConversion"/>
  </si>
  <si>
    <t>T46</t>
    <phoneticPr fontId="12" type="noConversion"/>
  </si>
  <si>
    <t>U31</t>
    <phoneticPr fontId="12" type="noConversion"/>
  </si>
  <si>
    <t>A25</t>
    <phoneticPr fontId="12" type="noConversion"/>
  </si>
  <si>
    <t>A44</t>
    <phoneticPr fontId="12" type="noConversion"/>
  </si>
  <si>
    <t>H33</t>
    <phoneticPr fontId="12" type="noConversion"/>
  </si>
  <si>
    <t>T66</t>
    <phoneticPr fontId="12" type="noConversion"/>
  </si>
  <si>
    <t>G1</t>
    <phoneticPr fontId="12" type="noConversion"/>
  </si>
  <si>
    <t>A33</t>
    <phoneticPr fontId="12" type="noConversion"/>
  </si>
  <si>
    <t>A92</t>
    <phoneticPr fontId="12" type="noConversion"/>
  </si>
  <si>
    <t>L4</t>
    <phoneticPr fontId="12" type="noConversion"/>
  </si>
  <si>
    <t>H42</t>
    <phoneticPr fontId="12" type="noConversion"/>
  </si>
  <si>
    <t>우체국</t>
    <phoneticPr fontId="12" type="noConversion"/>
  </si>
  <si>
    <t>013003-02-307591</t>
    <phoneticPr fontId="12" type="noConversion"/>
  </si>
  <si>
    <t>H12</t>
    <phoneticPr fontId="12" type="noConversion"/>
  </si>
  <si>
    <t>U51</t>
    <phoneticPr fontId="12" type="noConversion"/>
  </si>
  <si>
    <t>성우 501</t>
    <phoneticPr fontId="12" type="noConversion"/>
  </si>
  <si>
    <t>H</t>
    <phoneticPr fontId="12" type="noConversion"/>
  </si>
  <si>
    <t>U34</t>
    <phoneticPr fontId="12" type="noConversion"/>
  </si>
  <si>
    <t>C5</t>
    <phoneticPr fontId="12" type="noConversion"/>
  </si>
  <si>
    <t>성우 304</t>
    <phoneticPr fontId="12" type="noConversion"/>
  </si>
  <si>
    <t>A22</t>
    <phoneticPr fontId="12" type="noConversion"/>
  </si>
  <si>
    <t>I3</t>
    <phoneticPr fontId="12" type="noConversion"/>
  </si>
  <si>
    <t>U83</t>
    <phoneticPr fontId="12" type="noConversion"/>
  </si>
  <si>
    <t>H23</t>
    <phoneticPr fontId="12" type="noConversion"/>
  </si>
  <si>
    <t>더하임 306</t>
    <phoneticPr fontId="12" type="noConversion"/>
  </si>
  <si>
    <t>더하임 506</t>
    <phoneticPr fontId="12" type="noConversion"/>
  </si>
  <si>
    <t>B36</t>
    <phoneticPr fontId="12" type="noConversion"/>
  </si>
  <si>
    <t>B56</t>
    <phoneticPr fontId="12" type="noConversion"/>
  </si>
  <si>
    <t>센텀 101</t>
    <phoneticPr fontId="12" type="noConversion"/>
  </si>
  <si>
    <r>
      <t xml:space="preserve">1.5 / </t>
    </r>
    <r>
      <rPr>
        <sz val="10"/>
        <color rgb="FF000000"/>
        <rFont val="맑은 고딕"/>
        <family val="3"/>
        <charset val="129"/>
      </rPr>
      <t>복</t>
    </r>
    <phoneticPr fontId="12" type="noConversion"/>
  </si>
  <si>
    <t>B35</t>
    <phoneticPr fontId="12" type="noConversion"/>
  </si>
  <si>
    <t>S</t>
    <phoneticPr fontId="12" type="noConversion"/>
  </si>
  <si>
    <t>T32</t>
    <phoneticPr fontId="12" type="noConversion"/>
  </si>
  <si>
    <t>T31</t>
    <phoneticPr fontId="12" type="noConversion"/>
  </si>
  <si>
    <t>T71</t>
    <phoneticPr fontId="12" type="noConversion"/>
  </si>
  <si>
    <t>U42</t>
    <phoneticPr fontId="12" type="noConversion"/>
  </si>
  <si>
    <t>U93</t>
    <phoneticPr fontId="12" type="noConversion"/>
  </si>
  <si>
    <t>A62</t>
    <phoneticPr fontId="12" type="noConversion"/>
  </si>
  <si>
    <t>A72</t>
    <phoneticPr fontId="12" type="noConversion"/>
  </si>
  <si>
    <t>B24</t>
    <phoneticPr fontId="12" type="noConversion"/>
  </si>
  <si>
    <t>B34</t>
    <phoneticPr fontId="12" type="noConversion"/>
  </si>
  <si>
    <t>J1</t>
    <phoneticPr fontId="12" type="noConversion"/>
  </si>
  <si>
    <t>J2</t>
    <phoneticPr fontId="12" type="noConversion"/>
  </si>
  <si>
    <t>J4</t>
    <phoneticPr fontId="12" type="noConversion"/>
  </si>
  <si>
    <t>J5</t>
    <phoneticPr fontId="12" type="noConversion"/>
  </si>
  <si>
    <t>G3</t>
    <phoneticPr fontId="12" type="noConversion"/>
  </si>
  <si>
    <t>H25</t>
    <phoneticPr fontId="12" type="noConversion"/>
  </si>
  <si>
    <t>H41</t>
    <phoneticPr fontId="12" type="noConversion"/>
  </si>
  <si>
    <t>K2</t>
    <phoneticPr fontId="12" type="noConversion"/>
  </si>
  <si>
    <t>K5</t>
    <phoneticPr fontId="12" type="noConversion"/>
  </si>
  <si>
    <t>N3</t>
    <phoneticPr fontId="12" type="noConversion"/>
  </si>
  <si>
    <t>L5</t>
    <phoneticPr fontId="12" type="noConversion"/>
  </si>
  <si>
    <t>하람휴 1001</t>
    <phoneticPr fontId="12" type="noConversion"/>
  </si>
  <si>
    <t>B64</t>
    <phoneticPr fontId="12" type="noConversion"/>
  </si>
  <si>
    <t>더하임 604</t>
    <phoneticPr fontId="12" type="noConversion"/>
  </si>
  <si>
    <t>L6</t>
    <phoneticPr fontId="12" type="noConversion"/>
  </si>
  <si>
    <t>B46</t>
    <phoneticPr fontId="12" type="noConversion"/>
  </si>
  <si>
    <t>더하임 406</t>
    <phoneticPr fontId="12" type="noConversion"/>
  </si>
  <si>
    <r>
      <rPr>
        <sz val="11"/>
        <rFont val="돋움"/>
        <family val="3"/>
        <charset val="129"/>
      </rPr>
      <t>강동</t>
    </r>
    <r>
      <rPr>
        <sz val="11"/>
        <rFont val="Calibri"/>
        <family val="2"/>
      </rPr>
      <t>QV 1604</t>
    </r>
  </si>
  <si>
    <t>V13</t>
    <phoneticPr fontId="12" type="noConversion"/>
  </si>
  <si>
    <t xml:space="preserve"> V 강남 대치</t>
    <phoneticPr fontId="12" type="noConversion"/>
  </si>
  <si>
    <t>대치동 103호</t>
    <phoneticPr fontId="12" type="noConversion"/>
  </si>
  <si>
    <t>V11</t>
    <phoneticPr fontId="12" type="noConversion"/>
  </si>
  <si>
    <t>V12</t>
    <phoneticPr fontId="12" type="noConversion"/>
  </si>
  <si>
    <t>대치동 101호</t>
    <phoneticPr fontId="12" type="noConversion"/>
  </si>
  <si>
    <t>대치동 102호</t>
    <phoneticPr fontId="12" type="noConversion"/>
  </si>
  <si>
    <t>담당</t>
    <phoneticPr fontId="12" type="noConversion"/>
  </si>
  <si>
    <t>공숙길</t>
    <phoneticPr fontId="12" type="noConversion"/>
  </si>
  <si>
    <t>침구 관리</t>
    <phoneticPr fontId="12" type="noConversion"/>
  </si>
  <si>
    <t>기본비</t>
    <phoneticPr fontId="12" type="noConversion"/>
  </si>
  <si>
    <t>추가비</t>
    <phoneticPr fontId="12" type="noConversion"/>
  </si>
  <si>
    <t>물품 구입</t>
    <phoneticPr fontId="12" type="noConversion"/>
  </si>
  <si>
    <t>총 금액(B)</t>
    <phoneticPr fontId="12" type="noConversion"/>
  </si>
  <si>
    <t>공숙길</t>
  </si>
  <si>
    <t>이기섭</t>
    <phoneticPr fontId="12" type="noConversion"/>
  </si>
  <si>
    <t>우리</t>
    <phoneticPr fontId="12" type="noConversion"/>
  </si>
  <si>
    <t>1002-7483-67740</t>
    <phoneticPr fontId="12" type="noConversion"/>
  </si>
  <si>
    <t>013102-02-582835</t>
    <phoneticPr fontId="12" type="noConversion"/>
  </si>
  <si>
    <t>이기섭</t>
  </si>
  <si>
    <t>방학, 동대문, 중화</t>
    <phoneticPr fontId="12" type="noConversion"/>
  </si>
  <si>
    <t>가산</t>
    <phoneticPr fontId="12" type="noConversion"/>
  </si>
  <si>
    <t>번</t>
    <phoneticPr fontId="12" type="noConversion"/>
  </si>
  <si>
    <t>C</t>
    <phoneticPr fontId="12" type="noConversion"/>
  </si>
  <si>
    <t>B54</t>
    <phoneticPr fontId="12" type="noConversion"/>
  </si>
  <si>
    <t>B55</t>
    <phoneticPr fontId="12" type="noConversion"/>
  </si>
  <si>
    <t>더하임 504</t>
    <phoneticPr fontId="12" type="noConversion"/>
  </si>
  <si>
    <t>더하임 505</t>
    <phoneticPr fontId="12" type="noConversion"/>
  </si>
  <si>
    <t>방 개수</t>
    <phoneticPr fontId="21" type="noConversion"/>
  </si>
  <si>
    <t>단가</t>
    <phoneticPr fontId="21" type="noConversion"/>
  </si>
  <si>
    <t>복</t>
    <phoneticPr fontId="21" type="noConversion"/>
  </si>
  <si>
    <t>가온빌 102</t>
    <phoneticPr fontId="12" type="noConversion"/>
  </si>
  <si>
    <t>백업</t>
    <phoneticPr fontId="12" type="noConversion"/>
  </si>
  <si>
    <t>박연실</t>
    <phoneticPr fontId="12" type="noConversion"/>
  </si>
  <si>
    <t>신한</t>
    <phoneticPr fontId="12" type="noConversion"/>
  </si>
  <si>
    <t>110-611-123497</t>
    <phoneticPr fontId="12" type="noConversion"/>
  </si>
  <si>
    <t>김정은</t>
    <phoneticPr fontId="12" type="noConversion"/>
  </si>
  <si>
    <t>입력체크</t>
    <phoneticPr fontId="12" type="noConversion"/>
  </si>
  <si>
    <t>완료</t>
  </si>
  <si>
    <t>수</t>
    <phoneticPr fontId="12" type="noConversion"/>
  </si>
  <si>
    <t>행 레이블</t>
  </si>
  <si>
    <t>총합계</t>
  </si>
  <si>
    <t>합계 : 총 금액(B)</t>
  </si>
  <si>
    <t>카카오</t>
    <phoneticPr fontId="12" type="noConversion"/>
  </si>
  <si>
    <t>류지영</t>
    <phoneticPr fontId="12" type="noConversion"/>
  </si>
  <si>
    <t>마디나</t>
    <phoneticPr fontId="12" type="noConversion"/>
  </si>
  <si>
    <t>완료</t>
    <phoneticPr fontId="12" type="noConversion"/>
  </si>
  <si>
    <t>기상악화</t>
    <phoneticPr fontId="12" type="noConversion"/>
  </si>
  <si>
    <t>기상악화, 세면대 고장</t>
    <phoneticPr fontId="12" type="noConversion"/>
  </si>
  <si>
    <t>010-8860-6157</t>
    <phoneticPr fontId="12" type="noConversion"/>
  </si>
  <si>
    <t>농협</t>
    <phoneticPr fontId="12" type="noConversion"/>
  </si>
  <si>
    <t>137-02-279306</t>
    <phoneticPr fontId="12" type="noConversion"/>
  </si>
  <si>
    <t>인천 M1</t>
    <phoneticPr fontId="12" type="noConversion"/>
  </si>
  <si>
    <t>인천 M2</t>
    <phoneticPr fontId="12" type="noConversion"/>
  </si>
  <si>
    <t>국민</t>
    <phoneticPr fontId="12" type="noConversion"/>
  </si>
  <si>
    <t>83470204316717</t>
    <phoneticPr fontId="12" type="noConversion"/>
  </si>
  <si>
    <t>유민정</t>
    <phoneticPr fontId="12" type="noConversion"/>
  </si>
  <si>
    <t>침대 수리필요</t>
    <phoneticPr fontId="12" type="noConversion"/>
  </si>
  <si>
    <t>오재관</t>
    <phoneticPr fontId="12" type="noConversion"/>
  </si>
  <si>
    <t>김정한</t>
    <phoneticPr fontId="12" type="noConversion"/>
  </si>
  <si>
    <t>종랑제처리, 귤값</t>
    <phoneticPr fontId="12" type="noConversion"/>
  </si>
  <si>
    <t>세탁방 충전</t>
    <phoneticPr fontId="12" type="noConversion"/>
  </si>
  <si>
    <t>010-5520-3206</t>
    <phoneticPr fontId="12" type="noConversion"/>
  </si>
  <si>
    <t>세면대 고장, 창문 유리 금감</t>
    <phoneticPr fontId="12" type="noConversion"/>
  </si>
  <si>
    <t>변기 물이 잘 안내려감</t>
    <phoneticPr fontId="12" type="noConversion"/>
  </si>
  <si>
    <t>카드키없음</t>
    <phoneticPr fontId="12" type="noConversion"/>
  </si>
  <si>
    <t>드라이기, 고데기안보임</t>
    <phoneticPr fontId="12" type="noConversion"/>
  </si>
  <si>
    <t>테이블 볼트 헐거움</t>
    <phoneticPr fontId="12" type="noConversion"/>
  </si>
  <si>
    <t>장미숙</t>
    <phoneticPr fontId="12" type="noConversion"/>
  </si>
  <si>
    <t>화장품 분실물</t>
    <phoneticPr fontId="12" type="noConversion"/>
  </si>
  <si>
    <t>테이블 볼트 빠짐</t>
    <phoneticPr fontId="12" type="noConversion"/>
  </si>
  <si>
    <t>(이불전달)</t>
    <phoneticPr fontId="12" type="noConversion"/>
  </si>
  <si>
    <t>김민주</t>
    <phoneticPr fontId="12" type="noConversion"/>
  </si>
  <si>
    <t>예금주명</t>
    <phoneticPr fontId="12" type="noConversion"/>
  </si>
  <si>
    <t>가</t>
    <phoneticPr fontId="12" type="noConversion"/>
  </si>
  <si>
    <t>나</t>
    <phoneticPr fontId="12" type="noConversion"/>
  </si>
  <si>
    <t>다</t>
    <phoneticPr fontId="12" type="noConversion"/>
  </si>
  <si>
    <t>라</t>
    <phoneticPr fontId="12" type="noConversion"/>
  </si>
  <si>
    <t>마</t>
    <phoneticPr fontId="12" type="noConversion"/>
  </si>
  <si>
    <t>바</t>
    <phoneticPr fontId="12" type="noConversion"/>
  </si>
  <si>
    <t>사</t>
    <phoneticPr fontId="12" type="noConversion"/>
  </si>
  <si>
    <t>아</t>
    <phoneticPr fontId="12" type="noConversion"/>
  </si>
  <si>
    <t>자</t>
    <phoneticPr fontId="12" type="noConversion"/>
  </si>
  <si>
    <t>차</t>
    <phoneticPr fontId="12" type="noConversion"/>
  </si>
  <si>
    <t>카</t>
    <phoneticPr fontId="12" type="noConversion"/>
  </si>
  <si>
    <t>타</t>
    <phoneticPr fontId="12" type="noConversion"/>
  </si>
  <si>
    <t>파</t>
    <phoneticPr fontId="12" type="noConversion"/>
  </si>
  <si>
    <t>하</t>
    <phoneticPr fontId="12" type="noConversion"/>
  </si>
  <si>
    <t>A</t>
    <phoneticPr fontId="12" type="noConversion"/>
  </si>
  <si>
    <t>B</t>
    <phoneticPr fontId="12" type="noConversion"/>
  </si>
  <si>
    <t>의자</t>
    <phoneticPr fontId="12" type="noConversion"/>
  </si>
  <si>
    <t>H52</t>
    <phoneticPr fontId="12" type="noConversion"/>
  </si>
  <si>
    <t>오금 502</t>
    <phoneticPr fontId="12" type="noConversion"/>
  </si>
  <si>
    <t>비번 5752</t>
    <phoneticPr fontId="12" type="noConversion"/>
  </si>
  <si>
    <t>화장실 세면대, 서랍장 고장</t>
    <phoneticPr fontId="12" type="noConversion"/>
  </si>
  <si>
    <t>010-8442-7877</t>
    <phoneticPr fontId="12" type="noConversion"/>
  </si>
  <si>
    <t>황월규</t>
    <phoneticPr fontId="12" type="noConversion"/>
  </si>
  <si>
    <t>침대 하단 피스 날카로움</t>
    <phoneticPr fontId="12" type="noConversion"/>
  </si>
  <si>
    <t>마니다</t>
    <phoneticPr fontId="12" type="noConversion"/>
  </si>
  <si>
    <t>더하임1004</t>
    <phoneticPr fontId="12" type="noConversion"/>
  </si>
  <si>
    <t>더하임1005</t>
    <phoneticPr fontId="12" type="noConversion"/>
  </si>
  <si>
    <t>더하임1006</t>
    <phoneticPr fontId="12" type="noConversion"/>
  </si>
  <si>
    <t>입주청소</t>
    <phoneticPr fontId="12" type="noConversion"/>
  </si>
  <si>
    <t>B104</t>
    <phoneticPr fontId="12" type="noConversion"/>
  </si>
  <si>
    <t>B105</t>
    <phoneticPr fontId="12" type="noConversion"/>
  </si>
  <si>
    <t>B106</t>
    <phoneticPr fontId="12" type="noConversion"/>
  </si>
  <si>
    <t>김남주</t>
    <phoneticPr fontId="12" type="noConversion"/>
  </si>
  <si>
    <t>디퓨저 구매</t>
    <phoneticPr fontId="12" type="noConversion"/>
  </si>
  <si>
    <t>E1</t>
    <phoneticPr fontId="12" type="noConversion"/>
  </si>
  <si>
    <t>E5</t>
    <phoneticPr fontId="12" type="noConversion"/>
  </si>
  <si>
    <t>T46</t>
    <phoneticPr fontId="12" type="noConversion"/>
  </si>
  <si>
    <t>F2</t>
    <phoneticPr fontId="12" type="noConversion"/>
  </si>
  <si>
    <t>U42</t>
    <phoneticPr fontId="12" type="noConversion"/>
  </si>
  <si>
    <t>A33</t>
    <phoneticPr fontId="12" type="noConversion"/>
  </si>
  <si>
    <t>B35</t>
    <phoneticPr fontId="12" type="noConversion"/>
  </si>
  <si>
    <t>J2</t>
    <phoneticPr fontId="12" type="noConversion"/>
  </si>
  <si>
    <t>박연실</t>
    <phoneticPr fontId="12" type="noConversion"/>
  </si>
  <si>
    <t>마디나</t>
    <phoneticPr fontId="12" type="noConversion"/>
  </si>
  <si>
    <t>김정은</t>
    <phoneticPr fontId="12" type="noConversion"/>
  </si>
  <si>
    <t xml:space="preserve">더하임306 건조대 수건 </t>
    <phoneticPr fontId="12" type="noConversion"/>
  </si>
  <si>
    <t>C</t>
    <phoneticPr fontId="12" type="noConversion"/>
  </si>
  <si>
    <t>완료</t>
    <phoneticPr fontId="12" type="noConversion"/>
  </si>
  <si>
    <t>T46</t>
    <phoneticPr fontId="12" type="noConversion"/>
  </si>
  <si>
    <t>G3</t>
    <phoneticPr fontId="12" type="noConversion"/>
  </si>
  <si>
    <t>F2</t>
    <phoneticPr fontId="12" type="noConversion"/>
  </si>
  <si>
    <t>U83</t>
    <phoneticPr fontId="12" type="noConversion"/>
  </si>
  <si>
    <t>B24</t>
    <phoneticPr fontId="12" type="noConversion"/>
  </si>
  <si>
    <t>D6</t>
    <phoneticPr fontId="12" type="noConversion"/>
  </si>
  <si>
    <t>E1</t>
    <phoneticPr fontId="12" type="noConversion"/>
  </si>
  <si>
    <t>L5</t>
    <phoneticPr fontId="12" type="noConversion"/>
  </si>
  <si>
    <t>김정한</t>
    <phoneticPr fontId="12" type="noConversion"/>
  </si>
  <si>
    <t>마디나</t>
    <phoneticPr fontId="12" type="noConversion"/>
  </si>
  <si>
    <t>김남주</t>
    <phoneticPr fontId="12" type="noConversion"/>
  </si>
  <si>
    <t>김정은</t>
    <phoneticPr fontId="12" type="noConversion"/>
  </si>
  <si>
    <t>유민정</t>
    <phoneticPr fontId="12" type="noConversion"/>
  </si>
  <si>
    <t>이기섭</t>
    <phoneticPr fontId="12" type="noConversion"/>
  </si>
  <si>
    <t>C</t>
    <phoneticPr fontId="12" type="noConversion"/>
  </si>
  <si>
    <t>박연실</t>
    <phoneticPr fontId="12" type="noConversion"/>
  </si>
  <si>
    <t>T51</t>
    <phoneticPr fontId="12" type="noConversion"/>
  </si>
  <si>
    <t>T66</t>
    <phoneticPr fontId="12" type="noConversion"/>
  </si>
  <si>
    <t>F1</t>
    <phoneticPr fontId="12" type="noConversion"/>
  </si>
  <si>
    <t>B104</t>
    <phoneticPr fontId="12" type="noConversion"/>
  </si>
  <si>
    <t>더하임 1004</t>
    <phoneticPr fontId="12" type="noConversion"/>
  </si>
  <si>
    <t>더하임 1005</t>
    <phoneticPr fontId="12" type="noConversion"/>
  </si>
  <si>
    <t>더하임 1006</t>
    <phoneticPr fontId="12" type="noConversion"/>
  </si>
  <si>
    <t>B36</t>
    <phoneticPr fontId="12" type="noConversion"/>
  </si>
  <si>
    <t>A22</t>
    <phoneticPr fontId="12" type="noConversion"/>
  </si>
  <si>
    <t>A25</t>
    <phoneticPr fontId="12" type="noConversion"/>
  </si>
  <si>
    <t>C6</t>
    <phoneticPr fontId="12" type="noConversion"/>
  </si>
  <si>
    <t>D4</t>
    <phoneticPr fontId="12" type="noConversion"/>
  </si>
  <si>
    <t>D8</t>
    <phoneticPr fontId="12" type="noConversion"/>
  </si>
  <si>
    <t>G2</t>
    <phoneticPr fontId="12" type="noConversion"/>
  </si>
  <si>
    <t>강수미</t>
    <phoneticPr fontId="12" type="noConversion"/>
  </si>
  <si>
    <t>침대 갈빗대 문제</t>
    <phoneticPr fontId="12" type="noConversion"/>
  </si>
  <si>
    <t>B105</t>
    <phoneticPr fontId="12" type="noConversion"/>
  </si>
  <si>
    <t>F3</t>
    <phoneticPr fontId="12" type="noConversion"/>
  </si>
  <si>
    <t>V11</t>
    <phoneticPr fontId="12" type="noConversion"/>
  </si>
  <si>
    <t>V12</t>
    <phoneticPr fontId="12" type="noConversion"/>
  </si>
  <si>
    <t>공숙길</t>
    <phoneticPr fontId="12" type="noConversion"/>
  </si>
  <si>
    <t>샤워기 헤드파손</t>
    <phoneticPr fontId="12" type="noConversion"/>
  </si>
  <si>
    <t>완료</t>
    <phoneticPr fontId="12" type="noConversion"/>
  </si>
  <si>
    <t>T46</t>
    <phoneticPr fontId="12" type="noConversion"/>
  </si>
  <si>
    <t>T51</t>
    <phoneticPr fontId="12" type="noConversion"/>
  </si>
  <si>
    <t>T66</t>
    <phoneticPr fontId="12" type="noConversion"/>
  </si>
  <si>
    <t>D4</t>
    <phoneticPr fontId="12" type="noConversion"/>
  </si>
  <si>
    <t>D8</t>
    <phoneticPr fontId="12" type="noConversion"/>
  </si>
  <si>
    <t>A25</t>
    <phoneticPr fontId="12" type="noConversion"/>
  </si>
  <si>
    <t>J2</t>
    <phoneticPr fontId="12" type="noConversion"/>
  </si>
  <si>
    <t>E5</t>
    <phoneticPr fontId="12" type="noConversion"/>
  </si>
  <si>
    <t>B104</t>
    <phoneticPr fontId="12" type="noConversion"/>
  </si>
  <si>
    <t>B105</t>
    <phoneticPr fontId="12" type="noConversion"/>
  </si>
  <si>
    <t>B24</t>
    <phoneticPr fontId="12" type="noConversion"/>
  </si>
  <si>
    <t>B35</t>
    <phoneticPr fontId="12" type="noConversion"/>
  </si>
  <si>
    <t>B46</t>
    <phoneticPr fontId="12" type="noConversion"/>
  </si>
  <si>
    <t>B56</t>
    <phoneticPr fontId="12" type="noConversion"/>
  </si>
  <si>
    <t>E1</t>
    <phoneticPr fontId="12" type="noConversion"/>
  </si>
  <si>
    <t>F1</t>
    <phoneticPr fontId="12" type="noConversion"/>
  </si>
  <si>
    <t>F2</t>
    <phoneticPr fontId="12" type="noConversion"/>
  </si>
  <si>
    <t>G3</t>
    <phoneticPr fontId="12" type="noConversion"/>
  </si>
  <si>
    <t>H25</t>
    <phoneticPr fontId="12" type="noConversion"/>
  </si>
  <si>
    <t>L2</t>
    <phoneticPr fontId="12" type="noConversion"/>
  </si>
  <si>
    <t>L5</t>
    <phoneticPr fontId="12" type="noConversion"/>
  </si>
  <si>
    <t>V13</t>
    <phoneticPr fontId="12" type="noConversion"/>
  </si>
  <si>
    <t>공숙길</t>
    <phoneticPr fontId="12" type="noConversion"/>
  </si>
  <si>
    <t>마디나</t>
    <phoneticPr fontId="12" type="noConversion"/>
  </si>
  <si>
    <t>김정은</t>
    <phoneticPr fontId="12" type="noConversion"/>
  </si>
  <si>
    <t>김정한</t>
    <phoneticPr fontId="12" type="noConversion"/>
  </si>
  <si>
    <t>김남주</t>
  </si>
  <si>
    <t>김남주</t>
    <phoneticPr fontId="12" type="noConversion"/>
  </si>
  <si>
    <t>C</t>
    <phoneticPr fontId="12" type="noConversion"/>
  </si>
  <si>
    <t>박연실</t>
    <phoneticPr fontId="12" type="noConversion"/>
  </si>
  <si>
    <t>완료</t>
    <phoneticPr fontId="12" type="noConversion"/>
  </si>
  <si>
    <t>351-12-208982</t>
    <phoneticPr fontId="12" type="noConversion"/>
  </si>
  <si>
    <t>V</t>
    <phoneticPr fontId="12" type="noConversion"/>
  </si>
  <si>
    <t>대치</t>
    <phoneticPr fontId="12" type="noConversion"/>
  </si>
  <si>
    <r>
      <t>2</t>
    </r>
    <r>
      <rPr>
        <sz val="10"/>
        <color rgb="FF000000"/>
        <rFont val="맑은 고딕"/>
        <family val="2"/>
        <charset val="129"/>
      </rPr>
      <t>월</t>
    </r>
    <phoneticPr fontId="12" type="noConversion"/>
  </si>
  <si>
    <r>
      <t>1</t>
    </r>
    <r>
      <rPr>
        <sz val="10"/>
        <color rgb="FF000000"/>
        <rFont val="맑은 고딕"/>
        <family val="3"/>
        <charset val="129"/>
      </rPr>
      <t>주</t>
    </r>
    <phoneticPr fontId="12" type="noConversion"/>
  </si>
  <si>
    <r>
      <t>2</t>
    </r>
    <r>
      <rPr>
        <sz val="10"/>
        <color rgb="FF000000"/>
        <rFont val="맑은 고딕"/>
        <family val="3"/>
        <charset val="129"/>
      </rPr>
      <t>월</t>
    </r>
    <phoneticPr fontId="12" type="noConversion"/>
  </si>
  <si>
    <r>
      <t>2</t>
    </r>
    <r>
      <rPr>
        <sz val="10"/>
        <color rgb="FF000000"/>
        <rFont val="맑은 고딕"/>
        <family val="3"/>
        <charset val="129"/>
      </rPr>
      <t>주</t>
    </r>
    <phoneticPr fontId="12" type="noConversion"/>
  </si>
  <si>
    <r>
      <t>2</t>
    </r>
    <r>
      <rPr>
        <sz val="10"/>
        <color rgb="FF000000"/>
        <rFont val="맑은 고딕"/>
        <family val="3"/>
        <charset val="129"/>
      </rPr>
      <t xml:space="preserve">월 </t>
    </r>
    <phoneticPr fontId="12" type="noConversion"/>
  </si>
  <si>
    <r>
      <t>3</t>
    </r>
    <r>
      <rPr>
        <sz val="10"/>
        <color rgb="FF000000"/>
        <rFont val="맑은 고딕"/>
        <family val="3"/>
        <charset val="129"/>
      </rPr>
      <t>주</t>
    </r>
    <phoneticPr fontId="12" type="noConversion"/>
  </si>
  <si>
    <r>
      <t>4</t>
    </r>
    <r>
      <rPr>
        <sz val="10"/>
        <color rgb="FF000000"/>
        <rFont val="맑은 고딕"/>
        <family val="3"/>
        <charset val="129"/>
      </rPr>
      <t>주</t>
    </r>
    <phoneticPr fontId="12" type="noConversion"/>
  </si>
  <si>
    <t>088210486481</t>
    <phoneticPr fontId="12" type="noConversion"/>
  </si>
  <si>
    <t>010-3265-0145</t>
    <phoneticPr fontId="12" type="noConversion"/>
  </si>
  <si>
    <t>010-6598-7330</t>
    <phoneticPr fontId="12" type="noConversion"/>
  </si>
  <si>
    <t>010-8752-8202</t>
    <phoneticPr fontId="12" type="noConversion"/>
  </si>
  <si>
    <t>수건전달 포함</t>
    <phoneticPr fontId="12" type="noConversion"/>
  </si>
  <si>
    <t>다음날 휴무</t>
    <phoneticPr fontId="12" type="noConversion"/>
  </si>
  <si>
    <r>
      <t>V</t>
    </r>
    <r>
      <rPr>
        <sz val="10"/>
        <color rgb="FF000000"/>
        <rFont val="맑은 고딕"/>
        <family val="3"/>
        <charset val="129"/>
      </rPr>
      <t>13</t>
    </r>
    <phoneticPr fontId="12" type="noConversion"/>
  </si>
  <si>
    <t>B35</t>
    <phoneticPr fontId="12" type="noConversion"/>
  </si>
  <si>
    <t>D1</t>
    <phoneticPr fontId="12" type="noConversion"/>
  </si>
  <si>
    <t>D4</t>
    <phoneticPr fontId="12" type="noConversion"/>
  </si>
  <si>
    <t>J2</t>
    <phoneticPr fontId="12" type="noConversion"/>
  </si>
  <si>
    <t>K5</t>
    <phoneticPr fontId="12" type="noConversion"/>
  </si>
  <si>
    <t>C</t>
    <phoneticPr fontId="12" type="noConversion"/>
  </si>
  <si>
    <t>마디나</t>
    <phoneticPr fontId="12" type="noConversion"/>
  </si>
  <si>
    <t>김정은</t>
    <phoneticPr fontId="12" type="noConversion"/>
  </si>
  <si>
    <t>공숙길</t>
    <phoneticPr fontId="12" type="noConversion"/>
  </si>
  <si>
    <t>박연실</t>
    <phoneticPr fontId="12" type="noConversion"/>
  </si>
  <si>
    <t>김우현</t>
    <phoneticPr fontId="12" type="noConversion"/>
  </si>
  <si>
    <t>B101</t>
    <phoneticPr fontId="12" type="noConversion"/>
  </si>
  <si>
    <t>B102</t>
    <phoneticPr fontId="12" type="noConversion"/>
  </si>
  <si>
    <t>B103</t>
    <phoneticPr fontId="12" type="noConversion"/>
  </si>
  <si>
    <t>B101</t>
    <phoneticPr fontId="12" type="noConversion"/>
  </si>
  <si>
    <t>B102</t>
    <phoneticPr fontId="12" type="noConversion"/>
  </si>
  <si>
    <t>B103</t>
    <phoneticPr fontId="12" type="noConversion"/>
  </si>
  <si>
    <t>더하임 1001</t>
    <phoneticPr fontId="12" type="noConversion"/>
  </si>
  <si>
    <t>더하임 1002</t>
    <phoneticPr fontId="12" type="noConversion"/>
  </si>
  <si>
    <t>더하임 1003</t>
    <phoneticPr fontId="12" type="noConversion"/>
  </si>
  <si>
    <t>U34</t>
    <phoneticPr fontId="12" type="noConversion"/>
  </si>
  <si>
    <t>U93</t>
    <phoneticPr fontId="12" type="noConversion"/>
  </si>
  <si>
    <t>B104</t>
    <phoneticPr fontId="12" type="noConversion"/>
  </si>
  <si>
    <t>E1</t>
    <phoneticPr fontId="12" type="noConversion"/>
  </si>
  <si>
    <t>E4</t>
    <phoneticPr fontId="12" type="noConversion"/>
  </si>
  <si>
    <t>L2</t>
    <phoneticPr fontId="12" type="noConversion"/>
  </si>
  <si>
    <t>김정한</t>
    <phoneticPr fontId="12" type="noConversion"/>
  </si>
  <si>
    <t>이기섭</t>
    <phoneticPr fontId="12" type="noConversion"/>
  </si>
  <si>
    <t>C4</t>
    <phoneticPr fontId="12" type="noConversion"/>
  </si>
  <si>
    <t>퇴거청소</t>
    <phoneticPr fontId="12" type="noConversion"/>
  </si>
  <si>
    <t>입주청소</t>
    <phoneticPr fontId="12" type="noConversion"/>
  </si>
  <si>
    <t>장기 손님(압달라)</t>
    <phoneticPr fontId="12" type="noConversion"/>
  </si>
  <si>
    <t>전등교체 등</t>
    <phoneticPr fontId="12" type="noConversion"/>
  </si>
  <si>
    <t>완료</t>
    <phoneticPr fontId="12" type="noConversion"/>
  </si>
  <si>
    <t>T46</t>
    <phoneticPr fontId="12" type="noConversion"/>
  </si>
  <si>
    <t>B104</t>
    <phoneticPr fontId="12" type="noConversion"/>
  </si>
  <si>
    <t>B24</t>
    <phoneticPr fontId="12" type="noConversion"/>
  </si>
  <si>
    <t>B36</t>
    <phoneticPr fontId="12" type="noConversion"/>
  </si>
  <si>
    <t>V13</t>
    <phoneticPr fontId="12" type="noConversion"/>
  </si>
  <si>
    <t>D6</t>
    <phoneticPr fontId="12" type="noConversion"/>
  </si>
  <si>
    <t>E1</t>
    <phoneticPr fontId="12" type="noConversion"/>
  </si>
  <si>
    <t>E5</t>
    <phoneticPr fontId="12" type="noConversion"/>
  </si>
  <si>
    <t>김정은</t>
    <phoneticPr fontId="12" type="noConversion"/>
  </si>
  <si>
    <t>박연실</t>
    <phoneticPr fontId="12" type="noConversion"/>
  </si>
  <si>
    <t>류지영</t>
    <phoneticPr fontId="12" type="noConversion"/>
  </si>
  <si>
    <t>김남주</t>
    <phoneticPr fontId="12" type="noConversion"/>
  </si>
  <si>
    <t>유민정</t>
    <phoneticPr fontId="12" type="noConversion"/>
  </si>
  <si>
    <t>공숙길</t>
    <phoneticPr fontId="12" type="noConversion"/>
  </si>
  <si>
    <t>B105</t>
    <phoneticPr fontId="12" type="noConversion"/>
  </si>
  <si>
    <t>C</t>
    <phoneticPr fontId="12" type="noConversion"/>
  </si>
  <si>
    <t>완료</t>
    <phoneticPr fontId="12" type="noConversion"/>
  </si>
  <si>
    <t>한달 이상 장기</t>
    <phoneticPr fontId="12" type="noConversion"/>
  </si>
  <si>
    <t>A72</t>
    <phoneticPr fontId="12" type="noConversion"/>
  </si>
  <si>
    <t>B105</t>
    <phoneticPr fontId="12" type="noConversion"/>
  </si>
  <si>
    <t>B35</t>
    <phoneticPr fontId="12" type="noConversion"/>
  </si>
  <si>
    <t>D6</t>
    <phoneticPr fontId="12" type="noConversion"/>
  </si>
  <si>
    <t>D8</t>
    <phoneticPr fontId="12" type="noConversion"/>
  </si>
  <si>
    <t>J2</t>
    <phoneticPr fontId="12" type="noConversion"/>
  </si>
  <si>
    <t>T46</t>
    <phoneticPr fontId="12" type="noConversion"/>
  </si>
  <si>
    <t>U34</t>
    <phoneticPr fontId="12" type="noConversion"/>
  </si>
  <si>
    <t>U93</t>
    <phoneticPr fontId="12" type="noConversion"/>
  </si>
  <si>
    <t>V12</t>
    <phoneticPr fontId="12" type="noConversion"/>
  </si>
  <si>
    <t>V13</t>
    <phoneticPr fontId="12" type="noConversion"/>
  </si>
  <si>
    <t>김정은</t>
    <phoneticPr fontId="12" type="noConversion"/>
  </si>
  <si>
    <t>김정한</t>
    <phoneticPr fontId="12" type="noConversion"/>
  </si>
  <si>
    <t>마디나</t>
    <phoneticPr fontId="12" type="noConversion"/>
  </si>
  <si>
    <t>공숙길</t>
    <phoneticPr fontId="12" type="noConversion"/>
  </si>
  <si>
    <t>김남주</t>
    <phoneticPr fontId="12" type="noConversion"/>
  </si>
  <si>
    <t>C</t>
    <phoneticPr fontId="12" type="noConversion"/>
  </si>
  <si>
    <t>완료</t>
    <phoneticPr fontId="12" type="noConversion"/>
  </si>
  <si>
    <t>U34</t>
    <phoneticPr fontId="12" type="noConversion"/>
  </si>
  <si>
    <t>U93</t>
    <phoneticPr fontId="12" type="noConversion"/>
  </si>
  <si>
    <t>B24</t>
    <phoneticPr fontId="12" type="noConversion"/>
  </si>
  <si>
    <t>B35</t>
    <phoneticPr fontId="12" type="noConversion"/>
  </si>
  <si>
    <t>B64</t>
    <phoneticPr fontId="12" type="noConversion"/>
  </si>
  <si>
    <t>D8</t>
    <phoneticPr fontId="12" type="noConversion"/>
  </si>
  <si>
    <t>B105</t>
    <phoneticPr fontId="12" type="noConversion"/>
  </si>
  <si>
    <t>J2</t>
    <phoneticPr fontId="12" type="noConversion"/>
  </si>
  <si>
    <t>G3</t>
    <phoneticPr fontId="12" type="noConversion"/>
  </si>
  <si>
    <t>L2</t>
    <phoneticPr fontId="12" type="noConversion"/>
  </si>
  <si>
    <t>A72</t>
    <phoneticPr fontId="12" type="noConversion"/>
  </si>
  <si>
    <t>T66</t>
    <phoneticPr fontId="12" type="noConversion"/>
  </si>
  <si>
    <t>T46</t>
    <phoneticPr fontId="12" type="noConversion"/>
  </si>
  <si>
    <t>T51</t>
    <phoneticPr fontId="12" type="noConversion"/>
  </si>
  <si>
    <t>H25</t>
    <phoneticPr fontId="12" type="noConversion"/>
  </si>
  <si>
    <t>V12</t>
    <phoneticPr fontId="12" type="noConversion"/>
  </si>
  <si>
    <t>V13</t>
    <phoneticPr fontId="12" type="noConversion"/>
  </si>
  <si>
    <t>김정한</t>
    <phoneticPr fontId="12" type="noConversion"/>
  </si>
  <si>
    <t>김정은</t>
    <phoneticPr fontId="12" type="noConversion"/>
  </si>
  <si>
    <t>류지영</t>
    <phoneticPr fontId="12" type="noConversion"/>
  </si>
  <si>
    <t>마디나</t>
    <phoneticPr fontId="12" type="noConversion"/>
  </si>
  <si>
    <t>너무 더러움</t>
    <phoneticPr fontId="12" type="noConversion"/>
  </si>
  <si>
    <t>이기섭</t>
    <phoneticPr fontId="12" type="noConversion"/>
  </si>
  <si>
    <t>김남주</t>
    <phoneticPr fontId="12" type="noConversion"/>
  </si>
  <si>
    <t>C</t>
    <phoneticPr fontId="12" type="noConversion"/>
  </si>
  <si>
    <t>B36</t>
    <phoneticPr fontId="12" type="noConversion"/>
  </si>
  <si>
    <t>D6</t>
    <phoneticPr fontId="12" type="noConversion"/>
  </si>
  <si>
    <t>E5</t>
    <phoneticPr fontId="12" type="noConversion"/>
  </si>
  <si>
    <t>F1</t>
    <phoneticPr fontId="12" type="noConversion"/>
  </si>
  <si>
    <t>U42</t>
    <phoneticPr fontId="12" type="noConversion"/>
  </si>
  <si>
    <t>공숙길</t>
    <phoneticPr fontId="12" type="noConversion"/>
  </si>
  <si>
    <t>완료</t>
    <phoneticPr fontId="12" type="noConversion"/>
  </si>
  <si>
    <t>(3/1 기상악화 5천원 포함)</t>
  </si>
  <si>
    <r>
      <t>3</t>
    </r>
    <r>
      <rPr>
        <sz val="10"/>
        <color rgb="FF000000"/>
        <rFont val="맑은 고딕"/>
        <family val="3"/>
        <charset val="129"/>
      </rPr>
      <t>월</t>
    </r>
    <phoneticPr fontId="12" type="noConversion"/>
  </si>
  <si>
    <t>김우현</t>
  </si>
  <si>
    <t>3/1 기상악화 포함</t>
    <phoneticPr fontId="12" type="noConversion"/>
  </si>
  <si>
    <r>
      <rPr>
        <sz val="10"/>
        <color rgb="FF000000"/>
        <rFont val="Arial"/>
        <family val="2"/>
        <scheme val="minor"/>
      </rPr>
      <t>+</t>
    </r>
    <r>
      <rPr>
        <sz val="10"/>
        <color rgb="FF000000"/>
        <rFont val="맑은 고딕"/>
        <family val="3"/>
        <charset val="129"/>
      </rPr>
      <t>강수미 5천원</t>
    </r>
    <phoneticPr fontId="12" type="noConversion"/>
  </si>
  <si>
    <r>
      <t>(</t>
    </r>
    <r>
      <rPr>
        <sz val="10"/>
        <color rgb="FF000000"/>
        <rFont val="맑은 고딕"/>
        <family val="3"/>
        <charset val="129"/>
      </rPr>
      <t>기상악화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</si>
  <si>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t>A25</t>
    <phoneticPr fontId="12" type="noConversion"/>
  </si>
  <si>
    <t>D4</t>
    <phoneticPr fontId="12" type="noConversion"/>
  </si>
  <si>
    <t>E4</t>
    <phoneticPr fontId="12" type="noConversion"/>
  </si>
  <si>
    <t>E5</t>
    <phoneticPr fontId="12" type="noConversion"/>
  </si>
  <si>
    <t>F2</t>
    <phoneticPr fontId="12" type="noConversion"/>
  </si>
  <si>
    <t>K5</t>
    <phoneticPr fontId="12" type="noConversion"/>
  </si>
  <si>
    <t>T51</t>
    <phoneticPr fontId="12" type="noConversion"/>
  </si>
  <si>
    <t>T66</t>
    <phoneticPr fontId="12" type="noConversion"/>
  </si>
  <si>
    <t>C</t>
    <phoneticPr fontId="12" type="noConversion"/>
  </si>
  <si>
    <t>김정은</t>
    <phoneticPr fontId="12" type="noConversion"/>
  </si>
  <si>
    <t>공숙길</t>
    <phoneticPr fontId="12" type="noConversion"/>
  </si>
  <si>
    <t>류지영</t>
    <phoneticPr fontId="12" type="noConversion"/>
  </si>
  <si>
    <t>박연실</t>
    <phoneticPr fontId="12" type="noConversion"/>
  </si>
  <si>
    <t>김우현</t>
    <phoneticPr fontId="12" type="noConversion"/>
  </si>
  <si>
    <t>마디나</t>
    <phoneticPr fontId="12" type="noConversion"/>
  </si>
  <si>
    <t>완료</t>
    <phoneticPr fontId="12" type="noConversion"/>
  </si>
  <si>
    <r>
      <t>3</t>
    </r>
    <r>
      <rPr>
        <sz val="10"/>
        <color rgb="FF000000"/>
        <rFont val="Arial Unicode MS"/>
        <family val="3"/>
        <charset val="129"/>
      </rPr>
      <t>월</t>
    </r>
    <phoneticPr fontId="12" type="noConversion"/>
  </si>
  <si>
    <r>
      <t>2</t>
    </r>
    <r>
      <rPr>
        <sz val="10"/>
        <color rgb="FF000000"/>
        <rFont val="Arial Unicode MS"/>
        <family val="3"/>
        <charset val="129"/>
      </rPr>
      <t>주</t>
    </r>
    <phoneticPr fontId="12" type="noConversion"/>
  </si>
  <si>
    <r>
      <t>3</t>
    </r>
    <r>
      <rPr>
        <sz val="10"/>
        <color rgb="FF000000"/>
        <rFont val="Arial Unicode MS"/>
        <family val="2"/>
        <charset val="129"/>
      </rPr>
      <t>월</t>
    </r>
    <phoneticPr fontId="12" type="noConversion"/>
  </si>
  <si>
    <r>
      <t>3</t>
    </r>
    <r>
      <rPr>
        <sz val="10"/>
        <color rgb="FF000000"/>
        <rFont val="Arial Unicode MS"/>
        <family val="3"/>
        <charset val="129"/>
      </rPr>
      <t>주</t>
    </r>
    <phoneticPr fontId="12" type="noConversion"/>
  </si>
  <si>
    <r>
      <t>4</t>
    </r>
    <r>
      <rPr>
        <sz val="10"/>
        <color rgb="FF000000"/>
        <rFont val="Arial Unicode MS"/>
        <family val="3"/>
        <charset val="129"/>
      </rPr>
      <t>주</t>
    </r>
    <phoneticPr fontId="12" type="noConversion"/>
  </si>
  <si>
    <t>L2</t>
    <phoneticPr fontId="12" type="noConversion"/>
  </si>
  <si>
    <t>T46</t>
    <phoneticPr fontId="12" type="noConversion"/>
  </si>
  <si>
    <t>B102</t>
    <phoneticPr fontId="12" type="noConversion"/>
  </si>
  <si>
    <t>B24</t>
    <phoneticPr fontId="12" type="noConversion"/>
  </si>
  <si>
    <t>A25</t>
    <phoneticPr fontId="12" type="noConversion"/>
  </si>
  <si>
    <t>C</t>
    <phoneticPr fontId="12" type="noConversion"/>
  </si>
  <si>
    <t>이기섭</t>
    <phoneticPr fontId="12" type="noConversion"/>
  </si>
  <si>
    <t>완료</t>
    <phoneticPr fontId="12" type="noConversion"/>
  </si>
  <si>
    <t>B102</t>
    <phoneticPr fontId="12" type="noConversion"/>
  </si>
  <si>
    <t>B104</t>
    <phoneticPr fontId="12" type="noConversion"/>
  </si>
  <si>
    <t>D1</t>
    <phoneticPr fontId="12" type="noConversion"/>
  </si>
  <si>
    <t>D3</t>
    <phoneticPr fontId="12" type="noConversion"/>
  </si>
  <si>
    <t>E5</t>
    <phoneticPr fontId="12" type="noConversion"/>
  </si>
  <si>
    <t>T46</t>
    <phoneticPr fontId="12" type="noConversion"/>
  </si>
  <si>
    <t>T66</t>
    <phoneticPr fontId="12" type="noConversion"/>
  </si>
  <si>
    <t>U34</t>
    <phoneticPr fontId="12" type="noConversion"/>
  </si>
  <si>
    <t>U42</t>
    <phoneticPr fontId="12" type="noConversion"/>
  </si>
  <si>
    <t>V12</t>
    <phoneticPr fontId="12" type="noConversion"/>
  </si>
  <si>
    <t>V13</t>
    <phoneticPr fontId="12" type="noConversion"/>
  </si>
  <si>
    <t>C</t>
    <phoneticPr fontId="12" type="noConversion"/>
  </si>
  <si>
    <t>김정한</t>
    <phoneticPr fontId="12" type="noConversion"/>
  </si>
  <si>
    <t>유민정</t>
    <phoneticPr fontId="12" type="noConversion"/>
  </si>
  <si>
    <t>류지영</t>
    <phoneticPr fontId="12" type="noConversion"/>
  </si>
  <si>
    <t>김정은</t>
    <phoneticPr fontId="12" type="noConversion"/>
  </si>
  <si>
    <t>김남주</t>
    <phoneticPr fontId="12" type="noConversion"/>
  </si>
  <si>
    <t>박연실</t>
    <phoneticPr fontId="12" type="noConversion"/>
  </si>
  <si>
    <t>완료</t>
    <phoneticPr fontId="12" type="noConversion"/>
  </si>
  <si>
    <t>긴급</t>
    <phoneticPr fontId="12" type="noConversion"/>
  </si>
  <si>
    <t>반려동물 동반</t>
    <phoneticPr fontId="12" type="noConversion"/>
  </si>
  <si>
    <t>코인세탁</t>
    <phoneticPr fontId="12" type="noConversion"/>
  </si>
  <si>
    <t>A24</t>
    <phoneticPr fontId="12" type="noConversion"/>
  </si>
  <si>
    <t>A33</t>
    <phoneticPr fontId="12" type="noConversion"/>
  </si>
  <si>
    <t>A72</t>
    <phoneticPr fontId="12" type="noConversion"/>
  </si>
  <si>
    <t>U42</t>
    <phoneticPr fontId="12" type="noConversion"/>
  </si>
  <si>
    <t>B24</t>
    <phoneticPr fontId="12" type="noConversion"/>
  </si>
  <si>
    <t>B36</t>
    <phoneticPr fontId="12" type="noConversion"/>
  </si>
  <si>
    <t>D1</t>
    <phoneticPr fontId="12" type="noConversion"/>
  </si>
  <si>
    <t>D4</t>
    <phoneticPr fontId="12" type="noConversion"/>
  </si>
  <si>
    <t>G2</t>
    <phoneticPr fontId="12" type="noConversion"/>
  </si>
  <si>
    <t>G3</t>
    <phoneticPr fontId="12" type="noConversion"/>
  </si>
  <si>
    <t>T46</t>
    <phoneticPr fontId="12" type="noConversion"/>
  </si>
  <si>
    <t>J2</t>
    <phoneticPr fontId="12" type="noConversion"/>
  </si>
  <si>
    <t>K1</t>
    <phoneticPr fontId="12" type="noConversion"/>
  </si>
  <si>
    <t>K3</t>
    <phoneticPr fontId="12" type="noConversion"/>
  </si>
  <si>
    <t>V12</t>
    <phoneticPr fontId="12" type="noConversion"/>
  </si>
  <si>
    <t>김정은</t>
    <phoneticPr fontId="12" type="noConversion"/>
  </si>
  <si>
    <t>김정한</t>
    <phoneticPr fontId="12" type="noConversion"/>
  </si>
  <si>
    <t>장미숙</t>
    <phoneticPr fontId="12" type="noConversion"/>
  </si>
  <si>
    <t>박연실</t>
    <phoneticPr fontId="12" type="noConversion"/>
  </si>
  <si>
    <t>김남주</t>
    <phoneticPr fontId="12" type="noConversion"/>
  </si>
  <si>
    <t>C</t>
    <phoneticPr fontId="12" type="noConversion"/>
  </si>
  <si>
    <t>A62</t>
    <phoneticPr fontId="12" type="noConversion"/>
  </si>
  <si>
    <t>B104</t>
    <phoneticPr fontId="12" type="noConversion"/>
  </si>
  <si>
    <t>B106</t>
    <phoneticPr fontId="12" type="noConversion"/>
  </si>
  <si>
    <t>B35</t>
    <phoneticPr fontId="12" type="noConversion"/>
  </si>
  <si>
    <t>E4</t>
    <phoneticPr fontId="12" type="noConversion"/>
  </si>
  <si>
    <t>L2</t>
    <phoneticPr fontId="12" type="noConversion"/>
  </si>
  <si>
    <t>L3</t>
    <phoneticPr fontId="12" type="noConversion"/>
  </si>
  <si>
    <t>L5</t>
    <phoneticPr fontId="12" type="noConversion"/>
  </si>
  <si>
    <t>V13</t>
    <phoneticPr fontId="12" type="noConversion"/>
  </si>
  <si>
    <t>유민정</t>
    <phoneticPr fontId="12" type="noConversion"/>
  </si>
  <si>
    <t>마디나</t>
    <phoneticPr fontId="12" type="noConversion"/>
  </si>
  <si>
    <t>이기섭</t>
    <phoneticPr fontId="12" type="noConversion"/>
  </si>
  <si>
    <t>완료</t>
    <phoneticPr fontId="12" type="noConversion"/>
  </si>
  <si>
    <t>긴급</t>
    <phoneticPr fontId="12" type="noConversion"/>
  </si>
  <si>
    <t>세탁비</t>
    <phoneticPr fontId="12" type="noConversion"/>
  </si>
  <si>
    <t>B102</t>
    <phoneticPr fontId="12" type="noConversion"/>
  </si>
  <si>
    <t>B35</t>
    <phoneticPr fontId="12" type="noConversion"/>
  </si>
  <si>
    <t>G3</t>
    <phoneticPr fontId="12" type="noConversion"/>
  </si>
  <si>
    <t>D1</t>
    <phoneticPr fontId="12" type="noConversion"/>
  </si>
  <si>
    <t>D4</t>
    <phoneticPr fontId="12" type="noConversion"/>
  </si>
  <si>
    <t>H42</t>
    <phoneticPr fontId="12" type="noConversion"/>
  </si>
  <si>
    <t>E1</t>
    <phoneticPr fontId="12" type="noConversion"/>
  </si>
  <si>
    <t>F2</t>
    <phoneticPr fontId="12" type="noConversion"/>
  </si>
  <si>
    <t>E5</t>
    <phoneticPr fontId="12" type="noConversion"/>
  </si>
  <si>
    <t>L5</t>
    <phoneticPr fontId="12" type="noConversion"/>
  </si>
  <si>
    <t>김정은</t>
    <phoneticPr fontId="12" type="noConversion"/>
  </si>
  <si>
    <t>이기섭</t>
    <phoneticPr fontId="12" type="noConversion"/>
  </si>
  <si>
    <t>C</t>
    <phoneticPr fontId="12" type="noConversion"/>
  </si>
  <si>
    <t>박연실</t>
    <phoneticPr fontId="12" type="noConversion"/>
  </si>
  <si>
    <t>완료</t>
    <phoneticPr fontId="12" type="noConversion"/>
  </si>
  <si>
    <t>기상악화</t>
    <phoneticPr fontId="12" type="noConversion"/>
  </si>
  <si>
    <t>오염</t>
    <phoneticPr fontId="12" type="noConversion"/>
  </si>
  <si>
    <t>A72</t>
    <phoneticPr fontId="12" type="noConversion"/>
  </si>
  <si>
    <t>B102</t>
    <phoneticPr fontId="12" type="noConversion"/>
  </si>
  <si>
    <t>B103</t>
    <phoneticPr fontId="12" type="noConversion"/>
  </si>
  <si>
    <t>B105</t>
    <phoneticPr fontId="12" type="noConversion"/>
  </si>
  <si>
    <t>D3</t>
    <phoneticPr fontId="12" type="noConversion"/>
  </si>
  <si>
    <t>G3</t>
    <phoneticPr fontId="12" type="noConversion"/>
  </si>
  <si>
    <t>F3</t>
    <phoneticPr fontId="12" type="noConversion"/>
  </si>
  <si>
    <t>L5</t>
    <phoneticPr fontId="12" type="noConversion"/>
  </si>
  <si>
    <t>공숙길</t>
    <phoneticPr fontId="12" type="noConversion"/>
  </si>
  <si>
    <t>박연실</t>
    <phoneticPr fontId="12" type="noConversion"/>
  </si>
  <si>
    <t>마디나</t>
    <phoneticPr fontId="12" type="noConversion"/>
  </si>
  <si>
    <t>U34</t>
    <phoneticPr fontId="12" type="noConversion"/>
  </si>
  <si>
    <t>A62</t>
    <phoneticPr fontId="12" type="noConversion"/>
  </si>
  <si>
    <t>C</t>
    <phoneticPr fontId="12" type="noConversion"/>
  </si>
  <si>
    <t>완료</t>
    <phoneticPr fontId="12" type="noConversion"/>
  </si>
  <si>
    <t>U34</t>
    <phoneticPr fontId="12" type="noConversion"/>
  </si>
  <si>
    <t>U93</t>
    <phoneticPr fontId="12" type="noConversion"/>
  </si>
  <si>
    <t>G3</t>
    <phoneticPr fontId="12" type="noConversion"/>
  </si>
  <si>
    <t>V12</t>
    <phoneticPr fontId="12" type="noConversion"/>
  </si>
  <si>
    <t>A24</t>
    <phoneticPr fontId="12" type="noConversion"/>
  </si>
  <si>
    <t>A72</t>
    <phoneticPr fontId="12" type="noConversion"/>
  </si>
  <si>
    <t>B102</t>
    <phoneticPr fontId="12" type="noConversion"/>
  </si>
  <si>
    <t>B103</t>
    <phoneticPr fontId="12" type="noConversion"/>
  </si>
  <si>
    <t>F2</t>
    <phoneticPr fontId="12" type="noConversion"/>
  </si>
  <si>
    <t>B36</t>
    <phoneticPr fontId="12" type="noConversion"/>
  </si>
  <si>
    <t>E5</t>
    <phoneticPr fontId="12" type="noConversion"/>
  </si>
  <si>
    <t>C6</t>
    <phoneticPr fontId="12" type="noConversion"/>
  </si>
  <si>
    <t>D3</t>
    <phoneticPr fontId="12" type="noConversion"/>
  </si>
  <si>
    <t>D4</t>
    <phoneticPr fontId="12" type="noConversion"/>
  </si>
  <si>
    <t>L5</t>
    <phoneticPr fontId="12" type="noConversion"/>
  </si>
  <si>
    <t>C</t>
    <phoneticPr fontId="12" type="noConversion"/>
  </si>
  <si>
    <t>김남주</t>
    <phoneticPr fontId="12" type="noConversion"/>
  </si>
  <si>
    <t>마디나</t>
    <phoneticPr fontId="12" type="noConversion"/>
  </si>
  <si>
    <t>김정은</t>
    <phoneticPr fontId="12" type="noConversion"/>
  </si>
  <si>
    <t>유민정</t>
    <phoneticPr fontId="12" type="noConversion"/>
  </si>
  <si>
    <t>이기섭</t>
    <phoneticPr fontId="12" type="noConversion"/>
  </si>
  <si>
    <t>더러움+기다림</t>
    <phoneticPr fontId="12" type="noConversion"/>
  </si>
  <si>
    <t>수건전달</t>
    <phoneticPr fontId="12" type="noConversion"/>
  </si>
  <si>
    <t>F3</t>
    <phoneticPr fontId="12" type="noConversion"/>
  </si>
  <si>
    <t>박연실</t>
    <phoneticPr fontId="12" type="noConversion"/>
  </si>
  <si>
    <t>B24</t>
    <phoneticPr fontId="12" type="noConversion"/>
  </si>
  <si>
    <t>B35</t>
    <phoneticPr fontId="12" type="noConversion"/>
  </si>
  <si>
    <t>E1</t>
    <phoneticPr fontId="12" type="noConversion"/>
  </si>
  <si>
    <t>H25</t>
    <phoneticPr fontId="12" type="noConversion"/>
  </si>
  <si>
    <t>H42</t>
    <phoneticPr fontId="12" type="noConversion"/>
  </si>
  <si>
    <t>김정한</t>
    <phoneticPr fontId="12" type="noConversion"/>
  </si>
  <si>
    <t>강수미</t>
    <phoneticPr fontId="12" type="noConversion"/>
  </si>
  <si>
    <t>U42</t>
    <phoneticPr fontId="12" type="noConversion"/>
  </si>
  <si>
    <t>V13</t>
    <phoneticPr fontId="12" type="noConversion"/>
  </si>
  <si>
    <t>3/15 기상악화</t>
  </si>
  <si>
    <t>3/15 기상악화</t>
    <phoneticPr fontId="12" type="noConversion"/>
  </si>
  <si>
    <t>완료</t>
    <phoneticPr fontId="12" type="noConversion"/>
  </si>
  <si>
    <t>010-9066-3663</t>
    <phoneticPr fontId="12" type="noConversion"/>
  </si>
  <si>
    <r>
      <t>4</t>
    </r>
    <r>
      <rPr>
        <sz val="10"/>
        <color rgb="FF000000"/>
        <rFont val="Arial Unicode MS"/>
        <family val="3"/>
        <charset val="129"/>
      </rPr>
      <t>월</t>
    </r>
    <phoneticPr fontId="12" type="noConversion"/>
  </si>
  <si>
    <r>
      <t>1</t>
    </r>
    <r>
      <rPr>
        <sz val="10"/>
        <color rgb="FF000000"/>
        <rFont val="Arial Unicode MS"/>
        <family val="3"/>
        <charset val="129"/>
      </rPr>
      <t>주</t>
    </r>
    <phoneticPr fontId="12" type="noConversion"/>
  </si>
  <si>
    <t>B94</t>
    <phoneticPr fontId="12" type="noConversion"/>
  </si>
  <si>
    <t>B91</t>
    <phoneticPr fontId="12" type="noConversion"/>
  </si>
  <si>
    <t>B93</t>
    <phoneticPr fontId="12" type="noConversion"/>
  </si>
  <si>
    <t>B95</t>
    <phoneticPr fontId="12" type="noConversion"/>
  </si>
  <si>
    <t>더하임 901</t>
    <phoneticPr fontId="12" type="noConversion"/>
  </si>
  <si>
    <t>더하임 903</t>
    <phoneticPr fontId="12" type="noConversion"/>
  </si>
  <si>
    <t>더하임 904</t>
    <phoneticPr fontId="12" type="noConversion"/>
  </si>
  <si>
    <t>더하임 905</t>
    <phoneticPr fontId="12" type="noConversion"/>
  </si>
  <si>
    <t>완료</t>
    <phoneticPr fontId="12" type="noConversion"/>
  </si>
  <si>
    <t>E5</t>
    <phoneticPr fontId="12" type="noConversion"/>
  </si>
  <si>
    <t>K3</t>
    <phoneticPr fontId="12" type="noConversion"/>
  </si>
  <si>
    <t>B103</t>
    <phoneticPr fontId="12" type="noConversion"/>
  </si>
  <si>
    <t>B54</t>
    <phoneticPr fontId="12" type="noConversion"/>
  </si>
  <si>
    <t>G2</t>
    <phoneticPr fontId="12" type="noConversion"/>
  </si>
  <si>
    <t>D1</t>
    <phoneticPr fontId="12" type="noConversion"/>
  </si>
  <si>
    <t>D8</t>
    <phoneticPr fontId="12" type="noConversion"/>
  </si>
  <si>
    <t>H33</t>
    <phoneticPr fontId="12" type="noConversion"/>
  </si>
  <si>
    <t>A72</t>
    <phoneticPr fontId="12" type="noConversion"/>
  </si>
  <si>
    <t>E1</t>
    <phoneticPr fontId="12" type="noConversion"/>
  </si>
  <si>
    <t>B91</t>
    <phoneticPr fontId="12" type="noConversion"/>
  </si>
  <si>
    <t>B94</t>
    <phoneticPr fontId="12" type="noConversion"/>
  </si>
  <si>
    <t>K5</t>
    <phoneticPr fontId="12" type="noConversion"/>
  </si>
  <si>
    <t>V13</t>
    <phoneticPr fontId="12" type="noConversion"/>
  </si>
  <si>
    <t>박연실</t>
    <phoneticPr fontId="12" type="noConversion"/>
  </si>
  <si>
    <t>김정은</t>
    <phoneticPr fontId="12" type="noConversion"/>
  </si>
  <si>
    <t>마디나</t>
    <phoneticPr fontId="12" type="noConversion"/>
  </si>
  <si>
    <t>김우현</t>
    <phoneticPr fontId="12" type="noConversion"/>
  </si>
  <si>
    <t>김남주</t>
    <phoneticPr fontId="12" type="noConversion"/>
  </si>
  <si>
    <t>C</t>
    <phoneticPr fontId="12" type="noConversion"/>
  </si>
  <si>
    <t>더러움</t>
    <phoneticPr fontId="12" type="noConversion"/>
  </si>
  <si>
    <t>완료</t>
    <phoneticPr fontId="12" type="noConversion"/>
  </si>
  <si>
    <t>T46</t>
    <phoneticPr fontId="12" type="noConversion"/>
  </si>
  <si>
    <t>C6</t>
    <phoneticPr fontId="12" type="noConversion"/>
  </si>
  <si>
    <t>J2</t>
    <phoneticPr fontId="12" type="noConversion"/>
  </si>
  <si>
    <t>F2</t>
    <phoneticPr fontId="12" type="noConversion"/>
  </si>
  <si>
    <t>D1</t>
    <phoneticPr fontId="12" type="noConversion"/>
  </si>
  <si>
    <t>D3</t>
    <phoneticPr fontId="12" type="noConversion"/>
  </si>
  <si>
    <t>D8</t>
    <phoneticPr fontId="12" type="noConversion"/>
  </si>
  <si>
    <t>E1</t>
    <phoneticPr fontId="12" type="noConversion"/>
  </si>
  <si>
    <t>B103</t>
    <phoneticPr fontId="12" type="noConversion"/>
  </si>
  <si>
    <t>B105</t>
    <phoneticPr fontId="12" type="noConversion"/>
  </si>
  <si>
    <t>B106</t>
    <phoneticPr fontId="12" type="noConversion"/>
  </si>
  <si>
    <t>G2</t>
    <phoneticPr fontId="12" type="noConversion"/>
  </si>
  <si>
    <t>H25</t>
    <phoneticPr fontId="12" type="noConversion"/>
  </si>
  <si>
    <t>L5</t>
    <phoneticPr fontId="12" type="noConversion"/>
  </si>
  <si>
    <t>A33</t>
    <phoneticPr fontId="12" type="noConversion"/>
  </si>
  <si>
    <t>U34</t>
    <phoneticPr fontId="12" type="noConversion"/>
  </si>
  <si>
    <t>U42</t>
    <phoneticPr fontId="12" type="noConversion"/>
  </si>
  <si>
    <t>V13</t>
    <phoneticPr fontId="12" type="noConversion"/>
  </si>
  <si>
    <t>류지영</t>
    <phoneticPr fontId="12" type="noConversion"/>
  </si>
  <si>
    <t>김정은</t>
    <phoneticPr fontId="12" type="noConversion"/>
  </si>
  <si>
    <t>박연실</t>
    <phoneticPr fontId="12" type="noConversion"/>
  </si>
  <si>
    <t>강수미</t>
    <phoneticPr fontId="12" type="noConversion"/>
  </si>
  <si>
    <t>이기섭</t>
    <phoneticPr fontId="12" type="noConversion"/>
  </si>
  <si>
    <t>마디나</t>
    <phoneticPr fontId="12" type="noConversion"/>
  </si>
  <si>
    <t>김남주</t>
    <phoneticPr fontId="12" type="noConversion"/>
  </si>
  <si>
    <t>C</t>
    <phoneticPr fontId="12" type="noConversion"/>
  </si>
  <si>
    <t>완료</t>
    <phoneticPr fontId="12" type="noConversion"/>
  </si>
  <si>
    <t>완료</t>
    <phoneticPr fontId="12" type="noConversion"/>
  </si>
  <si>
    <t>이불전달</t>
    <phoneticPr fontId="12" type="noConversion"/>
  </si>
  <si>
    <t>A33</t>
    <phoneticPr fontId="12" type="noConversion"/>
  </si>
  <si>
    <t>C7</t>
    <phoneticPr fontId="12" type="noConversion"/>
  </si>
  <si>
    <t>D8</t>
    <phoneticPr fontId="12" type="noConversion"/>
  </si>
  <si>
    <t>D1</t>
    <phoneticPr fontId="12" type="noConversion"/>
  </si>
  <si>
    <t>D3</t>
    <phoneticPr fontId="12" type="noConversion"/>
  </si>
  <si>
    <t>F3</t>
    <phoneticPr fontId="12" type="noConversion"/>
  </si>
  <si>
    <t>G3</t>
    <phoneticPr fontId="12" type="noConversion"/>
  </si>
  <si>
    <t>H25</t>
    <phoneticPr fontId="12" type="noConversion"/>
  </si>
  <si>
    <t>H42</t>
    <phoneticPr fontId="12" type="noConversion"/>
  </si>
  <si>
    <t>T46</t>
    <phoneticPr fontId="12" type="noConversion"/>
  </si>
  <si>
    <t>J2</t>
    <phoneticPr fontId="12" type="noConversion"/>
  </si>
  <si>
    <t>L5</t>
    <phoneticPr fontId="12" type="noConversion"/>
  </si>
  <si>
    <t>김정한</t>
    <phoneticPr fontId="12" type="noConversion"/>
  </si>
  <si>
    <t>마디나</t>
    <phoneticPr fontId="12" type="noConversion"/>
  </si>
  <si>
    <t>C</t>
    <phoneticPr fontId="12" type="noConversion"/>
  </si>
  <si>
    <t>겁나더러움</t>
    <phoneticPr fontId="12" type="noConversion"/>
  </si>
  <si>
    <t>완료</t>
    <phoneticPr fontId="12" type="noConversion"/>
  </si>
  <si>
    <t>하람휴 901</t>
    <phoneticPr fontId="12" type="noConversion"/>
  </si>
  <si>
    <t>완료</t>
    <phoneticPr fontId="12" type="noConversion"/>
  </si>
  <si>
    <t>B22</t>
    <phoneticPr fontId="12" type="noConversion"/>
  </si>
  <si>
    <t>B23</t>
    <phoneticPr fontId="12" type="noConversion"/>
  </si>
  <si>
    <t>B25</t>
    <phoneticPr fontId="12" type="noConversion"/>
  </si>
  <si>
    <t>더하임 203</t>
    <phoneticPr fontId="12" type="noConversion"/>
  </si>
  <si>
    <t>더하임 205</t>
    <phoneticPr fontId="12" type="noConversion"/>
  </si>
  <si>
    <t>더하임 204</t>
    <phoneticPr fontId="12" type="noConversion"/>
  </si>
  <si>
    <t>더하임 202</t>
    <phoneticPr fontId="12" type="noConversion"/>
  </si>
  <si>
    <t>창고정리</t>
    <phoneticPr fontId="12" type="noConversion"/>
  </si>
  <si>
    <t>완료</t>
    <phoneticPr fontId="12" type="noConversion"/>
  </si>
  <si>
    <t>권은정</t>
    <phoneticPr fontId="12" type="noConversion"/>
  </si>
  <si>
    <t>302-7926-6258-41</t>
    <phoneticPr fontId="12" type="noConversion"/>
  </si>
  <si>
    <t>A22</t>
    <phoneticPr fontId="12" type="noConversion"/>
  </si>
  <si>
    <t>U42</t>
    <phoneticPr fontId="12" type="noConversion"/>
  </si>
  <si>
    <t>B105</t>
    <phoneticPr fontId="12" type="noConversion"/>
  </si>
  <si>
    <t>B25</t>
    <phoneticPr fontId="12" type="noConversion"/>
  </si>
  <si>
    <t>T46</t>
    <phoneticPr fontId="12" type="noConversion"/>
  </si>
  <si>
    <t>C6</t>
    <phoneticPr fontId="12" type="noConversion"/>
  </si>
  <si>
    <t>D6</t>
    <phoneticPr fontId="12" type="noConversion"/>
  </si>
  <si>
    <t>E1</t>
    <phoneticPr fontId="12" type="noConversion"/>
  </si>
  <si>
    <t>F1</t>
    <phoneticPr fontId="12" type="noConversion"/>
  </si>
  <si>
    <t>L6</t>
    <phoneticPr fontId="12" type="noConversion"/>
  </si>
  <si>
    <t>I1</t>
    <phoneticPr fontId="12" type="noConversion"/>
  </si>
  <si>
    <t>C</t>
    <phoneticPr fontId="12" type="noConversion"/>
  </si>
  <si>
    <t>마디나</t>
    <phoneticPr fontId="12" type="noConversion"/>
  </si>
  <si>
    <t>김정한</t>
    <phoneticPr fontId="12" type="noConversion"/>
  </si>
  <si>
    <t>김정은</t>
    <phoneticPr fontId="12" type="noConversion"/>
  </si>
  <si>
    <t>김우현</t>
    <phoneticPr fontId="12" type="noConversion"/>
  </si>
  <si>
    <t>예건, 더하임 물품 전달</t>
    <phoneticPr fontId="12" type="noConversion"/>
  </si>
  <si>
    <t>완료</t>
    <phoneticPr fontId="12" type="noConversion"/>
  </si>
  <si>
    <t>재청소, 세탁방 이용</t>
    <phoneticPr fontId="12" type="noConversion"/>
  </si>
  <si>
    <t>A22</t>
    <phoneticPr fontId="12" type="noConversion"/>
  </si>
  <si>
    <t>A24</t>
    <phoneticPr fontId="12" type="noConversion"/>
  </si>
  <si>
    <t>U51</t>
    <phoneticPr fontId="12" type="noConversion"/>
  </si>
  <si>
    <t>G2</t>
    <phoneticPr fontId="12" type="noConversion"/>
  </si>
  <si>
    <t>B24</t>
    <phoneticPr fontId="12" type="noConversion"/>
  </si>
  <si>
    <t>D4</t>
    <phoneticPr fontId="12" type="noConversion"/>
  </si>
  <si>
    <t>E3</t>
    <phoneticPr fontId="12" type="noConversion"/>
  </si>
  <si>
    <t>V13</t>
    <phoneticPr fontId="12" type="noConversion"/>
  </si>
  <si>
    <t>마디나</t>
    <phoneticPr fontId="12" type="noConversion"/>
  </si>
  <si>
    <t>김정한</t>
    <phoneticPr fontId="12" type="noConversion"/>
  </si>
  <si>
    <t>김정은</t>
    <phoneticPr fontId="12" type="noConversion"/>
  </si>
  <si>
    <t>김남주</t>
    <phoneticPr fontId="12" type="noConversion"/>
  </si>
  <si>
    <t>엄청난 장기</t>
    <phoneticPr fontId="12" type="noConversion"/>
  </si>
  <si>
    <t>C</t>
    <phoneticPr fontId="12" type="noConversion"/>
  </si>
  <si>
    <t>A72</t>
    <phoneticPr fontId="12" type="noConversion"/>
  </si>
  <si>
    <t>F1</t>
    <phoneticPr fontId="12" type="noConversion"/>
  </si>
  <si>
    <t>T66</t>
    <phoneticPr fontId="12" type="noConversion"/>
  </si>
  <si>
    <t>D6</t>
    <phoneticPr fontId="12" type="noConversion"/>
  </si>
  <si>
    <t>H52</t>
    <phoneticPr fontId="12" type="noConversion"/>
  </si>
  <si>
    <t>B105</t>
    <phoneticPr fontId="12" type="noConversion"/>
  </si>
  <si>
    <t>H 송파 오금</t>
    <phoneticPr fontId="12" type="noConversion"/>
  </si>
  <si>
    <t>오금스타 502</t>
    <phoneticPr fontId="12" type="noConversion"/>
  </si>
  <si>
    <t>완료</t>
    <phoneticPr fontId="12" type="noConversion"/>
  </si>
  <si>
    <t>개털</t>
    <phoneticPr fontId="12" type="noConversion"/>
  </si>
  <si>
    <t>청소일자</t>
    <phoneticPr fontId="12" type="noConversion"/>
  </si>
  <si>
    <t>워크맨</t>
    <phoneticPr fontId="12" type="noConversion"/>
  </si>
  <si>
    <t>개수</t>
    <phoneticPr fontId="12" type="noConversion"/>
  </si>
  <si>
    <t>김정은</t>
    <phoneticPr fontId="12" type="noConversion"/>
  </si>
  <si>
    <t>리모콘</t>
    <phoneticPr fontId="12" type="noConversion"/>
  </si>
  <si>
    <t>유민정</t>
    <phoneticPr fontId="12" type="noConversion"/>
  </si>
  <si>
    <t>이기섭</t>
    <phoneticPr fontId="12" type="noConversion"/>
  </si>
  <si>
    <t>박연실</t>
    <phoneticPr fontId="12" type="noConversion"/>
  </si>
  <si>
    <t>마디나</t>
    <phoneticPr fontId="12" type="noConversion"/>
  </si>
  <si>
    <t>D4</t>
    <phoneticPr fontId="12" type="noConversion"/>
  </si>
  <si>
    <t>D6</t>
    <phoneticPr fontId="12" type="noConversion"/>
  </si>
  <si>
    <t>B91</t>
    <phoneticPr fontId="12" type="noConversion"/>
  </si>
  <si>
    <t>E3</t>
    <phoneticPr fontId="12" type="noConversion"/>
  </si>
  <si>
    <t>E5</t>
    <phoneticPr fontId="12" type="noConversion"/>
  </si>
  <si>
    <t>L5</t>
    <phoneticPr fontId="12" type="noConversion"/>
  </si>
  <si>
    <t>U51</t>
    <phoneticPr fontId="12" type="noConversion"/>
  </si>
  <si>
    <t>C</t>
    <phoneticPr fontId="12" type="noConversion"/>
  </si>
  <si>
    <t>이기섭</t>
    <phoneticPr fontId="12" type="noConversion"/>
  </si>
  <si>
    <t>박연실</t>
    <phoneticPr fontId="12" type="noConversion"/>
  </si>
  <si>
    <t>공숙길</t>
    <phoneticPr fontId="12" type="noConversion"/>
  </si>
  <si>
    <t>완료</t>
    <phoneticPr fontId="12" type="noConversion"/>
  </si>
  <si>
    <t>A62</t>
    <phoneticPr fontId="12" type="noConversion"/>
  </si>
  <si>
    <t>U24</t>
    <phoneticPr fontId="12" type="noConversion"/>
  </si>
  <si>
    <t>B105</t>
    <phoneticPr fontId="12" type="noConversion"/>
  </si>
  <si>
    <t>B106</t>
    <phoneticPr fontId="12" type="noConversion"/>
  </si>
  <si>
    <t>B22</t>
    <phoneticPr fontId="12" type="noConversion"/>
  </si>
  <si>
    <t>D4</t>
    <phoneticPr fontId="12" type="noConversion"/>
  </si>
  <si>
    <t>D8</t>
    <phoneticPr fontId="12" type="noConversion"/>
  </si>
  <si>
    <t>E3</t>
    <phoneticPr fontId="12" type="noConversion"/>
  </si>
  <si>
    <t>E5</t>
    <phoneticPr fontId="12" type="noConversion"/>
  </si>
  <si>
    <t>T51</t>
    <phoneticPr fontId="12" type="noConversion"/>
  </si>
  <si>
    <t>B56</t>
    <phoneticPr fontId="12" type="noConversion"/>
  </si>
  <si>
    <t>B91</t>
    <phoneticPr fontId="12" type="noConversion"/>
  </si>
  <si>
    <t>F2</t>
    <phoneticPr fontId="12" type="noConversion"/>
  </si>
  <si>
    <t>V11</t>
    <phoneticPr fontId="12" type="noConversion"/>
  </si>
  <si>
    <t>C</t>
    <phoneticPr fontId="12" type="noConversion"/>
  </si>
  <si>
    <t>김정은</t>
    <phoneticPr fontId="12" type="noConversion"/>
  </si>
  <si>
    <t>장기숙박</t>
    <phoneticPr fontId="12" type="noConversion"/>
  </si>
  <si>
    <t>O</t>
    <phoneticPr fontId="12" type="noConversion"/>
  </si>
  <si>
    <t>X</t>
    <phoneticPr fontId="12" type="noConversion"/>
  </si>
  <si>
    <t>1604 이불</t>
    <phoneticPr fontId="12" type="noConversion"/>
  </si>
  <si>
    <t>B105</t>
    <phoneticPr fontId="12" type="noConversion"/>
  </si>
  <si>
    <t>B25</t>
    <phoneticPr fontId="12" type="noConversion"/>
  </si>
  <si>
    <t>B56</t>
    <phoneticPr fontId="12" type="noConversion"/>
  </si>
  <si>
    <t>B91</t>
    <phoneticPr fontId="12" type="noConversion"/>
  </si>
  <si>
    <t>D6</t>
    <phoneticPr fontId="12" type="noConversion"/>
  </si>
  <si>
    <t>U34</t>
    <phoneticPr fontId="12" type="noConversion"/>
  </si>
  <si>
    <t>T51</t>
    <phoneticPr fontId="12" type="noConversion"/>
  </si>
  <si>
    <t>G3</t>
    <phoneticPr fontId="12" type="noConversion"/>
  </si>
  <si>
    <t>H25</t>
    <phoneticPr fontId="12" type="noConversion"/>
  </si>
  <si>
    <t>L5</t>
    <phoneticPr fontId="12" type="noConversion"/>
  </si>
  <si>
    <t>V11</t>
    <phoneticPr fontId="12" type="noConversion"/>
  </si>
  <si>
    <t>기상악화, 헛걸음</t>
    <phoneticPr fontId="12" type="noConversion"/>
  </si>
  <si>
    <t>C</t>
    <phoneticPr fontId="12" type="noConversion"/>
  </si>
  <si>
    <t>기상악화</t>
    <phoneticPr fontId="12" type="noConversion"/>
  </si>
  <si>
    <t>A62</t>
    <phoneticPr fontId="12" type="noConversion"/>
  </si>
  <si>
    <t>D1</t>
    <phoneticPr fontId="12" type="noConversion"/>
  </si>
  <si>
    <t>E4</t>
    <phoneticPr fontId="12" type="noConversion"/>
  </si>
  <si>
    <t>T66</t>
    <phoneticPr fontId="12" type="noConversion"/>
  </si>
  <si>
    <t>U42</t>
    <phoneticPr fontId="12" type="noConversion"/>
  </si>
  <si>
    <t>V12</t>
    <phoneticPr fontId="12" type="noConversion"/>
  </si>
  <si>
    <t>A33</t>
    <phoneticPr fontId="12" type="noConversion"/>
  </si>
  <si>
    <t>E1</t>
    <phoneticPr fontId="12" type="noConversion"/>
  </si>
  <si>
    <t>B103</t>
    <phoneticPr fontId="12" type="noConversion"/>
  </si>
  <si>
    <t>B104</t>
    <phoneticPr fontId="12" type="noConversion"/>
  </si>
  <si>
    <t>V11</t>
    <phoneticPr fontId="12" type="noConversion"/>
  </si>
  <si>
    <t>김정은</t>
    <phoneticPr fontId="12" type="noConversion"/>
  </si>
  <si>
    <t>O</t>
    <phoneticPr fontId="12" type="noConversion"/>
  </si>
  <si>
    <t>마디나</t>
    <phoneticPr fontId="12" type="noConversion"/>
  </si>
  <si>
    <t>유민정</t>
    <phoneticPr fontId="12" type="noConversion"/>
  </si>
  <si>
    <t>김남주</t>
    <phoneticPr fontId="12" type="noConversion"/>
  </si>
  <si>
    <t>A92</t>
    <phoneticPr fontId="12" type="noConversion"/>
  </si>
  <si>
    <t>B35</t>
    <phoneticPr fontId="12" type="noConversion"/>
  </si>
  <si>
    <t>D8</t>
    <phoneticPr fontId="12" type="noConversion"/>
  </si>
  <si>
    <t>E3</t>
    <phoneticPr fontId="12" type="noConversion"/>
  </si>
  <si>
    <t>C6</t>
    <phoneticPr fontId="12" type="noConversion"/>
  </si>
  <si>
    <t>F1</t>
    <phoneticPr fontId="12" type="noConversion"/>
  </si>
  <si>
    <t>T46</t>
    <phoneticPr fontId="12" type="noConversion"/>
  </si>
  <si>
    <t>T51</t>
    <phoneticPr fontId="12" type="noConversion"/>
  </si>
  <si>
    <t>U24</t>
    <phoneticPr fontId="12" type="noConversion"/>
  </si>
  <si>
    <t>U34</t>
    <phoneticPr fontId="12" type="noConversion"/>
  </si>
  <si>
    <t>V13</t>
    <phoneticPr fontId="12" type="noConversion"/>
  </si>
  <si>
    <t>김정한</t>
    <phoneticPr fontId="12" type="noConversion"/>
  </si>
  <si>
    <t>유민정</t>
    <phoneticPr fontId="12" type="noConversion"/>
  </si>
  <si>
    <t>공숙길</t>
    <phoneticPr fontId="12" type="noConversion"/>
  </si>
  <si>
    <t>김정은</t>
    <phoneticPr fontId="12" type="noConversion"/>
  </si>
  <si>
    <t>마디나</t>
    <phoneticPr fontId="12" type="noConversion"/>
  </si>
  <si>
    <t>김남주</t>
    <phoneticPr fontId="12" type="noConversion"/>
  </si>
  <si>
    <t>C</t>
    <phoneticPr fontId="12" type="noConversion"/>
  </si>
  <si>
    <t>완료</t>
    <phoneticPr fontId="12" type="noConversion"/>
  </si>
  <si>
    <t>A22</t>
    <phoneticPr fontId="12" type="noConversion"/>
  </si>
  <si>
    <t>A25</t>
    <phoneticPr fontId="12" type="noConversion"/>
  </si>
  <si>
    <t>D4</t>
    <phoneticPr fontId="12" type="noConversion"/>
  </si>
  <si>
    <t>D8</t>
    <phoneticPr fontId="12" type="noConversion"/>
  </si>
  <si>
    <t>F1</t>
    <phoneticPr fontId="12" type="noConversion"/>
  </si>
  <si>
    <t>F2</t>
    <phoneticPr fontId="12" type="noConversion"/>
  </si>
  <si>
    <t>E3</t>
    <phoneticPr fontId="12" type="noConversion"/>
  </si>
  <si>
    <t>T46</t>
    <phoneticPr fontId="12" type="noConversion"/>
  </si>
  <si>
    <t>V12</t>
    <phoneticPr fontId="12" type="noConversion"/>
  </si>
  <si>
    <t>V13</t>
    <phoneticPr fontId="12" type="noConversion"/>
  </si>
  <si>
    <t>L4</t>
    <phoneticPr fontId="12" type="noConversion"/>
  </si>
  <si>
    <t>L5</t>
    <phoneticPr fontId="12" type="noConversion"/>
  </si>
  <si>
    <t>김정한</t>
    <phoneticPr fontId="12" type="noConversion"/>
  </si>
  <si>
    <t>박연실</t>
    <phoneticPr fontId="12" type="noConversion"/>
  </si>
  <si>
    <t>김남주</t>
    <phoneticPr fontId="12" type="noConversion"/>
  </si>
  <si>
    <t>이기섭</t>
    <phoneticPr fontId="12" type="noConversion"/>
  </si>
  <si>
    <t>C</t>
    <phoneticPr fontId="12" type="noConversion"/>
  </si>
  <si>
    <t>하람휴 901</t>
    <phoneticPr fontId="12" type="noConversion"/>
  </si>
  <si>
    <t>O</t>
    <phoneticPr fontId="12" type="noConversion"/>
  </si>
  <si>
    <t>블라인드 수리</t>
    <phoneticPr fontId="12" type="noConversion"/>
  </si>
  <si>
    <t>변기 수리</t>
    <phoneticPr fontId="12" type="noConversion"/>
  </si>
  <si>
    <t>A22</t>
    <phoneticPr fontId="12" type="noConversion"/>
  </si>
  <si>
    <t>A25</t>
    <phoneticPr fontId="12" type="noConversion"/>
  </si>
  <si>
    <t>A33</t>
    <phoneticPr fontId="12" type="noConversion"/>
  </si>
  <si>
    <t>B102</t>
    <phoneticPr fontId="12" type="noConversion"/>
  </si>
  <si>
    <t>B103</t>
    <phoneticPr fontId="12" type="noConversion"/>
  </si>
  <si>
    <t>B104</t>
    <phoneticPr fontId="12" type="noConversion"/>
  </si>
  <si>
    <t>B105</t>
    <phoneticPr fontId="12" type="noConversion"/>
  </si>
  <si>
    <t>B23</t>
    <phoneticPr fontId="12" type="noConversion"/>
  </si>
  <si>
    <t>B34</t>
    <phoneticPr fontId="12" type="noConversion"/>
  </si>
  <si>
    <t>C6</t>
    <phoneticPr fontId="12" type="noConversion"/>
  </si>
  <si>
    <t>D1</t>
    <phoneticPr fontId="12" type="noConversion"/>
  </si>
  <si>
    <t>D6</t>
    <phoneticPr fontId="12" type="noConversion"/>
  </si>
  <si>
    <t>E1</t>
    <phoneticPr fontId="12" type="noConversion"/>
  </si>
  <si>
    <t>E3</t>
    <phoneticPr fontId="12" type="noConversion"/>
  </si>
  <si>
    <t>E5</t>
    <phoneticPr fontId="12" type="noConversion"/>
  </si>
  <si>
    <t>T46</t>
    <phoneticPr fontId="12" type="noConversion"/>
  </si>
  <si>
    <t>U34</t>
    <phoneticPr fontId="12" type="noConversion"/>
  </si>
  <si>
    <t>U83</t>
    <phoneticPr fontId="12" type="noConversion"/>
  </si>
  <si>
    <t>H25</t>
    <phoneticPr fontId="12" type="noConversion"/>
  </si>
  <si>
    <t>L5</t>
    <phoneticPr fontId="12" type="noConversion"/>
  </si>
  <si>
    <t>V11</t>
    <phoneticPr fontId="12" type="noConversion"/>
  </si>
  <si>
    <t>V13</t>
    <phoneticPr fontId="12" type="noConversion"/>
  </si>
  <si>
    <t>A72</t>
    <phoneticPr fontId="12" type="noConversion"/>
  </si>
  <si>
    <t>C</t>
    <phoneticPr fontId="12" type="noConversion"/>
  </si>
  <si>
    <t>마디나</t>
    <phoneticPr fontId="12" type="noConversion"/>
  </si>
  <si>
    <t>김정한</t>
    <phoneticPr fontId="12" type="noConversion"/>
  </si>
  <si>
    <t>류지영</t>
    <phoneticPr fontId="12" type="noConversion"/>
  </si>
  <si>
    <t>김정은</t>
    <phoneticPr fontId="12" type="noConversion"/>
  </si>
  <si>
    <t>강수미</t>
    <phoneticPr fontId="12" type="noConversion"/>
  </si>
  <si>
    <t>이기섭</t>
    <phoneticPr fontId="12" type="noConversion"/>
  </si>
  <si>
    <t>김남주</t>
    <phoneticPr fontId="12" type="noConversion"/>
  </si>
  <si>
    <t>완료</t>
    <phoneticPr fontId="12" type="noConversion"/>
  </si>
  <si>
    <t>박연실</t>
    <phoneticPr fontId="12" type="noConversion"/>
  </si>
  <si>
    <t>O</t>
    <phoneticPr fontId="12" type="noConversion"/>
  </si>
  <si>
    <t>유민정</t>
    <phoneticPr fontId="12" type="noConversion"/>
  </si>
  <si>
    <t>급여</t>
    <phoneticPr fontId="12" type="noConversion"/>
  </si>
  <si>
    <t>성우비번</t>
    <phoneticPr fontId="12" type="noConversion"/>
  </si>
  <si>
    <t>완료</t>
    <phoneticPr fontId="12" type="noConversion"/>
  </si>
  <si>
    <t>J2</t>
    <phoneticPr fontId="12" type="noConversion"/>
  </si>
  <si>
    <t>A25</t>
    <phoneticPr fontId="12" type="noConversion"/>
  </si>
  <si>
    <t>A33</t>
    <phoneticPr fontId="12" type="noConversion"/>
  </si>
  <si>
    <t>U24</t>
    <phoneticPr fontId="12" type="noConversion"/>
  </si>
  <si>
    <t>U34</t>
    <phoneticPr fontId="12" type="noConversion"/>
  </si>
  <si>
    <t>U83</t>
    <phoneticPr fontId="12" type="noConversion"/>
  </si>
  <si>
    <t>C6</t>
    <phoneticPr fontId="12" type="noConversion"/>
  </si>
  <si>
    <t>B103</t>
    <phoneticPr fontId="12" type="noConversion"/>
  </si>
  <si>
    <t>B105</t>
    <phoneticPr fontId="12" type="noConversion"/>
  </si>
  <si>
    <t>T46</t>
    <phoneticPr fontId="12" type="noConversion"/>
  </si>
  <si>
    <t>E3</t>
    <phoneticPr fontId="12" type="noConversion"/>
  </si>
  <si>
    <t>E5</t>
    <phoneticPr fontId="12" type="noConversion"/>
  </si>
  <si>
    <t>B24</t>
    <phoneticPr fontId="12" type="noConversion"/>
  </si>
  <si>
    <t>B34</t>
    <phoneticPr fontId="12" type="noConversion"/>
  </si>
  <si>
    <t>D1</t>
    <phoneticPr fontId="12" type="noConversion"/>
  </si>
  <si>
    <t>D4</t>
    <phoneticPr fontId="12" type="noConversion"/>
  </si>
  <si>
    <t>D6</t>
    <phoneticPr fontId="12" type="noConversion"/>
  </si>
  <si>
    <t>H25</t>
    <phoneticPr fontId="12" type="noConversion"/>
  </si>
  <si>
    <t>L5</t>
    <phoneticPr fontId="12" type="noConversion"/>
  </si>
  <si>
    <t>V11</t>
    <phoneticPr fontId="12" type="noConversion"/>
  </si>
  <si>
    <t>V12</t>
    <phoneticPr fontId="12" type="noConversion"/>
  </si>
  <si>
    <t>V13</t>
    <phoneticPr fontId="12" type="noConversion"/>
  </si>
  <si>
    <t>김정한</t>
    <phoneticPr fontId="12" type="noConversion"/>
  </si>
  <si>
    <t>김정은</t>
    <phoneticPr fontId="12" type="noConversion"/>
  </si>
  <si>
    <t>강수미</t>
    <phoneticPr fontId="12" type="noConversion"/>
  </si>
  <si>
    <t>이기섭</t>
    <phoneticPr fontId="12" type="noConversion"/>
  </si>
  <si>
    <t>김남주</t>
    <phoneticPr fontId="12" type="noConversion"/>
  </si>
  <si>
    <t>C</t>
    <phoneticPr fontId="12" type="noConversion"/>
  </si>
  <si>
    <t>완료</t>
    <phoneticPr fontId="12" type="noConversion"/>
  </si>
  <si>
    <t>마디나</t>
    <phoneticPr fontId="12" type="noConversion"/>
  </si>
  <si>
    <t>O</t>
    <phoneticPr fontId="12" type="noConversion"/>
  </si>
  <si>
    <t>U83</t>
    <phoneticPr fontId="12" type="noConversion"/>
  </si>
  <si>
    <t>A22</t>
    <phoneticPr fontId="12" type="noConversion"/>
  </si>
  <si>
    <t>A72</t>
    <phoneticPr fontId="12" type="noConversion"/>
  </si>
  <si>
    <t>B103</t>
    <phoneticPr fontId="12" type="noConversion"/>
  </si>
  <si>
    <t>B104</t>
    <phoneticPr fontId="12" type="noConversion"/>
  </si>
  <si>
    <t>B24</t>
    <phoneticPr fontId="12" type="noConversion"/>
  </si>
  <si>
    <t>B35</t>
    <phoneticPr fontId="12" type="noConversion"/>
  </si>
  <si>
    <t>B91</t>
    <phoneticPr fontId="12" type="noConversion"/>
  </si>
  <si>
    <t>C6</t>
    <phoneticPr fontId="12" type="noConversion"/>
  </si>
  <si>
    <t>D6</t>
    <phoneticPr fontId="12" type="noConversion"/>
  </si>
  <si>
    <t>E1</t>
    <phoneticPr fontId="12" type="noConversion"/>
  </si>
  <si>
    <t>J2</t>
    <phoneticPr fontId="12" type="noConversion"/>
  </si>
  <si>
    <t>E3</t>
    <phoneticPr fontId="12" type="noConversion"/>
  </si>
  <si>
    <t>E5</t>
    <phoneticPr fontId="12" type="noConversion"/>
  </si>
  <si>
    <t>C</t>
    <phoneticPr fontId="12" type="noConversion"/>
  </si>
  <si>
    <t>김정은</t>
    <phoneticPr fontId="12" type="noConversion"/>
  </si>
  <si>
    <t>마디나</t>
    <phoneticPr fontId="12" type="noConversion"/>
  </si>
  <si>
    <t>기상악화</t>
    <phoneticPr fontId="12" type="noConversion"/>
  </si>
  <si>
    <t>완료</t>
    <phoneticPr fontId="12" type="noConversion"/>
  </si>
  <si>
    <t>박연실</t>
    <phoneticPr fontId="12" type="noConversion"/>
  </si>
  <si>
    <r>
      <t>o(</t>
    </r>
    <r>
      <rPr>
        <sz val="10"/>
        <color rgb="FF000000"/>
        <rFont val="맑은 고딕"/>
        <family val="3"/>
        <charset val="129"/>
      </rPr>
      <t>건전지없음)</t>
    </r>
    <phoneticPr fontId="12" type="noConversion"/>
  </si>
  <si>
    <t>B104</t>
    <phoneticPr fontId="12" type="noConversion"/>
  </si>
  <si>
    <t>E5</t>
    <phoneticPr fontId="12" type="noConversion"/>
  </si>
  <si>
    <t>T46</t>
    <phoneticPr fontId="12" type="noConversion"/>
  </si>
  <si>
    <t>H21</t>
    <phoneticPr fontId="12" type="noConversion"/>
  </si>
  <si>
    <t>D1</t>
    <phoneticPr fontId="12" type="noConversion"/>
  </si>
  <si>
    <t>B91</t>
    <phoneticPr fontId="12" type="noConversion"/>
  </si>
  <si>
    <t>박연실</t>
    <phoneticPr fontId="12" type="noConversion"/>
  </si>
  <si>
    <t>김정은</t>
    <phoneticPr fontId="12" type="noConversion"/>
  </si>
  <si>
    <t>김정한</t>
    <phoneticPr fontId="12" type="noConversion"/>
  </si>
  <si>
    <t>마디나</t>
    <phoneticPr fontId="12" type="noConversion"/>
  </si>
  <si>
    <t>기다림</t>
    <phoneticPr fontId="12" type="noConversion"/>
  </si>
  <si>
    <t>C</t>
    <phoneticPr fontId="12" type="noConversion"/>
  </si>
  <si>
    <t>긴급</t>
    <phoneticPr fontId="12" type="noConversion"/>
  </si>
  <si>
    <t>T51</t>
    <phoneticPr fontId="12" type="noConversion"/>
  </si>
  <si>
    <t>완료</t>
    <phoneticPr fontId="12" type="noConversion"/>
  </si>
  <si>
    <t>x</t>
    <phoneticPr fontId="12" type="noConversion"/>
  </si>
  <si>
    <t>완료</t>
    <phoneticPr fontId="12" type="noConversion"/>
  </si>
  <si>
    <t>g</t>
    <phoneticPr fontId="12" type="noConversion"/>
  </si>
  <si>
    <t>010-4443-0095</t>
    <phoneticPr fontId="12" type="noConversion"/>
  </si>
  <si>
    <t>손혜영</t>
    <phoneticPr fontId="12" type="noConversion"/>
  </si>
  <si>
    <t>010-6252-7845</t>
    <phoneticPr fontId="12" type="noConversion"/>
  </si>
  <si>
    <t>B103</t>
    <phoneticPr fontId="12" type="noConversion"/>
  </si>
  <si>
    <t>B104</t>
    <phoneticPr fontId="12" type="noConversion"/>
  </si>
  <si>
    <t>B23</t>
    <phoneticPr fontId="12" type="noConversion"/>
  </si>
  <si>
    <t>B24</t>
    <phoneticPr fontId="12" type="noConversion"/>
  </si>
  <si>
    <t>E3</t>
    <phoneticPr fontId="12" type="noConversion"/>
  </si>
  <si>
    <t>E5</t>
    <phoneticPr fontId="12" type="noConversion"/>
  </si>
  <si>
    <t>U34</t>
    <phoneticPr fontId="12" type="noConversion"/>
  </si>
  <si>
    <t>D4</t>
    <phoneticPr fontId="12" type="noConversion"/>
  </si>
  <si>
    <t>H25</t>
    <phoneticPr fontId="12" type="noConversion"/>
  </si>
  <si>
    <t>T46</t>
    <phoneticPr fontId="12" type="noConversion"/>
  </si>
  <si>
    <t>T51</t>
    <phoneticPr fontId="12" type="noConversion"/>
  </si>
  <si>
    <t>K1</t>
    <phoneticPr fontId="12" type="noConversion"/>
  </si>
  <si>
    <t>F1</t>
    <phoneticPr fontId="12" type="noConversion"/>
  </si>
  <si>
    <t>F2</t>
    <phoneticPr fontId="12" type="noConversion"/>
  </si>
  <si>
    <t>U51</t>
    <phoneticPr fontId="12" type="noConversion"/>
  </si>
  <si>
    <t>U83</t>
    <phoneticPr fontId="12" type="noConversion"/>
  </si>
  <si>
    <t>V13</t>
    <phoneticPr fontId="12" type="noConversion"/>
  </si>
  <si>
    <t>박금주</t>
    <phoneticPr fontId="12" type="noConversion"/>
  </si>
  <si>
    <t>손혜영</t>
    <phoneticPr fontId="12" type="noConversion"/>
  </si>
  <si>
    <t>J2</t>
    <phoneticPr fontId="12" type="noConversion"/>
  </si>
  <si>
    <t>김정은</t>
    <phoneticPr fontId="12" type="noConversion"/>
  </si>
  <si>
    <t>주경태</t>
    <phoneticPr fontId="12" type="noConversion"/>
  </si>
  <si>
    <t>유민정</t>
    <phoneticPr fontId="12" type="noConversion"/>
  </si>
  <si>
    <t>박연실</t>
    <phoneticPr fontId="12" type="noConversion"/>
  </si>
  <si>
    <t>마디나</t>
    <phoneticPr fontId="12" type="noConversion"/>
  </si>
  <si>
    <t>김남주</t>
    <phoneticPr fontId="12" type="noConversion"/>
  </si>
  <si>
    <t>김정한</t>
    <phoneticPr fontId="12" type="noConversion"/>
  </si>
  <si>
    <t>B34</t>
    <phoneticPr fontId="12" type="noConversion"/>
  </si>
  <si>
    <t>C</t>
    <phoneticPr fontId="12" type="noConversion"/>
  </si>
  <si>
    <t>A24</t>
    <phoneticPr fontId="12" type="noConversion"/>
  </si>
  <si>
    <t>A25</t>
    <phoneticPr fontId="12" type="noConversion"/>
  </si>
  <si>
    <t>B105</t>
    <phoneticPr fontId="12" type="noConversion"/>
  </si>
  <si>
    <t>B94</t>
    <phoneticPr fontId="12" type="noConversion"/>
  </si>
  <si>
    <t>L5</t>
    <phoneticPr fontId="12" type="noConversion"/>
  </si>
  <si>
    <t>류지영</t>
    <phoneticPr fontId="12" type="noConversion"/>
  </si>
  <si>
    <t>이기섭</t>
    <phoneticPr fontId="12" type="noConversion"/>
  </si>
  <si>
    <t>A22</t>
    <phoneticPr fontId="12" type="noConversion"/>
  </si>
  <si>
    <t>O</t>
    <phoneticPr fontId="12" type="noConversion"/>
  </si>
  <si>
    <t>긴급</t>
    <phoneticPr fontId="12" type="noConversion"/>
  </si>
  <si>
    <t>완료</t>
    <phoneticPr fontId="12" type="noConversion"/>
  </si>
  <si>
    <t>A25</t>
    <phoneticPr fontId="12" type="noConversion"/>
  </si>
  <si>
    <t>U24</t>
    <phoneticPr fontId="12" type="noConversion"/>
  </si>
  <si>
    <t>U34</t>
    <phoneticPr fontId="12" type="noConversion"/>
  </si>
  <si>
    <t>U51</t>
    <phoneticPr fontId="12" type="noConversion"/>
  </si>
  <si>
    <t>B103</t>
    <phoneticPr fontId="12" type="noConversion"/>
  </si>
  <si>
    <t>B104</t>
    <phoneticPr fontId="12" type="noConversion"/>
  </si>
  <si>
    <t>B24</t>
    <phoneticPr fontId="12" type="noConversion"/>
  </si>
  <si>
    <t>B34</t>
    <phoneticPr fontId="12" type="noConversion"/>
  </si>
  <si>
    <t>B35</t>
    <phoneticPr fontId="12" type="noConversion"/>
  </si>
  <si>
    <t>J2</t>
    <phoneticPr fontId="12" type="noConversion"/>
  </si>
  <si>
    <t>D4</t>
    <phoneticPr fontId="12" type="noConversion"/>
  </si>
  <si>
    <t>E3</t>
    <phoneticPr fontId="12" type="noConversion"/>
  </si>
  <si>
    <t>E5</t>
    <phoneticPr fontId="12" type="noConversion"/>
  </si>
  <si>
    <t>B94</t>
    <phoneticPr fontId="12" type="noConversion"/>
  </si>
  <si>
    <t>B95</t>
    <phoneticPr fontId="12" type="noConversion"/>
  </si>
  <si>
    <t>F1</t>
    <phoneticPr fontId="12" type="noConversion"/>
  </si>
  <si>
    <t>F2</t>
    <phoneticPr fontId="12" type="noConversion"/>
  </si>
  <si>
    <t>T46</t>
    <phoneticPr fontId="12" type="noConversion"/>
  </si>
  <si>
    <t>T51</t>
    <phoneticPr fontId="12" type="noConversion"/>
  </si>
  <si>
    <t>V11</t>
    <phoneticPr fontId="12" type="noConversion"/>
  </si>
  <si>
    <t>V13</t>
    <phoneticPr fontId="12" type="noConversion"/>
  </si>
  <si>
    <t>C</t>
    <phoneticPr fontId="12" type="noConversion"/>
  </si>
  <si>
    <t>마디나</t>
    <phoneticPr fontId="12" type="noConversion"/>
  </si>
  <si>
    <t>김정은</t>
    <phoneticPr fontId="12" type="noConversion"/>
  </si>
  <si>
    <t>김남주</t>
    <phoneticPr fontId="12" type="noConversion"/>
  </si>
  <si>
    <t>박연실</t>
    <phoneticPr fontId="12" type="noConversion"/>
  </si>
  <si>
    <t>완료</t>
    <phoneticPr fontId="12" type="noConversion"/>
  </si>
  <si>
    <t>A92</t>
    <phoneticPr fontId="12" type="noConversion"/>
  </si>
  <si>
    <t>B24</t>
    <phoneticPr fontId="12" type="noConversion"/>
  </si>
  <si>
    <t>B35</t>
    <phoneticPr fontId="12" type="noConversion"/>
  </si>
  <si>
    <t>T51</t>
    <phoneticPr fontId="12" type="noConversion"/>
  </si>
  <si>
    <t>C7</t>
    <phoneticPr fontId="12" type="noConversion"/>
  </si>
  <si>
    <t>E1</t>
    <phoneticPr fontId="12" type="noConversion"/>
  </si>
  <si>
    <t>D4</t>
    <phoneticPr fontId="12" type="noConversion"/>
  </si>
  <si>
    <t>D1</t>
    <phoneticPr fontId="12" type="noConversion"/>
  </si>
  <si>
    <t>F2</t>
    <phoneticPr fontId="12" type="noConversion"/>
  </si>
  <si>
    <t>H25</t>
    <phoneticPr fontId="12" type="noConversion"/>
  </si>
  <si>
    <t>C</t>
    <phoneticPr fontId="12" type="noConversion"/>
  </si>
  <si>
    <t>김정은</t>
    <phoneticPr fontId="12" type="noConversion"/>
  </si>
  <si>
    <t>김정한</t>
    <phoneticPr fontId="12" type="noConversion"/>
  </si>
  <si>
    <t>마디나</t>
    <phoneticPr fontId="12" type="noConversion"/>
  </si>
  <si>
    <t>주경태</t>
  </si>
  <si>
    <t>손혜영</t>
  </si>
  <si>
    <t>박연실</t>
    <phoneticPr fontId="12" type="noConversion"/>
  </si>
  <si>
    <t>X</t>
    <phoneticPr fontId="12" type="noConversion"/>
  </si>
  <si>
    <t>박금주</t>
  </si>
  <si>
    <t>장기</t>
    <phoneticPr fontId="12" type="noConversion"/>
  </si>
  <si>
    <r>
      <t>5</t>
    </r>
    <r>
      <rPr>
        <sz val="10"/>
        <color rgb="FF000000"/>
        <rFont val="맑은 고딕"/>
        <family val="3"/>
        <charset val="129"/>
      </rPr>
      <t>월</t>
    </r>
    <phoneticPr fontId="12" type="noConversion"/>
  </si>
  <si>
    <t>신협</t>
    <phoneticPr fontId="12" type="noConversion"/>
  </si>
  <si>
    <t>완료</t>
    <phoneticPr fontId="12" type="noConversion"/>
  </si>
  <si>
    <t>010-4299-8076</t>
    <phoneticPr fontId="12" type="noConversion"/>
  </si>
  <si>
    <t>S1</t>
    <phoneticPr fontId="12" type="noConversion"/>
  </si>
  <si>
    <r>
      <t xml:space="preserve">S </t>
    </r>
    <r>
      <rPr>
        <sz val="10"/>
        <color rgb="FF000000"/>
        <rFont val="맑은 고딕"/>
        <family val="3"/>
        <charset val="129"/>
      </rPr>
      <t>천호</t>
    </r>
    <phoneticPr fontId="12" type="noConversion"/>
  </si>
  <si>
    <t>미사아름채 1310호</t>
    <phoneticPr fontId="12" type="noConversion"/>
  </si>
  <si>
    <t>B104</t>
    <phoneticPr fontId="12" type="noConversion"/>
  </si>
  <si>
    <t>B105</t>
    <phoneticPr fontId="12" type="noConversion"/>
  </si>
  <si>
    <t>S1</t>
    <phoneticPr fontId="12" type="noConversion"/>
  </si>
  <si>
    <t>B91</t>
    <phoneticPr fontId="12" type="noConversion"/>
  </si>
  <si>
    <t>B95</t>
    <phoneticPr fontId="12" type="noConversion"/>
  </si>
  <si>
    <t>D1</t>
    <phoneticPr fontId="12" type="noConversion"/>
  </si>
  <si>
    <t>G2</t>
    <phoneticPr fontId="12" type="noConversion"/>
  </si>
  <si>
    <t>F2</t>
    <phoneticPr fontId="12" type="noConversion"/>
  </si>
  <si>
    <t>J2</t>
    <phoneticPr fontId="12" type="noConversion"/>
  </si>
  <si>
    <t>L3</t>
    <phoneticPr fontId="12" type="noConversion"/>
  </si>
  <si>
    <t>V13</t>
    <phoneticPr fontId="12" type="noConversion"/>
  </si>
  <si>
    <t>C</t>
    <phoneticPr fontId="12" type="noConversion"/>
  </si>
  <si>
    <t>손혜영</t>
    <phoneticPr fontId="12" type="noConversion"/>
  </si>
  <si>
    <t>주경태</t>
    <phoneticPr fontId="12" type="noConversion"/>
  </si>
  <si>
    <t>김정은</t>
    <phoneticPr fontId="12" type="noConversion"/>
  </si>
  <si>
    <t>공숙길</t>
    <phoneticPr fontId="12" type="noConversion"/>
  </si>
  <si>
    <t>마디나</t>
    <phoneticPr fontId="12" type="noConversion"/>
  </si>
  <si>
    <t>이기섭</t>
    <phoneticPr fontId="12" type="noConversion"/>
  </si>
  <si>
    <t>김남주</t>
    <phoneticPr fontId="12" type="noConversion"/>
  </si>
  <si>
    <t>A22</t>
    <phoneticPr fontId="12" type="noConversion"/>
  </si>
  <si>
    <t>B103</t>
    <phoneticPr fontId="12" type="noConversion"/>
  </si>
  <si>
    <t>B23</t>
    <phoneticPr fontId="12" type="noConversion"/>
  </si>
  <si>
    <t>B24</t>
    <phoneticPr fontId="12" type="noConversion"/>
  </si>
  <si>
    <t>T46</t>
    <phoneticPr fontId="12" type="noConversion"/>
  </si>
  <si>
    <t>D6</t>
    <phoneticPr fontId="12" type="noConversion"/>
  </si>
  <si>
    <t>V12</t>
    <phoneticPr fontId="12" type="noConversion"/>
  </si>
  <si>
    <t>B76</t>
    <phoneticPr fontId="12" type="noConversion"/>
  </si>
  <si>
    <t>D4</t>
    <phoneticPr fontId="12" type="noConversion"/>
  </si>
  <si>
    <t>E1</t>
    <phoneticPr fontId="12" type="noConversion"/>
  </si>
  <si>
    <t>H25</t>
    <phoneticPr fontId="12" type="noConversion"/>
  </si>
  <si>
    <t>H33</t>
    <phoneticPr fontId="12" type="noConversion"/>
  </si>
  <si>
    <t>U24</t>
    <phoneticPr fontId="12" type="noConversion"/>
  </si>
  <si>
    <t>U51</t>
    <phoneticPr fontId="12" type="noConversion"/>
  </si>
  <si>
    <t>김우현</t>
    <phoneticPr fontId="12" type="noConversion"/>
  </si>
  <si>
    <t>완료</t>
    <phoneticPr fontId="12" type="noConversion"/>
  </si>
  <si>
    <t>B76</t>
    <phoneticPr fontId="12" type="noConversion"/>
  </si>
  <si>
    <t>더하임 706</t>
    <phoneticPr fontId="12" type="noConversion"/>
  </si>
  <si>
    <t>A24</t>
    <phoneticPr fontId="12" type="noConversion"/>
  </si>
  <si>
    <t>U51</t>
    <phoneticPr fontId="12" type="noConversion"/>
  </si>
  <si>
    <t>D6</t>
    <phoneticPr fontId="12" type="noConversion"/>
  </si>
  <si>
    <t>B105</t>
    <phoneticPr fontId="12" type="noConversion"/>
  </si>
  <si>
    <t>B23</t>
    <phoneticPr fontId="12" type="noConversion"/>
  </si>
  <si>
    <t>B24</t>
    <phoneticPr fontId="12" type="noConversion"/>
  </si>
  <si>
    <t>B94</t>
    <phoneticPr fontId="12" type="noConversion"/>
  </si>
  <si>
    <t>F2</t>
    <phoneticPr fontId="12" type="noConversion"/>
  </si>
  <si>
    <t>F3</t>
    <phoneticPr fontId="12" type="noConversion"/>
  </si>
  <si>
    <t>U24</t>
    <phoneticPr fontId="12" type="noConversion"/>
  </si>
  <si>
    <t>U42</t>
    <phoneticPr fontId="12" type="noConversion"/>
  </si>
  <si>
    <t>C</t>
    <phoneticPr fontId="12" type="noConversion"/>
  </si>
  <si>
    <t>마디나</t>
    <phoneticPr fontId="12" type="noConversion"/>
  </si>
  <si>
    <t>김정은</t>
    <phoneticPr fontId="12" type="noConversion"/>
  </si>
  <si>
    <t>O</t>
    <phoneticPr fontId="12" type="noConversion"/>
  </si>
  <si>
    <t>완료</t>
    <phoneticPr fontId="12" type="noConversion"/>
  </si>
  <si>
    <t>B103</t>
    <phoneticPr fontId="12" type="noConversion"/>
  </si>
  <si>
    <t>B105</t>
    <phoneticPr fontId="12" type="noConversion"/>
  </si>
  <si>
    <t>B23</t>
    <phoneticPr fontId="12" type="noConversion"/>
  </si>
  <si>
    <t>B76</t>
    <phoneticPr fontId="12" type="noConversion"/>
  </si>
  <si>
    <t>C6</t>
    <phoneticPr fontId="12" type="noConversion"/>
  </si>
  <si>
    <t>E1</t>
    <phoneticPr fontId="12" type="noConversion"/>
  </si>
  <si>
    <t>D1</t>
    <phoneticPr fontId="12" type="noConversion"/>
  </si>
  <si>
    <t>D4</t>
    <phoneticPr fontId="12" type="noConversion"/>
  </si>
  <si>
    <t>E3</t>
    <phoneticPr fontId="12" type="noConversion"/>
  </si>
  <si>
    <t>F2</t>
    <phoneticPr fontId="12" type="noConversion"/>
  </si>
  <si>
    <t>H25</t>
    <phoneticPr fontId="12" type="noConversion"/>
  </si>
  <si>
    <t>H42</t>
    <phoneticPr fontId="12" type="noConversion"/>
  </si>
  <si>
    <t>L4</t>
    <phoneticPr fontId="12" type="noConversion"/>
  </si>
  <si>
    <t>U24</t>
    <phoneticPr fontId="12" type="noConversion"/>
  </si>
  <si>
    <t>U42</t>
    <phoneticPr fontId="12" type="noConversion"/>
  </si>
  <si>
    <t>U51</t>
    <phoneticPr fontId="12" type="noConversion"/>
  </si>
  <si>
    <t>V13</t>
    <phoneticPr fontId="12" type="noConversion"/>
  </si>
  <si>
    <t>김정한</t>
    <phoneticPr fontId="12" type="noConversion"/>
  </si>
  <si>
    <t>마디나</t>
    <phoneticPr fontId="12" type="noConversion"/>
  </si>
  <si>
    <t>김남주</t>
    <phoneticPr fontId="12" type="noConversion"/>
  </si>
  <si>
    <t>C</t>
    <phoneticPr fontId="12" type="noConversion"/>
  </si>
  <si>
    <t>김정은</t>
    <phoneticPr fontId="12" type="noConversion"/>
  </si>
  <si>
    <t>완료</t>
    <phoneticPr fontId="12" type="noConversion"/>
  </si>
  <si>
    <t>김정은</t>
    <phoneticPr fontId="12" type="noConversion"/>
  </si>
  <si>
    <t>완료</t>
    <phoneticPr fontId="12" type="noConversion"/>
  </si>
  <si>
    <t>A25</t>
    <phoneticPr fontId="12" type="noConversion"/>
  </si>
  <si>
    <t>A82</t>
    <phoneticPr fontId="12" type="noConversion"/>
  </si>
  <si>
    <t>U24</t>
    <phoneticPr fontId="12" type="noConversion"/>
  </si>
  <si>
    <t>U93</t>
    <phoneticPr fontId="12" type="noConversion"/>
  </si>
  <si>
    <t>B103</t>
    <phoneticPr fontId="12" type="noConversion"/>
  </si>
  <si>
    <t>B104</t>
    <phoneticPr fontId="12" type="noConversion"/>
  </si>
  <si>
    <t>B23</t>
    <phoneticPr fontId="12" type="noConversion"/>
  </si>
  <si>
    <t>B24</t>
    <phoneticPr fontId="12" type="noConversion"/>
  </si>
  <si>
    <t>B91</t>
    <phoneticPr fontId="12" type="noConversion"/>
  </si>
  <si>
    <t>B94</t>
    <phoneticPr fontId="12" type="noConversion"/>
  </si>
  <si>
    <t>B95</t>
    <phoneticPr fontId="12" type="noConversion"/>
  </si>
  <si>
    <t>S1</t>
    <phoneticPr fontId="12" type="noConversion"/>
  </si>
  <si>
    <t>김정은</t>
    <phoneticPr fontId="12" type="noConversion"/>
  </si>
  <si>
    <t>주경태</t>
    <phoneticPr fontId="12" type="noConversion"/>
  </si>
  <si>
    <t>박연실</t>
    <phoneticPr fontId="12" type="noConversion"/>
  </si>
  <si>
    <t>C6</t>
    <phoneticPr fontId="12" type="noConversion"/>
  </si>
  <si>
    <t>F3</t>
    <phoneticPr fontId="12" type="noConversion"/>
  </si>
  <si>
    <t>류지영</t>
    <phoneticPr fontId="12" type="noConversion"/>
  </si>
  <si>
    <t>D1</t>
    <phoneticPr fontId="12" type="noConversion"/>
  </si>
  <si>
    <t>D4</t>
    <phoneticPr fontId="12" type="noConversion"/>
  </si>
  <si>
    <t>D6</t>
    <phoneticPr fontId="12" type="noConversion"/>
  </si>
  <si>
    <t>E5</t>
    <phoneticPr fontId="12" type="noConversion"/>
  </si>
  <si>
    <t>J2</t>
    <phoneticPr fontId="12" type="noConversion"/>
  </si>
  <si>
    <t>V13</t>
    <phoneticPr fontId="12" type="noConversion"/>
  </si>
  <si>
    <t>마디나</t>
    <phoneticPr fontId="12" type="noConversion"/>
  </si>
  <si>
    <t>김남주</t>
    <phoneticPr fontId="12" type="noConversion"/>
  </si>
  <si>
    <t>A24</t>
    <phoneticPr fontId="12" type="noConversion"/>
  </si>
  <si>
    <t>C</t>
    <phoneticPr fontId="12" type="noConversion"/>
  </si>
  <si>
    <t>완료</t>
    <phoneticPr fontId="12" type="noConversion"/>
  </si>
  <si>
    <t>T32</t>
    <phoneticPr fontId="12" type="noConversion"/>
  </si>
  <si>
    <t>T46</t>
    <phoneticPr fontId="12" type="noConversion"/>
  </si>
  <si>
    <t>K1</t>
    <phoneticPr fontId="12" type="noConversion"/>
  </si>
  <si>
    <t>D1</t>
    <phoneticPr fontId="12" type="noConversion"/>
  </si>
  <si>
    <t>E3</t>
    <phoneticPr fontId="12" type="noConversion"/>
  </si>
  <si>
    <t>A25</t>
    <phoneticPr fontId="12" type="noConversion"/>
  </si>
  <si>
    <t>J2</t>
    <phoneticPr fontId="12" type="noConversion"/>
  </si>
  <si>
    <t>B104</t>
    <phoneticPr fontId="12" type="noConversion"/>
  </si>
  <si>
    <t>B105</t>
    <phoneticPr fontId="12" type="noConversion"/>
  </si>
  <si>
    <t>S1</t>
    <phoneticPr fontId="12" type="noConversion"/>
  </si>
  <si>
    <t>B24</t>
    <phoneticPr fontId="12" type="noConversion"/>
  </si>
  <si>
    <t>B91</t>
    <phoneticPr fontId="12" type="noConversion"/>
  </si>
  <si>
    <t>B95</t>
    <phoneticPr fontId="12" type="noConversion"/>
  </si>
  <si>
    <t>L3</t>
    <phoneticPr fontId="12" type="noConversion"/>
  </si>
  <si>
    <t>V12</t>
    <phoneticPr fontId="12" type="noConversion"/>
  </si>
  <si>
    <t>C</t>
    <phoneticPr fontId="12" type="noConversion"/>
  </si>
  <si>
    <t>김정은</t>
    <phoneticPr fontId="12" type="noConversion"/>
  </si>
  <si>
    <t>주경태</t>
    <phoneticPr fontId="12" type="noConversion"/>
  </si>
  <si>
    <t>손혜영</t>
    <phoneticPr fontId="12" type="noConversion"/>
  </si>
  <si>
    <t>공숙길</t>
    <phoneticPr fontId="12" type="noConversion"/>
  </si>
  <si>
    <t>이기섭</t>
    <phoneticPr fontId="12" type="noConversion"/>
  </si>
  <si>
    <t>김남주</t>
    <phoneticPr fontId="12" type="noConversion"/>
  </si>
  <si>
    <t>긴급</t>
    <phoneticPr fontId="12" type="noConversion"/>
  </si>
  <si>
    <t>완료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</si>
</sst>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_-;\-* #,##0_-;_-* &quot;-&quot;_-;_-@"/>
    <numFmt numFmtId="177" formatCode="yyyy\-mm\-dd"/>
    <numFmt numFmtId="178" formatCode="[$₩-412]#,##0"/>
    <numFmt numFmtId="179" formatCode="mm&quot;월&quot;\ dd&quot;일&quot;"/>
    <numFmt numFmtId="180" formatCode="0_);[Red]\(0\)"/>
  </numFmts>
  <fonts count="28">
    <font>
      <sz val="10"/>
      <color rgb="FF000000"/>
      <name val="Arial"/>
      <scheme val="minor"/>
    </font>
    <font>
      <sz val="10"/>
      <color rgb="FF000000"/>
      <name val="Dotum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한컴산뜻돋움"/>
      <family val="3"/>
      <charset val="129"/>
    </font>
    <font>
      <sz val="10"/>
      <color theme="1"/>
      <name val="Arial"/>
      <family val="2"/>
      <scheme val="minor"/>
    </font>
    <font>
      <b/>
      <sz val="10"/>
      <color rgb="FF000000"/>
      <name val="한컴산뜻돋움"/>
      <family val="3"/>
      <charset val="129"/>
    </font>
    <font>
      <sz val="10"/>
      <name val="Arial"/>
      <family val="2"/>
    </font>
    <font>
      <sz val="10"/>
      <color rgb="FF000000"/>
      <name val="맑은 고딕"/>
      <family val="3"/>
      <charset val="129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한컴산뜻돋움"/>
      <family val="3"/>
      <charset val="129"/>
    </font>
    <font>
      <sz val="11"/>
      <name val="Malgun Gothic"/>
      <family val="3"/>
      <charset val="129"/>
    </font>
    <font>
      <sz val="11"/>
      <name val="Arial"/>
      <family val="2"/>
    </font>
    <font>
      <sz val="11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charset val="129"/>
    </font>
    <font>
      <b/>
      <sz val="11"/>
      <color theme="1"/>
      <name val="Arial"/>
      <family val="3"/>
      <charset val="129"/>
      <scheme val="minor"/>
    </font>
    <font>
      <sz val="8"/>
      <name val="Arial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theme="1"/>
      <name val="한컴산뜻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Arial Unicode MS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rgb="FF9BE5C8"/>
        <bgColor rgb="FF9BE5C8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F4CC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3" fillId="0" borderId="0" applyFont="0" applyFill="0" applyBorder="0" applyAlignment="0" applyProtection="0">
      <alignment vertical="center"/>
    </xf>
  </cellStyleXfs>
  <cellXfs count="8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8" fontId="7" fillId="0" borderId="9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78" fontId="9" fillId="0" borderId="9" xfId="0" applyNumberFormat="1" applyFont="1" applyBorder="1" applyAlignment="1">
      <alignment horizontal="right" vertical="center" wrapText="1"/>
    </xf>
    <xf numFmtId="0" fontId="14" fillId="10" borderId="6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1" fontId="16" fillId="0" borderId="0" xfId="1" applyFont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4" fillId="10" borderId="7" xfId="0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41" fontId="7" fillId="0" borderId="9" xfId="1" applyFont="1" applyBorder="1" applyAlignment="1">
      <alignment horizontal="right" vertical="center"/>
    </xf>
    <xf numFmtId="0" fontId="9" fillId="8" borderId="4" xfId="0" applyFont="1" applyFill="1" applyBorder="1" applyAlignment="1">
      <alignment horizontal="center" vertical="center" wrapText="1"/>
    </xf>
    <xf numFmtId="177" fontId="7" fillId="12" borderId="9" xfId="0" applyNumberFormat="1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1" fontId="0" fillId="0" borderId="0" xfId="0" applyNumberFormat="1" applyAlignment="1">
      <alignment vertical="center"/>
    </xf>
    <xf numFmtId="0" fontId="1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77" fontId="25" fillId="12" borderId="9" xfId="0" applyNumberFormat="1" applyFont="1" applyFill="1" applyBorder="1" applyAlignment="1">
      <alignment horizontal="center" vertical="center"/>
    </xf>
    <xf numFmtId="0" fontId="25" fillId="12" borderId="9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center" vertical="center" wrapText="1"/>
    </xf>
    <xf numFmtId="177" fontId="7" fillId="14" borderId="9" xfId="0" applyNumberFormat="1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41" fontId="7" fillId="14" borderId="9" xfId="1" applyFont="1" applyFill="1" applyBorder="1" applyAlignment="1">
      <alignment horizontal="right" vertical="center"/>
    </xf>
    <xf numFmtId="0" fontId="7" fillId="14" borderId="9" xfId="0" applyFont="1" applyFill="1" applyBorder="1" applyAlignment="1">
      <alignment vertical="center"/>
    </xf>
    <xf numFmtId="178" fontId="7" fillId="14" borderId="9" xfId="0" applyNumberFormat="1" applyFont="1" applyFill="1" applyBorder="1" applyAlignment="1">
      <alignment vertical="center"/>
    </xf>
    <xf numFmtId="0" fontId="0" fillId="14" borderId="0" xfId="0" applyFill="1" applyAlignment="1">
      <alignment vertical="center"/>
    </xf>
    <xf numFmtId="0" fontId="1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rban" refreshedDate="46062.746956597221" createdVersion="7" refreshedVersion="7" minRefreshableVersion="3" recordCount="124" xr:uid="{FDCCB03D-6CFC-41BF-943A-C7D55E7CBD72}">
  <cacheSource type="worksheet">
    <worksheetSource ref="A2:N2" sheet="이번주"/>
  </cacheSource>
  <cacheFields count="17">
    <cacheField name="청소일자" numFmtId="177">
      <sharedItems containsNonDate="0" containsDate="1" containsString="0" containsBlank="1" minDate="2026-02-02T00:00:00" maxDate="2026-02-10T00:00:00"/>
    </cacheField>
    <cacheField name="요일" numFmtId="0">
      <sharedItems/>
    </cacheField>
    <cacheField name="코드" numFmtId="0">
      <sharedItems count="33">
        <s v="T46"/>
        <s v="U83"/>
        <s v="A62"/>
        <s v="B36"/>
        <s v="B54"/>
        <s v="B56"/>
        <s v="B64"/>
        <s v="D1"/>
        <s v="D6"/>
        <s v="E1"/>
        <s v="F2"/>
        <s v="C"/>
        <s v="T51"/>
        <s v="B24"/>
        <s v="D3"/>
        <s v="D8"/>
        <s v="V13"/>
        <s v="B46"/>
        <s v="V12"/>
        <s v="E5"/>
        <s v="A72"/>
        <s v="L2"/>
        <s v="G2"/>
        <s v="H42"/>
        <s v="L3"/>
        <s v="L5"/>
        <s v="T66"/>
        <s v="A33"/>
        <s v="E4"/>
        <s v="H21"/>
        <s v="A92"/>
        <s v="K4"/>
        <s v="I2"/>
      </sharedItems>
    </cacheField>
    <cacheField name="숙소명" numFmtId="0">
      <sharedItems/>
    </cacheField>
    <cacheField name="수" numFmtId="0">
      <sharedItems containsMixedTypes="1" containsNumber="1" minValue="0" maxValue="3"/>
    </cacheField>
    <cacheField name="수2" numFmtId="0">
      <sharedItems/>
    </cacheField>
    <cacheField name="Q" numFmtId="0">
      <sharedItems/>
    </cacheField>
    <cacheField name="SS" numFmtId="0">
      <sharedItems/>
    </cacheField>
    <cacheField name="담당" numFmtId="0">
      <sharedItems count="11">
        <s v="공숙길"/>
        <s v="김정은"/>
        <s v="류지영"/>
        <s v="마디나"/>
        <s v="박연실"/>
        <s v="유민정"/>
        <s v="오재관"/>
        <s v="김정한"/>
        <s v="이기섭"/>
        <s v="장미숙"/>
        <s v="김민주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10000" maxValue="38500"/>
    </cacheField>
    <cacheField name="기본비" numFmtId="0">
      <sharedItems containsSemiMixedTypes="0" containsString="0" containsNumber="1" containsInteger="1" minValue="10000" maxValue="30000"/>
    </cacheField>
    <cacheField name="추가비" numFmtId="0">
      <sharedItems containsString="0" containsBlank="1" containsNumber="1" containsInteger="1" minValue="3000" maxValue="10000"/>
    </cacheField>
    <cacheField name="침구 관리" numFmtId="178">
      <sharedItems containsNonDate="0" containsString="0" containsBlank="1"/>
    </cacheField>
    <cacheField name="물품 구입" numFmtId="0">
      <sharedItems containsString="0" containsBlank="1" containsNumber="1" containsInteger="1" minValue="20500" maxValue="2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069.897934837965" createdVersion="8" refreshedVersion="8" minRefreshableVersion="3" recordCount="127" xr:uid="{FC22B715-20A9-47AD-ADA7-59E96343FFAE}">
  <cacheSource type="worksheet">
    <worksheetSource ref="A3:R129" sheet="주단위 정산용"/>
  </cacheSource>
  <cacheFields count="18">
    <cacheField name="청소일자" numFmtId="177">
      <sharedItems containsSemiMixedTypes="0" containsNonDate="0" containsDate="1" containsString="0" minDate="2026-02-10T00:00:00" maxDate="2026-02-17T00:00:00" count="7">
        <d v="2026-02-10T00:00:00"/>
        <d v="2026-02-11T00:00:00"/>
        <d v="2026-02-12T00:00:00"/>
        <d v="2026-02-13T00:00:00"/>
        <d v="2026-02-14T00:00:00"/>
        <d v="2026-02-15T00:00:00"/>
        <d v="2026-02-16T00:00:00"/>
      </sharedItems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수2" numFmtId="0">
      <sharedItems/>
    </cacheField>
    <cacheField name="Q" numFmtId="0">
      <sharedItems/>
    </cacheField>
    <cacheField name="SS" numFmtId="0">
      <sharedItems/>
    </cacheField>
    <cacheField name="담당" numFmtId="0">
      <sharedItems count="10">
        <s v="김정은"/>
        <s v="마디나"/>
        <s v="오재관"/>
        <s v="박연실"/>
        <s v="유민정"/>
        <s v="류지영"/>
        <s v="공숙길"/>
        <s v="이기섭"/>
        <s v="김정한"/>
        <s v="장미숙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/>
    </cacheField>
    <cacheField name="총 금액(B)" numFmtId="41">
      <sharedItems containsSemiMixedTypes="0" containsString="0" containsNumber="1" containsInteger="1" minValue="10000" maxValue="50000"/>
    </cacheField>
    <cacheField name="기본비" numFmtId="0">
      <sharedItems containsMixedTypes="1" containsNumber="1" containsInteger="1" minValue="10000" maxValue="30000"/>
    </cacheField>
    <cacheField name="추가비" numFmtId="0">
      <sharedItems containsString="0" containsBlank="1" containsNumber="1" containsInteger="1" minValue="2000" maxValue="10000"/>
    </cacheField>
    <cacheField name="침구 관리" numFmtId="178">
      <sharedItems containsNonDate="0" containsString="0" containsBlank="1"/>
    </cacheField>
    <cacheField name="물품 구입" numFmtId="0">
      <sharedItems containsString="0" containsBlank="1" containsNumber="1" containsInteger="1" minValue="4000" maxValue="30500"/>
    </cacheField>
    <cacheField name="백업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076.734829629633" createdVersion="7" refreshedVersion="7" minRefreshableVersion="3" recordCount="122" xr:uid="{24DF26CF-9C67-4FD1-A3E1-0BA8D75AF37B}">
  <cacheSource type="worksheet">
    <worksheetSource ref="A2:M124" sheet="주단위 정산용"/>
  </cacheSource>
  <cacheFields count="13">
    <cacheField name="청소일자" numFmtId="177">
      <sharedItems containsSemiMixedTypes="0" containsNonDate="0" containsDate="1" containsString="0" minDate="2026-02-17T00:00:00" maxDate="2026-02-24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3">
        <s v="류지영"/>
        <s v="김정한"/>
        <s v="마디나"/>
        <s v="김정은"/>
        <s v="박연실"/>
        <s v="이기섭"/>
        <s v="공숙길"/>
        <s v="김민주"/>
        <s v="황월규"/>
        <s v="오재관"/>
        <s v="유민정"/>
        <s v="장미숙"/>
        <s v="마니다" u="1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10000" maxValue="40000"/>
    </cacheField>
    <cacheField name="기본비" numFmtId="0">
      <sharedItems containsSemiMixedTypes="0" containsString="0" containsNumber="1" containsInteger="1" minValue="10000" maxValue="30000"/>
    </cacheField>
    <cacheField name="추가비" numFmtId="0">
      <sharedItems containsString="0" containsBlank="1" containsNumber="1" containsInteger="1" minValue="2000" maxValue="7000"/>
    </cacheField>
    <cacheField name="물품 구입" numFmtId="0">
      <sharedItems containsString="0" containsBlank="1" containsNumber="1" containsInteger="1" minValue="40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083.78109236111" createdVersion="8" refreshedVersion="8" minRefreshableVersion="3" recordCount="98" xr:uid="{FEC3638F-A7E2-4A8F-96FF-B30A1640909B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2-24T00:00:00" maxDate="2026-03-03T00:00:00"/>
    </cacheField>
    <cacheField name="요일" numFmtId="0">
      <sharedItems/>
    </cacheField>
    <cacheField name="코드" numFmtId="0">
      <sharedItems containsBlank="1"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0">
        <s v="류지영"/>
        <s v="마디나"/>
        <s v="공숙길"/>
        <s v="김정은"/>
        <s v="박연실"/>
        <s v="유민정"/>
        <s v="김남주"/>
        <s v="김정한"/>
        <s v="이기섭"/>
        <s v="강수미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/>
    </cacheField>
    <cacheField name="총 금액(B)" numFmtId="41">
      <sharedItems containsSemiMixedTypes="0" containsString="0" containsNumber="1" containsInteger="1" minValue="10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091.016665856485" createdVersion="8" refreshedVersion="8" minRefreshableVersion="3" recordCount="79" xr:uid="{7CB2B5C4-E053-47E5-A790-02AFDDA4A4E9}">
  <cacheSource type="worksheet">
    <worksheetSource ref="A2:L2" sheet="이번주"/>
  </cacheSource>
  <cacheFields count="12">
    <cacheField name="청소일자" numFmtId="177">
      <sharedItems containsSemiMixedTypes="0" containsNonDate="0" containsDate="1" containsString="0" minDate="2026-03-03T00:00:00" maxDate="2026-03-10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0">
        <s v="마디나"/>
        <s v="공숙길"/>
        <s v="박연실"/>
        <s v="김우현"/>
        <s v="김정은"/>
        <s v="김정한"/>
        <s v="이기섭"/>
        <s v="류지영"/>
        <s v="김남주"/>
        <s v="유민정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10000" maxValue="35000"/>
    </cacheField>
    <cacheField name="기본비" numFmtId="0">
      <sharedItems containsSemiMixedTypes="0" containsString="0" containsNumber="1" containsInteger="1" minValue="10000" maxValue="30000"/>
    </cacheField>
    <cacheField name="추가비" numFmtId="0">
      <sharedItems containsString="0" containsBlank="1" containsNumber="1" containsInteger="1" minValue="50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098.464086574073" createdVersion="7" refreshedVersion="7" minRefreshableVersion="3" recordCount="84" xr:uid="{E072DD2E-7AAD-47D1-8973-0EF8FEF30223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3-10T00:00:00" maxDate="2026-03-17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1">
        <s v="김정은"/>
        <s v="공숙길"/>
        <s v="류지영"/>
        <s v="박연실"/>
        <s v="김우현"/>
        <s v="마디나"/>
        <s v="이기섭"/>
        <s v="김정한"/>
        <s v="유민정"/>
        <s v="김남주"/>
        <s v="장미숙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/>
    </cacheField>
    <cacheField name="총 금액(B)" numFmtId="41">
      <sharedItems containsSemiMixedTypes="0" containsString="0" containsNumber="1" containsInteger="1" minValue="10000" maxValue="3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04.743275462963" createdVersion="7" refreshedVersion="7" minRefreshableVersion="3" recordCount="77" xr:uid="{7A78B9CB-388E-4FC6-B2F5-179428B5712D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3-17T00:00:00" maxDate="2026-03-24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0">
        <s v="박연실"/>
        <s v="유민정"/>
        <s v="공숙길"/>
        <s v="마디나"/>
        <s v="김정한"/>
        <s v="류지영"/>
        <s v="김정은"/>
        <s v="이기섭"/>
        <s v="김남주"/>
        <s v="강수미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10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11.796364351852" createdVersion="8" refreshedVersion="8" minRefreshableVersion="3" recordCount="85" xr:uid="{05216281-C840-4A79-9DDB-9817BBE1A34A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3-24T00:00:00" maxDate="2026-03-31T00:00:00"/>
    </cacheField>
    <cacheField name="요일" numFmtId="0">
      <sharedItems/>
    </cacheField>
    <cacheField name="코드" numFmtId="0">
      <sharedItems containsBlank="1"/>
    </cacheField>
    <cacheField name="숙소명" numFmtId="0">
      <sharedItems/>
    </cacheField>
    <cacheField name="수" numFmtId="0">
      <sharedItems containsBlank="1" containsMixedTypes="1" containsNumber="1" minValue="0" maxValue="3"/>
    </cacheField>
    <cacheField name="담당" numFmtId="0">
      <sharedItems count="11">
        <s v="공숙길"/>
        <s v="마디나"/>
        <s v="박연실"/>
        <s v="김정은"/>
        <s v="유민정"/>
        <s v="김남주"/>
        <s v="김정한"/>
        <s v="류지영"/>
        <s v="김우현"/>
        <s v="강수미"/>
        <s v="이기섭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100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18.767968749999" createdVersion="7" refreshedVersion="7" minRefreshableVersion="3" recordCount="76" xr:uid="{E35FB39B-D23F-40D7-89BF-0133C4686E7E}">
  <cacheSource type="worksheet">
    <worksheetSource ref="A2:L2" sheet="이번주"/>
  </cacheSource>
  <cacheFields count="12">
    <cacheField name="청소일자" numFmtId="177">
      <sharedItems containsSemiMixedTypes="0" containsNonDate="0" containsDate="1" containsString="0" minDate="2026-03-31T00:00:00" maxDate="2026-04-07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9">
        <s v="마디나"/>
        <s v="김정한"/>
        <s v="김정은"/>
        <s v="공숙길"/>
        <s v="박연실"/>
        <s v="유민정"/>
        <s v="김남주"/>
        <s v="김우현"/>
        <s v="류지영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/>
    </cacheField>
    <cacheField name="총 금액(B)" numFmtId="41">
      <sharedItems containsSemiMixedTypes="0" containsString="0" containsNumber="1" containsInteger="1" minValue="10000" maxValue="39500"/>
    </cacheField>
    <cacheField name="기본비" numFmtId="0">
      <sharedItems containsSemiMixedTypes="0" containsString="0" containsNumber="1" containsInteger="1" minValue="10000" maxValue="30000"/>
    </cacheField>
    <cacheField name="추가비" numFmtId="0">
      <sharedItems containsString="0" containsBlank="1" containsNumber="1" containsInteger="1" minValue="50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26.031120254629" createdVersion="8" refreshedVersion="8" minRefreshableVersion="3" recordCount="78" xr:uid="{583CA466-E261-4D42-A8E4-870EAE97E1CE}">
  <cacheSource type="worksheet">
    <worksheetSource ref="A2:K2" sheet="이번주"/>
  </cacheSource>
  <cacheFields count="11">
    <cacheField name="청소일자" numFmtId="177">
      <sharedItems containsSemiMixedTypes="0" containsNonDate="0" containsDate="1" containsString="0" minDate="2026-04-07T00:00:00" maxDate="2026-04-14T00:00:00"/>
    </cacheField>
    <cacheField name="요일" numFmtId="0">
      <sharedItems/>
    </cacheField>
    <cacheField name="코드" numFmtId="0">
      <sharedItems/>
    </cacheField>
    <cacheField name="숙소명" numFmtId="0">
      <sharedItems count="37">
        <s v="예건 205"/>
        <s v="예건 702"/>
        <s v="더하임 1006"/>
        <s v="더하임 506"/>
        <s v="청광3차 806"/>
        <s v="강동QV 1604"/>
        <s v="센텀 2차 406"/>
        <s v="센텀 2차 606"/>
        <s v="하람휴 1102"/>
        <s v="대치동 103호"/>
        <s v="청광1차 207"/>
        <s v="청광3차 1412"/>
        <s v="더하임 901"/>
        <s v="렘브 204"/>
        <s v="동구햇살 1203"/>
        <s v="하람휴 1001"/>
        <s v="성우 501"/>
        <s v="예건 602"/>
        <s v="성우 204"/>
        <s v="더하임 1005"/>
        <s v="더하임 202"/>
        <s v="센텀 2차 501"/>
        <s v="오앤 401"/>
        <s v="대치동 101호"/>
        <s v="더하임 205"/>
        <s v="성우 304"/>
        <s v="si 602"/>
        <s v="오금스타 205"/>
        <s v="청광3차 1416"/>
        <s v="렘브 505"/>
        <s v="성우 402"/>
        <s v="대치동 102호"/>
        <s v="예건 303"/>
        <s v="르센티 1801"/>
        <s v="더하임 1003"/>
        <s v="더하임 1004"/>
        <s v="더하임 903"/>
      </sharedItems>
    </cacheField>
    <cacheField name="수" numFmtId="0">
      <sharedItems containsMixedTypes="1" containsNumber="1" minValue="0" maxValue="3"/>
    </cacheField>
    <cacheField name="담당" numFmtId="0">
      <sharedItems count="8">
        <s v="김정은"/>
        <s v="박연실"/>
        <s v="공숙길"/>
        <s v="마디나"/>
        <s v="이기섭"/>
        <s v="김남주"/>
        <s v="유민정"/>
        <s v="류지영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/>
    </cacheField>
    <cacheField name="총 금액(B)" numFmtId="41">
      <sharedItems containsSemiMixedTypes="0" containsString="0" containsNumber="1" containsInteger="1" minValue="5000" maxValue="30000"/>
    </cacheField>
    <cacheField name="기본비" numFmtId="0">
      <sharedItems containsSemiMixedTypes="0" containsString="0" containsNumber="1" containsInteger="1" minValue="10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32.962187384263" createdVersion="8" refreshedVersion="8" minRefreshableVersion="3" recordCount="109" xr:uid="{F0111F04-2A32-422E-89DE-9BACDE450BF2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4-14T00:00:00" maxDate="2026-04-21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0">
        <s v="김정한"/>
        <s v="유민정"/>
        <s v="공숙길"/>
        <s v="김정은"/>
        <s v="마디나"/>
        <s v="김남주"/>
        <s v="박연실"/>
        <s v="이기섭"/>
        <s v="류지영"/>
        <s v="강수미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/>
    </cacheField>
    <cacheField name="총 금액(B)" numFmtId="41">
      <sharedItems containsSemiMixedTypes="0" containsString="0" containsNumber="1" containsInteger="1" minValue="500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39.817108449075" createdVersion="8" refreshedVersion="8" minRefreshableVersion="3" recordCount="95" xr:uid="{E7A1DEA4-3B9E-4667-9DA7-26C7CD04CB4B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4-21T00:00:00" maxDate="2026-04-28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2">
        <s v="박연실"/>
        <s v="김정은"/>
        <s v="김정한"/>
        <s v="마디나"/>
        <s v="공숙길"/>
        <s v="이기섭"/>
        <s v="김남주"/>
        <s v="박금주"/>
        <s v="손혜영"/>
        <s v="주경태"/>
        <s v="유민정"/>
        <s v="류지영"/>
      </sharedItems>
    </cacheField>
    <cacheField name="체크사항/요구사항" numFmtId="0">
      <sharedItems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10000" maxValue="3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우현" refreshedDate="46146.798078935186" createdVersion="8" refreshedVersion="8" minRefreshableVersion="3" recordCount="91" xr:uid="{2CE1B797-F07E-4020-9F08-70AE8366C962}">
  <cacheSource type="worksheet">
    <worksheetSource ref="A2:J2" sheet="이번주"/>
  </cacheSource>
  <cacheFields count="10">
    <cacheField name="청소일자" numFmtId="177">
      <sharedItems containsSemiMixedTypes="0" containsNonDate="0" containsDate="1" containsString="0" minDate="2026-04-28T00:00:00" maxDate="2026-05-05T00:00:00"/>
    </cacheField>
    <cacheField name="요일" numFmtId="0">
      <sharedItems/>
    </cacheField>
    <cacheField name="코드" numFmtId="0">
      <sharedItems/>
    </cacheField>
    <cacheField name="숙소명" numFmtId="0">
      <sharedItems/>
    </cacheField>
    <cacheField name="수" numFmtId="0">
      <sharedItems containsMixedTypes="1" containsNumber="1" minValue="0" maxValue="3"/>
    </cacheField>
    <cacheField name="담당" numFmtId="0">
      <sharedItems count="10">
        <s v="박연실"/>
        <s v="손혜영"/>
        <s v="주경태"/>
        <s v="김정은"/>
        <s v="공숙길"/>
        <s v="마디나"/>
        <s v="이기섭"/>
        <s v="김남주"/>
        <s v="김우현"/>
        <s v="김정한"/>
      </sharedItems>
    </cacheField>
    <cacheField name="체크사항/요구사항" numFmtId="0">
      <sharedItems containsNonDate="0" containsString="0" containsBlank="1"/>
    </cacheField>
    <cacheField name="입금체크" numFmtId="0">
      <sharedItems containsNonDate="0" containsString="0" containsBlank="1"/>
    </cacheField>
    <cacheField name="입력체크" numFmtId="0">
      <sharedItems containsBlank="1"/>
    </cacheField>
    <cacheField name="총 금액(B)" numFmtId="41">
      <sharedItems containsSemiMixedTypes="0" containsString="0" containsNumber="1" containsInteger="1" minValue="5000" maxValue="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d v="2026-02-02T00:00:00"/>
    <s v="월"/>
    <x v="0"/>
    <s v="센텀 2차 406"/>
    <n v="1.5"/>
    <e v="#REF!"/>
    <e v="#REF!"/>
    <e v="#REF!"/>
    <x v="0"/>
    <s v="기상악화"/>
    <m/>
    <s v="완료"/>
    <n v="25000"/>
    <n v="20000"/>
    <n v="5000"/>
    <m/>
    <m/>
  </r>
  <r>
    <d v="2026-02-02T00:00:00"/>
    <s v="월"/>
    <x v="1"/>
    <s v="성우 803"/>
    <n v="3"/>
    <e v="#REF!"/>
    <e v="#REF!"/>
    <e v="#REF!"/>
    <x v="1"/>
    <s v="기상악화, 세면대 고장"/>
    <m/>
    <s v="완료"/>
    <n v="35000"/>
    <n v="30000"/>
    <n v="5000"/>
    <m/>
    <m/>
  </r>
  <r>
    <d v="2026-02-02T00:00:00"/>
    <s v="월"/>
    <x v="2"/>
    <s v="예건 602"/>
    <n v="1"/>
    <e v="#REF!"/>
    <e v="#REF!"/>
    <e v="#REF!"/>
    <x v="1"/>
    <m/>
    <m/>
    <s v="완료"/>
    <n v="18000"/>
    <n v="18000"/>
    <m/>
    <m/>
    <m/>
  </r>
  <r>
    <d v="2026-02-02T00:00:00"/>
    <s v="월"/>
    <x v="3"/>
    <s v="더하임 306"/>
    <n v="1.5"/>
    <e v="#REF!"/>
    <e v="#REF!"/>
    <e v="#REF!"/>
    <x v="2"/>
    <s v="기상악화"/>
    <m/>
    <s v="완료"/>
    <n v="25000"/>
    <n v="20000"/>
    <n v="5000"/>
    <m/>
    <m/>
  </r>
  <r>
    <d v="2026-02-02T00:00:00"/>
    <s v="월"/>
    <x v="4"/>
    <s v="더하임 504"/>
    <n v="1"/>
    <e v="#REF!"/>
    <e v="#REF!"/>
    <e v="#REF!"/>
    <x v="2"/>
    <m/>
    <m/>
    <s v="완료"/>
    <n v="18000"/>
    <n v="18000"/>
    <m/>
    <m/>
    <m/>
  </r>
  <r>
    <d v="2026-02-02T00:00:00"/>
    <s v="월"/>
    <x v="5"/>
    <s v="더하임 506"/>
    <n v="1.5"/>
    <e v="#REF!"/>
    <e v="#REF!"/>
    <e v="#REF!"/>
    <x v="2"/>
    <m/>
    <m/>
    <s v="완료"/>
    <n v="20000"/>
    <n v="20000"/>
    <m/>
    <m/>
    <m/>
  </r>
  <r>
    <d v="2026-02-02T00:00:00"/>
    <s v="월"/>
    <x v="6"/>
    <s v="더하임 604"/>
    <n v="1"/>
    <e v="#REF!"/>
    <e v="#REF!"/>
    <e v="#REF!"/>
    <x v="2"/>
    <m/>
    <m/>
    <s v="완료"/>
    <n v="18000"/>
    <n v="18000"/>
    <m/>
    <m/>
    <m/>
  </r>
  <r>
    <d v="2026-02-02T00:00:00"/>
    <s v="월"/>
    <x v="7"/>
    <s v="청광3차 1416"/>
    <n v="1"/>
    <e v="#REF!"/>
    <e v="#REF!"/>
    <e v="#REF!"/>
    <x v="3"/>
    <s v="기상악화"/>
    <m/>
    <s v="완료"/>
    <n v="23000"/>
    <n v="18000"/>
    <n v="5000"/>
    <m/>
    <m/>
  </r>
  <r>
    <d v="2026-02-02T00:00:00"/>
    <s v="월"/>
    <x v="8"/>
    <s v="청광3차 1412"/>
    <n v="1"/>
    <e v="#REF!"/>
    <e v="#REF!"/>
    <e v="#REF!"/>
    <x v="3"/>
    <m/>
    <m/>
    <s v="완료"/>
    <n v="18000"/>
    <n v="18000"/>
    <m/>
    <m/>
    <m/>
  </r>
  <r>
    <d v="2026-02-02T00:00:00"/>
    <s v="월"/>
    <x v="9"/>
    <s v="르센티 1801"/>
    <s v="복"/>
    <e v="#REF!"/>
    <e v="#REF!"/>
    <e v="#REF!"/>
    <x v="4"/>
    <s v="기상악화"/>
    <m/>
    <s v="완료"/>
    <n v="25000"/>
    <n v="20000"/>
    <n v="5000"/>
    <m/>
    <m/>
  </r>
  <r>
    <d v="2026-02-02T00:00:00"/>
    <s v="월"/>
    <x v="10"/>
    <s v="오앤 401"/>
    <n v="1"/>
    <e v="#REF!"/>
    <e v="#REF!"/>
    <e v="#REF!"/>
    <x v="4"/>
    <m/>
    <m/>
    <s v="완료"/>
    <n v="18000"/>
    <n v="18000"/>
    <m/>
    <m/>
    <m/>
  </r>
  <r>
    <d v="2026-02-02T00:00:00"/>
    <s v="월"/>
    <x v="11"/>
    <s v="청광1차 207"/>
    <n v="0"/>
    <e v="#REF!"/>
    <e v="#REF!"/>
    <e v="#REF!"/>
    <x v="4"/>
    <m/>
    <m/>
    <s v="완료"/>
    <n v="10000"/>
    <n v="10000"/>
    <m/>
    <m/>
    <m/>
  </r>
  <r>
    <d v="2026-02-03T00:00:00"/>
    <s v="화"/>
    <x v="12"/>
    <s v="센텀 2차 501"/>
    <n v="1.5"/>
    <e v="#REF!"/>
    <e v="#REF!"/>
    <e v="#REF!"/>
    <x v="1"/>
    <m/>
    <m/>
    <s v="완료"/>
    <n v="20000"/>
    <n v="20000"/>
    <m/>
    <m/>
    <m/>
  </r>
  <r>
    <d v="2026-02-03T00:00:00"/>
    <s v="화"/>
    <x v="2"/>
    <s v="예건 602"/>
    <n v="1"/>
    <e v="#REF!"/>
    <e v="#REF!"/>
    <e v="#REF!"/>
    <x v="1"/>
    <s v="침대 수리필요"/>
    <m/>
    <s v="완료"/>
    <n v="18000"/>
    <n v="18000"/>
    <m/>
    <m/>
    <m/>
  </r>
  <r>
    <d v="2026-02-03T00:00:00"/>
    <s v="화"/>
    <x v="13"/>
    <s v="더하임 204"/>
    <n v="1"/>
    <e v="#REF!"/>
    <e v="#REF!"/>
    <e v="#REF!"/>
    <x v="2"/>
    <m/>
    <m/>
    <s v="완료"/>
    <n v="18000"/>
    <n v="18000"/>
    <m/>
    <m/>
    <m/>
  </r>
  <r>
    <d v="2026-02-03T00:00:00"/>
    <s v="화"/>
    <x v="4"/>
    <s v="더하임 504"/>
    <n v="1"/>
    <e v="#REF!"/>
    <e v="#REF!"/>
    <e v="#REF!"/>
    <x v="2"/>
    <m/>
    <m/>
    <s v="완료"/>
    <n v="18000"/>
    <n v="18000"/>
    <m/>
    <m/>
    <m/>
  </r>
  <r>
    <d v="2026-02-03T00:00:00"/>
    <s v="화"/>
    <x v="6"/>
    <s v="더하임 604"/>
    <n v="1"/>
    <e v="#REF!"/>
    <e v="#REF!"/>
    <e v="#REF!"/>
    <x v="2"/>
    <m/>
    <m/>
    <s v="완료"/>
    <n v="18000"/>
    <n v="18000"/>
    <m/>
    <m/>
    <m/>
  </r>
  <r>
    <d v="2026-02-03T00:00:00"/>
    <s v="화"/>
    <x v="14"/>
    <s v="청광3차 507"/>
    <n v="1"/>
    <e v="#REF!"/>
    <e v="#REF!"/>
    <e v="#REF!"/>
    <x v="5"/>
    <m/>
    <m/>
    <s v="완료"/>
    <n v="18000"/>
    <n v="18000"/>
    <m/>
    <m/>
    <m/>
  </r>
  <r>
    <d v="2026-02-03T00:00:00"/>
    <s v="화"/>
    <x v="8"/>
    <s v="청광3차 1412"/>
    <n v="1"/>
    <e v="#REF!"/>
    <e v="#REF!"/>
    <e v="#REF!"/>
    <x v="5"/>
    <m/>
    <m/>
    <s v="완료"/>
    <n v="18000"/>
    <n v="18000"/>
    <m/>
    <m/>
    <m/>
  </r>
  <r>
    <d v="2026-02-03T00:00:00"/>
    <s v="화"/>
    <x v="15"/>
    <s v="강동QV 1604"/>
    <n v="1"/>
    <e v="#REF!"/>
    <e v="#REF!"/>
    <e v="#REF!"/>
    <x v="0"/>
    <m/>
    <m/>
    <s v="완료"/>
    <n v="18000"/>
    <n v="18000"/>
    <m/>
    <m/>
    <m/>
  </r>
  <r>
    <d v="2026-02-03T00:00:00"/>
    <s v="화"/>
    <x v="9"/>
    <s v="르센티 1801"/>
    <s v="복"/>
    <e v="#REF!"/>
    <e v="#REF!"/>
    <e v="#REF!"/>
    <x v="0"/>
    <m/>
    <m/>
    <s v="완료"/>
    <n v="20000"/>
    <n v="20000"/>
    <m/>
    <m/>
    <m/>
  </r>
  <r>
    <d v="2026-02-03T00:00:00"/>
    <s v="화"/>
    <x v="10"/>
    <s v="오앤 401"/>
    <n v="1"/>
    <e v="#REF!"/>
    <e v="#REF!"/>
    <e v="#REF!"/>
    <x v="4"/>
    <m/>
    <m/>
    <s v="완료"/>
    <n v="18000"/>
    <n v="18000"/>
    <m/>
    <m/>
    <m/>
  </r>
  <r>
    <d v="2026-02-03T00:00:00"/>
    <s v="화"/>
    <x v="11"/>
    <s v="청광1차 207"/>
    <n v="0"/>
    <e v="#REF!"/>
    <e v="#REF!"/>
    <e v="#REF!"/>
    <x v="4"/>
    <m/>
    <m/>
    <s v="완료"/>
    <n v="10000"/>
    <n v="10000"/>
    <m/>
    <m/>
    <m/>
  </r>
  <r>
    <d v="2026-02-04T00:00:00"/>
    <s v="수"/>
    <x v="16"/>
    <s v="대치동 103호"/>
    <n v="1.5"/>
    <e v="#REF!"/>
    <e v="#REF!"/>
    <e v="#REF!"/>
    <x v="6"/>
    <m/>
    <m/>
    <s v="완료"/>
    <n v="20000"/>
    <n v="20000"/>
    <m/>
    <m/>
    <m/>
  </r>
  <r>
    <d v="2026-02-04T00:00:00"/>
    <s v="수"/>
    <x v="0"/>
    <s v="센텀 2차 406"/>
    <n v="1.5"/>
    <e v="#REF!"/>
    <e v="#REF!"/>
    <e v="#REF!"/>
    <x v="3"/>
    <m/>
    <m/>
    <s v="완료"/>
    <n v="20000"/>
    <n v="20000"/>
    <m/>
    <m/>
    <m/>
  </r>
  <r>
    <d v="2026-02-04T00:00:00"/>
    <s v="수"/>
    <x v="12"/>
    <s v="센텀 2차 501"/>
    <n v="1.5"/>
    <e v="#REF!"/>
    <e v="#REF!"/>
    <e v="#REF!"/>
    <x v="3"/>
    <m/>
    <m/>
    <s v="완료"/>
    <n v="20000"/>
    <n v="20000"/>
    <m/>
    <m/>
    <m/>
  </r>
  <r>
    <d v="2026-02-04T00:00:00"/>
    <s v="수"/>
    <x v="2"/>
    <s v="예건 602"/>
    <n v="1"/>
    <e v="#REF!"/>
    <e v="#REF!"/>
    <e v="#REF!"/>
    <x v="0"/>
    <m/>
    <m/>
    <s v="완료"/>
    <n v="18000"/>
    <n v="18000"/>
    <m/>
    <m/>
    <m/>
  </r>
  <r>
    <d v="2026-02-04T00:00:00"/>
    <s v="수"/>
    <x v="13"/>
    <s v="더하임 204"/>
    <n v="1"/>
    <e v="#REF!"/>
    <e v="#REF!"/>
    <e v="#REF!"/>
    <x v="2"/>
    <m/>
    <m/>
    <s v="완료"/>
    <n v="18000"/>
    <n v="18000"/>
    <m/>
    <m/>
    <m/>
  </r>
  <r>
    <d v="2026-02-04T00:00:00"/>
    <s v="수"/>
    <x v="3"/>
    <s v="더하임 306"/>
    <n v="1.5"/>
    <e v="#REF!"/>
    <e v="#REF!"/>
    <e v="#REF!"/>
    <x v="2"/>
    <m/>
    <m/>
    <s v="완료"/>
    <n v="20000"/>
    <n v="20000"/>
    <m/>
    <m/>
    <m/>
  </r>
  <r>
    <d v="2026-02-04T00:00:00"/>
    <s v="수"/>
    <x v="17"/>
    <s v="더하임 406"/>
    <n v="1.5"/>
    <e v="#REF!"/>
    <e v="#REF!"/>
    <e v="#REF!"/>
    <x v="2"/>
    <m/>
    <m/>
    <s v="완료"/>
    <n v="20000"/>
    <n v="20000"/>
    <m/>
    <m/>
    <m/>
  </r>
  <r>
    <d v="2026-02-04T00:00:00"/>
    <s v="수"/>
    <x v="4"/>
    <s v="더하임 504"/>
    <n v="1"/>
    <e v="#REF!"/>
    <e v="#REF!"/>
    <e v="#REF!"/>
    <x v="2"/>
    <m/>
    <m/>
    <s v="완료"/>
    <n v="18000"/>
    <n v="18000"/>
    <m/>
    <m/>
    <m/>
  </r>
  <r>
    <d v="2026-02-04T00:00:00"/>
    <s v="수"/>
    <x v="10"/>
    <s v="오앤 401"/>
    <n v="1"/>
    <e v="#REF!"/>
    <e v="#REF!"/>
    <e v="#REF!"/>
    <x v="4"/>
    <m/>
    <m/>
    <s v="완료"/>
    <n v="18000"/>
    <n v="18000"/>
    <m/>
    <m/>
    <m/>
  </r>
  <r>
    <d v="2026-02-04T00:00:00"/>
    <s v="수"/>
    <x v="11"/>
    <s v="청광1차 207"/>
    <n v="0"/>
    <e v="#REF!"/>
    <e v="#REF!"/>
    <e v="#REF!"/>
    <x v="4"/>
    <m/>
    <m/>
    <s v="완료"/>
    <n v="10000"/>
    <n v="10000"/>
    <m/>
    <m/>
    <m/>
  </r>
  <r>
    <d v="2026-02-05T00:00:00"/>
    <s v="목"/>
    <x v="18"/>
    <s v="대치동 102호"/>
    <n v="1"/>
    <e v="#REF!"/>
    <e v="#REF!"/>
    <e v="#REF!"/>
    <x v="6"/>
    <m/>
    <m/>
    <s v="완료"/>
    <n v="18000"/>
    <n v="18000"/>
    <m/>
    <m/>
    <m/>
  </r>
  <r>
    <d v="2026-02-05T00:00:00"/>
    <s v="목"/>
    <x v="16"/>
    <s v="대치동 103호"/>
    <n v="1.5"/>
    <e v="#REF!"/>
    <e v="#REF!"/>
    <e v="#REF!"/>
    <x v="6"/>
    <m/>
    <m/>
    <s v="완료"/>
    <n v="20000"/>
    <n v="20000"/>
    <m/>
    <m/>
    <m/>
  </r>
  <r>
    <d v="2026-02-05T00:00:00"/>
    <s v="목"/>
    <x v="3"/>
    <s v="더하임 306"/>
    <n v="1.5"/>
    <e v="#REF!"/>
    <e v="#REF!"/>
    <e v="#REF!"/>
    <x v="7"/>
    <m/>
    <m/>
    <s v="완료"/>
    <n v="20000"/>
    <n v="20000"/>
    <m/>
    <m/>
    <m/>
  </r>
  <r>
    <d v="2026-02-05T00:00:00"/>
    <s v="목"/>
    <x v="4"/>
    <s v="더하임 504"/>
    <n v="1"/>
    <e v="#REF!"/>
    <e v="#REF!"/>
    <e v="#REF!"/>
    <x v="7"/>
    <m/>
    <m/>
    <s v="완료"/>
    <n v="18000"/>
    <n v="18000"/>
    <m/>
    <m/>
    <m/>
  </r>
  <r>
    <d v="2026-02-05T00:00:00"/>
    <s v="목"/>
    <x v="14"/>
    <s v="청광3차 507"/>
    <n v="1"/>
    <e v="#REF!"/>
    <e v="#REF!"/>
    <e v="#REF!"/>
    <x v="3"/>
    <m/>
    <m/>
    <s v="완료"/>
    <n v="18000"/>
    <n v="18000"/>
    <m/>
    <m/>
    <m/>
  </r>
  <r>
    <d v="2026-02-05T00:00:00"/>
    <s v="목"/>
    <x v="8"/>
    <s v="청광3차 1412"/>
    <n v="1"/>
    <e v="#REF!"/>
    <e v="#REF!"/>
    <e v="#REF!"/>
    <x v="3"/>
    <m/>
    <m/>
    <s v="완료"/>
    <n v="18000"/>
    <n v="18000"/>
    <m/>
    <m/>
    <m/>
  </r>
  <r>
    <d v="2026-02-05T00:00:00"/>
    <s v="목"/>
    <x v="15"/>
    <s v="강동QV 1604"/>
    <n v="1"/>
    <e v="#REF!"/>
    <e v="#REF!"/>
    <e v="#REF!"/>
    <x v="5"/>
    <m/>
    <m/>
    <s v="완료"/>
    <n v="18000"/>
    <n v="18000"/>
    <m/>
    <m/>
    <m/>
  </r>
  <r>
    <d v="2026-02-05T00:00:00"/>
    <s v="목"/>
    <x v="9"/>
    <s v="르센티 1801"/>
    <s v="복"/>
    <e v="#REF!"/>
    <e v="#REF!"/>
    <e v="#REF!"/>
    <x v="5"/>
    <m/>
    <m/>
    <s v="완료"/>
    <n v="20000"/>
    <n v="20000"/>
    <m/>
    <m/>
    <m/>
  </r>
  <r>
    <d v="2026-02-05T00:00:00"/>
    <s v="목"/>
    <x v="19"/>
    <s v="동구햇살 1203"/>
    <s v="복"/>
    <e v="#REF!"/>
    <e v="#REF!"/>
    <e v="#REF!"/>
    <x v="1"/>
    <s v="종랑제처리, 귤값"/>
    <m/>
    <s v="완료"/>
    <n v="30000"/>
    <n v="20000"/>
    <n v="10000"/>
    <m/>
    <m/>
  </r>
  <r>
    <d v="2026-02-05T00:00:00"/>
    <s v="목"/>
    <x v="20"/>
    <s v="예건 702"/>
    <n v="1"/>
    <e v="#REF!"/>
    <e v="#REF!"/>
    <e v="#REF!"/>
    <x v="1"/>
    <m/>
    <m/>
    <s v="완료"/>
    <n v="18000"/>
    <n v="18000"/>
    <m/>
    <m/>
    <m/>
  </r>
  <r>
    <d v="2026-02-05T00:00:00"/>
    <s v="목"/>
    <x v="0"/>
    <s v="센텀 2차 406"/>
    <n v="1.5"/>
    <e v="#REF!"/>
    <e v="#REF!"/>
    <e v="#REF!"/>
    <x v="4"/>
    <m/>
    <m/>
    <s v="완료"/>
    <n v="20000"/>
    <n v="20000"/>
    <m/>
    <m/>
    <m/>
  </r>
  <r>
    <d v="2026-02-05T00:00:00"/>
    <s v="목"/>
    <x v="10"/>
    <s v="오앤 401"/>
    <n v="1"/>
    <e v="#REF!"/>
    <e v="#REF!"/>
    <e v="#REF!"/>
    <x v="4"/>
    <m/>
    <m/>
    <s v="완료"/>
    <n v="18000"/>
    <n v="18000"/>
    <m/>
    <m/>
    <m/>
  </r>
  <r>
    <d v="2026-02-05T00:00:00"/>
    <s v="목"/>
    <x v="21"/>
    <s v="하람휴 902"/>
    <n v="2"/>
    <e v="#REF!"/>
    <e v="#REF!"/>
    <e v="#REF!"/>
    <x v="8"/>
    <m/>
    <m/>
    <s v="완료"/>
    <n v="23000"/>
    <n v="23000"/>
    <m/>
    <m/>
    <m/>
  </r>
  <r>
    <d v="2026-02-05T00:00:00"/>
    <s v="목"/>
    <x v="11"/>
    <s v="청광1차 207"/>
    <n v="0"/>
    <e v="#REF!"/>
    <e v="#REF!"/>
    <e v="#REF!"/>
    <x v="4"/>
    <m/>
    <m/>
    <s v="완료"/>
    <n v="10000"/>
    <n v="10000"/>
    <m/>
    <m/>
    <m/>
  </r>
  <r>
    <d v="2026-02-06T00:00:00"/>
    <s v="금"/>
    <x v="1"/>
    <s v="성우 803"/>
    <n v="3"/>
    <e v="#REF!"/>
    <e v="#REF!"/>
    <e v="#REF!"/>
    <x v="0"/>
    <m/>
    <m/>
    <s v="완료"/>
    <n v="30000"/>
    <n v="30000"/>
    <m/>
    <m/>
    <m/>
  </r>
  <r>
    <d v="2026-02-06T00:00:00"/>
    <s v="금"/>
    <x v="13"/>
    <s v="더하임 204"/>
    <n v="1"/>
    <e v="#REF!"/>
    <e v="#REF!"/>
    <e v="#REF!"/>
    <x v="4"/>
    <m/>
    <m/>
    <s v="완료"/>
    <n v="18000"/>
    <n v="18000"/>
    <m/>
    <m/>
    <m/>
  </r>
  <r>
    <d v="2026-02-06T00:00:00"/>
    <s v="금"/>
    <x v="3"/>
    <s v="더하임 306"/>
    <n v="1.5"/>
    <e v="#REF!"/>
    <e v="#REF!"/>
    <e v="#REF!"/>
    <x v="4"/>
    <m/>
    <m/>
    <s v="완료"/>
    <n v="20000"/>
    <n v="20000"/>
    <m/>
    <m/>
    <m/>
  </r>
  <r>
    <d v="2026-02-06T00:00:00"/>
    <s v="금"/>
    <x v="14"/>
    <s v="청광3차 507"/>
    <n v="1"/>
    <e v="#REF!"/>
    <e v="#REF!"/>
    <e v="#REF!"/>
    <x v="1"/>
    <m/>
    <m/>
    <s v="완료"/>
    <n v="18000"/>
    <n v="18000"/>
    <m/>
    <m/>
    <m/>
  </r>
  <r>
    <d v="2026-02-06T00:00:00"/>
    <s v="금"/>
    <x v="8"/>
    <s v="청광3차 1412"/>
    <n v="1"/>
    <e v="#REF!"/>
    <e v="#REF!"/>
    <e v="#REF!"/>
    <x v="1"/>
    <m/>
    <m/>
    <s v="완료"/>
    <n v="18000"/>
    <n v="18000"/>
    <m/>
    <m/>
    <m/>
  </r>
  <r>
    <d v="2026-02-06T00:00:00"/>
    <s v="금"/>
    <x v="15"/>
    <s v="강동QV 1604"/>
    <n v="1"/>
    <e v="#REF!"/>
    <e v="#REF!"/>
    <e v="#REF!"/>
    <x v="3"/>
    <m/>
    <m/>
    <s v="완료"/>
    <n v="18000"/>
    <n v="18000"/>
    <m/>
    <m/>
    <m/>
  </r>
  <r>
    <d v="2026-02-06T00:00:00"/>
    <s v="금"/>
    <x v="0"/>
    <s v="센텀 2차 406"/>
    <n v="1.5"/>
    <e v="#REF!"/>
    <e v="#REF!"/>
    <e v="#REF!"/>
    <x v="3"/>
    <m/>
    <m/>
    <s v="완료"/>
    <n v="20000"/>
    <n v="20000"/>
    <m/>
    <m/>
    <m/>
  </r>
  <r>
    <d v="2026-02-06T00:00:00"/>
    <s v="금"/>
    <x v="10"/>
    <s v="오앤 401"/>
    <n v="1"/>
    <e v="#REF!"/>
    <e v="#REF!"/>
    <e v="#REF!"/>
    <x v="2"/>
    <m/>
    <m/>
    <s v="완료"/>
    <n v="18000"/>
    <n v="18000"/>
    <m/>
    <m/>
    <m/>
  </r>
  <r>
    <d v="2026-02-06T00:00:00"/>
    <s v="금"/>
    <x v="22"/>
    <s v="si 502"/>
    <n v="1"/>
    <e v="#REF!"/>
    <e v="#REF!"/>
    <e v="#REF!"/>
    <x v="2"/>
    <m/>
    <m/>
    <s v="완료"/>
    <n v="18000"/>
    <n v="18000"/>
    <m/>
    <m/>
    <m/>
  </r>
  <r>
    <d v="2026-02-06T00:00:00"/>
    <s v="금"/>
    <x v="19"/>
    <s v="동구햇살 1203"/>
    <s v="복"/>
    <e v="#REF!"/>
    <e v="#REF!"/>
    <e v="#REF!"/>
    <x v="4"/>
    <m/>
    <m/>
    <s v="완료"/>
    <n v="20000"/>
    <n v="20000"/>
    <m/>
    <m/>
    <m/>
  </r>
  <r>
    <d v="2026-02-06T00:00:00"/>
    <s v="금"/>
    <x v="23"/>
    <s v="오금스타 402"/>
    <n v="1"/>
    <e v="#REF!"/>
    <e v="#REF!"/>
    <e v="#REF!"/>
    <x v="5"/>
    <s v="세탁방 충전"/>
    <m/>
    <s v="완료"/>
    <n v="38500"/>
    <n v="18000"/>
    <m/>
    <m/>
    <n v="20500"/>
  </r>
  <r>
    <d v="2026-02-06T00:00:00"/>
    <s v="금"/>
    <x v="24"/>
    <s v="하람휴 1102"/>
    <n v="2"/>
    <e v="#REF!"/>
    <e v="#REF!"/>
    <e v="#REF!"/>
    <x v="8"/>
    <m/>
    <m/>
    <s v="완료"/>
    <n v="23000"/>
    <n v="23000"/>
    <m/>
    <m/>
    <m/>
  </r>
  <r>
    <d v="2026-02-06T00:00:00"/>
    <s v="금"/>
    <x v="25"/>
    <s v="하람휴 1001"/>
    <n v="2"/>
    <e v="#REF!"/>
    <e v="#REF!"/>
    <e v="#REF!"/>
    <x v="8"/>
    <m/>
    <m/>
    <s v="완료"/>
    <n v="23000"/>
    <n v="23000"/>
    <m/>
    <m/>
    <m/>
  </r>
  <r>
    <d v="2026-02-06T00:00:00"/>
    <s v="금"/>
    <x v="11"/>
    <s v="청광1차 207"/>
    <n v="0"/>
    <e v="#REF!"/>
    <e v="#REF!"/>
    <e v="#REF!"/>
    <x v="4"/>
    <m/>
    <m/>
    <s v="완료"/>
    <n v="10000"/>
    <n v="10000"/>
    <m/>
    <m/>
    <m/>
  </r>
  <r>
    <d v="2026-02-07T00:00:00"/>
    <s v="토"/>
    <x v="16"/>
    <s v="대치동 103호"/>
    <n v="1.5"/>
    <e v="#REF!"/>
    <e v="#REF!"/>
    <e v="#REF!"/>
    <x v="6"/>
    <m/>
    <m/>
    <s v="완료"/>
    <n v="20000"/>
    <n v="20000"/>
    <m/>
    <m/>
    <m/>
  </r>
  <r>
    <d v="2026-02-07T00:00:00"/>
    <s v="토"/>
    <x v="0"/>
    <s v="센텀 2차 406"/>
    <n v="1.5"/>
    <e v="#REF!"/>
    <e v="#REF!"/>
    <e v="#REF!"/>
    <x v="1"/>
    <m/>
    <m/>
    <s v="완료"/>
    <n v="20000"/>
    <n v="20000"/>
    <m/>
    <m/>
    <m/>
  </r>
  <r>
    <d v="2026-02-07T00:00:00"/>
    <s v="토"/>
    <x v="12"/>
    <s v="센텀 2차 501"/>
    <n v="1.5"/>
    <e v="#REF!"/>
    <e v="#REF!"/>
    <e v="#REF!"/>
    <x v="1"/>
    <m/>
    <m/>
    <s v="완료"/>
    <n v="20000"/>
    <n v="20000"/>
    <m/>
    <m/>
    <m/>
  </r>
  <r>
    <d v="2026-02-07T00:00:00"/>
    <s v="토"/>
    <x v="26"/>
    <s v="센텀 2차 606"/>
    <n v="1.5"/>
    <e v="#REF!"/>
    <e v="#REF!"/>
    <e v="#REF!"/>
    <x v="1"/>
    <m/>
    <m/>
    <s v="완료"/>
    <n v="20000"/>
    <n v="20000"/>
    <m/>
    <m/>
    <m/>
  </r>
  <r>
    <d v="2026-02-07T00:00:00"/>
    <s v="토"/>
    <x v="1"/>
    <s v="성우 803"/>
    <n v="3"/>
    <e v="#REF!"/>
    <e v="#REF!"/>
    <e v="#REF!"/>
    <x v="3"/>
    <s v="세면대 고장, 창문 유리 금감"/>
    <m/>
    <s v="완료"/>
    <n v="30000"/>
    <n v="30000"/>
    <m/>
    <m/>
    <m/>
  </r>
  <r>
    <d v="2026-02-07T00:00:00"/>
    <s v="토"/>
    <x v="27"/>
    <s v="예건 303"/>
    <n v="2"/>
    <e v="#REF!"/>
    <e v="#REF!"/>
    <e v="#REF!"/>
    <x v="3"/>
    <m/>
    <m/>
    <s v="완료"/>
    <n v="23000"/>
    <n v="23000"/>
    <m/>
    <m/>
    <m/>
  </r>
  <r>
    <d v="2026-02-07T00:00:00"/>
    <s v="토"/>
    <x v="2"/>
    <s v="예건 602"/>
    <n v="1"/>
    <e v="#REF!"/>
    <e v="#REF!"/>
    <e v="#REF!"/>
    <x v="3"/>
    <m/>
    <m/>
    <s v="완료"/>
    <n v="18000"/>
    <n v="18000"/>
    <m/>
    <m/>
    <m/>
  </r>
  <r>
    <d v="2026-02-07T00:00:00"/>
    <s v="토"/>
    <x v="13"/>
    <s v="더하임 204"/>
    <n v="1"/>
    <e v="#REF!"/>
    <e v="#REF!"/>
    <e v="#REF!"/>
    <x v="4"/>
    <m/>
    <m/>
    <s v="완료"/>
    <n v="18000"/>
    <n v="18000"/>
    <m/>
    <m/>
    <m/>
  </r>
  <r>
    <d v="2026-02-07T00:00:00"/>
    <s v="토"/>
    <x v="4"/>
    <s v="더하임 504"/>
    <n v="1"/>
    <e v="#REF!"/>
    <e v="#REF!"/>
    <e v="#REF!"/>
    <x v="4"/>
    <s v="변기 물이 잘 안내려감"/>
    <m/>
    <s v="완료"/>
    <n v="18000"/>
    <n v="18000"/>
    <m/>
    <m/>
    <m/>
  </r>
  <r>
    <d v="2026-02-07T00:00:00"/>
    <s v="토"/>
    <x v="6"/>
    <s v="더하임 604"/>
    <n v="1"/>
    <e v="#REF!"/>
    <e v="#REF!"/>
    <e v="#REF!"/>
    <x v="4"/>
    <m/>
    <m/>
    <s v="완료"/>
    <n v="18000"/>
    <n v="18000"/>
    <m/>
    <m/>
    <m/>
  </r>
  <r>
    <d v="2026-02-07T00:00:00"/>
    <s v="토"/>
    <x v="10"/>
    <s v="오앤 401"/>
    <n v="1"/>
    <e v="#REF!"/>
    <e v="#REF!"/>
    <e v="#REF!"/>
    <x v="4"/>
    <m/>
    <m/>
    <s v="완료"/>
    <n v="18000"/>
    <n v="18000"/>
    <m/>
    <m/>
    <m/>
  </r>
  <r>
    <d v="2026-02-07T00:00:00"/>
    <s v="토"/>
    <x v="9"/>
    <s v="르센티 1801"/>
    <s v="복"/>
    <e v="#REF!"/>
    <e v="#REF!"/>
    <e v="#REF!"/>
    <x v="2"/>
    <m/>
    <m/>
    <s v="완료"/>
    <n v="20000"/>
    <n v="20000"/>
    <m/>
    <m/>
    <m/>
  </r>
  <r>
    <d v="2026-02-07T00:00:00"/>
    <s v="토"/>
    <x v="19"/>
    <s v="동구햇살 1203"/>
    <s v="복"/>
    <e v="#REF!"/>
    <e v="#REF!"/>
    <e v="#REF!"/>
    <x v="2"/>
    <m/>
    <m/>
    <s v="완료"/>
    <n v="20000"/>
    <n v="20000"/>
    <m/>
    <m/>
    <m/>
  </r>
  <r>
    <d v="2026-02-07T00:00:00"/>
    <s v="토"/>
    <x v="22"/>
    <s v="si 502"/>
    <n v="1"/>
    <e v="#REF!"/>
    <e v="#REF!"/>
    <e v="#REF!"/>
    <x v="2"/>
    <m/>
    <m/>
    <s v="완료"/>
    <n v="18000"/>
    <n v="18000"/>
    <m/>
    <m/>
    <m/>
  </r>
  <r>
    <d v="2026-02-07T00:00:00"/>
    <s v="토"/>
    <x v="15"/>
    <s v="강동QV 1604"/>
    <n v="1"/>
    <e v="#REF!"/>
    <e v="#REF!"/>
    <e v="#REF!"/>
    <x v="0"/>
    <m/>
    <m/>
    <s v="완료"/>
    <n v="18000"/>
    <n v="18000"/>
    <m/>
    <m/>
    <m/>
  </r>
  <r>
    <d v="2026-02-07T00:00:00"/>
    <s v="토"/>
    <x v="28"/>
    <s v="렘브 505"/>
    <n v="1"/>
    <e v="#REF!"/>
    <e v="#REF!"/>
    <e v="#REF!"/>
    <x v="0"/>
    <m/>
    <m/>
    <s v="완료"/>
    <n v="18000"/>
    <n v="18000"/>
    <m/>
    <m/>
    <m/>
  </r>
  <r>
    <d v="2026-02-07T00:00:00"/>
    <s v="토"/>
    <x v="7"/>
    <s v="청광3차 1416"/>
    <n v="1"/>
    <e v="#REF!"/>
    <e v="#REF!"/>
    <e v="#REF!"/>
    <x v="5"/>
    <m/>
    <m/>
    <s v="완료"/>
    <n v="18000"/>
    <n v="18000"/>
    <m/>
    <m/>
    <m/>
  </r>
  <r>
    <d v="2026-02-07T00:00:00"/>
    <s v="토"/>
    <x v="14"/>
    <s v="청광3차 507"/>
    <n v="1"/>
    <e v="#REF!"/>
    <e v="#REF!"/>
    <e v="#REF!"/>
    <x v="5"/>
    <m/>
    <m/>
    <s v="완료"/>
    <n v="18000"/>
    <n v="18000"/>
    <m/>
    <m/>
    <m/>
  </r>
  <r>
    <d v="2026-02-07T00:00:00"/>
    <s v="토"/>
    <x v="8"/>
    <s v="청광3차 1412"/>
    <n v="1"/>
    <e v="#REF!"/>
    <e v="#REF!"/>
    <e v="#REF!"/>
    <x v="5"/>
    <m/>
    <m/>
    <s v="완료"/>
    <n v="18000"/>
    <n v="18000"/>
    <m/>
    <m/>
    <m/>
  </r>
  <r>
    <d v="2026-02-07T00:00:00"/>
    <s v="토"/>
    <x v="29"/>
    <s v="오금스타 201"/>
    <n v="1"/>
    <e v="#REF!"/>
    <e v="#REF!"/>
    <e v="#REF!"/>
    <x v="5"/>
    <m/>
    <m/>
    <s v="완료"/>
    <n v="18000"/>
    <n v="18000"/>
    <m/>
    <m/>
    <m/>
  </r>
  <r>
    <d v="2026-02-07T00:00:00"/>
    <s v="토"/>
    <x v="25"/>
    <s v="하람휴 1001"/>
    <n v="2"/>
    <e v="#REF!"/>
    <e v="#REF!"/>
    <e v="#REF!"/>
    <x v="8"/>
    <m/>
    <m/>
    <s v="완료"/>
    <n v="23000"/>
    <n v="23000"/>
    <m/>
    <m/>
    <m/>
  </r>
  <r>
    <d v="2026-02-07T00:00:00"/>
    <s v="토"/>
    <x v="11"/>
    <s v="청광1차 207"/>
    <n v="0"/>
    <e v="#REF!"/>
    <e v="#REF!"/>
    <e v="#REF!"/>
    <x v="4"/>
    <m/>
    <m/>
    <s v="완료"/>
    <n v="10000"/>
    <n v="10000"/>
    <m/>
    <m/>
    <m/>
  </r>
  <r>
    <d v="2026-02-08T00:00:00"/>
    <s v="일"/>
    <x v="16"/>
    <s v="대치동 103호"/>
    <n v="1.5"/>
    <e v="#REF!"/>
    <e v="#REF!"/>
    <e v="#REF!"/>
    <x v="6"/>
    <m/>
    <m/>
    <s v="완료"/>
    <n v="20000"/>
    <n v="20000"/>
    <m/>
    <m/>
    <m/>
  </r>
  <r>
    <d v="2026-02-08T00:00:00"/>
    <s v="일"/>
    <x v="12"/>
    <s v="센텀 2차 501"/>
    <n v="1.5"/>
    <e v="#REF!"/>
    <e v="#REF!"/>
    <e v="#REF!"/>
    <x v="5"/>
    <m/>
    <m/>
    <s v="완료"/>
    <n v="20000"/>
    <n v="20000"/>
    <m/>
    <m/>
    <m/>
  </r>
  <r>
    <d v="2026-02-08T00:00:00"/>
    <s v="일"/>
    <x v="26"/>
    <s v="센텀 2차 606"/>
    <n v="1.5"/>
    <e v="#REF!"/>
    <e v="#REF!"/>
    <e v="#REF!"/>
    <x v="5"/>
    <m/>
    <m/>
    <s v="완료"/>
    <n v="20000"/>
    <n v="20000"/>
    <m/>
    <m/>
    <m/>
  </r>
  <r>
    <d v="2026-02-08T00:00:00"/>
    <s v="일"/>
    <x v="27"/>
    <s v="예건 303"/>
    <n v="2"/>
    <e v="#REF!"/>
    <e v="#REF!"/>
    <e v="#REF!"/>
    <x v="3"/>
    <m/>
    <m/>
    <s v="완료"/>
    <n v="23000"/>
    <n v="23000"/>
    <m/>
    <m/>
    <m/>
  </r>
  <r>
    <d v="2026-02-08T00:00:00"/>
    <s v="일"/>
    <x v="2"/>
    <s v="예건 602"/>
    <n v="1"/>
    <e v="#REF!"/>
    <e v="#REF!"/>
    <e v="#REF!"/>
    <x v="3"/>
    <m/>
    <m/>
    <s v="완료"/>
    <n v="18000"/>
    <n v="18000"/>
    <m/>
    <m/>
    <m/>
  </r>
  <r>
    <d v="2026-02-08T00:00:00"/>
    <s v="일"/>
    <x v="1"/>
    <s v="성우 803"/>
    <n v="3"/>
    <e v="#REF!"/>
    <e v="#REF!"/>
    <e v="#REF!"/>
    <x v="1"/>
    <m/>
    <m/>
    <s v="완료"/>
    <n v="30000"/>
    <n v="30000"/>
    <m/>
    <m/>
    <m/>
  </r>
  <r>
    <d v="2026-02-08T00:00:00"/>
    <s v="일"/>
    <x v="13"/>
    <s v="더하임 204"/>
    <n v="1"/>
    <e v="#REF!"/>
    <e v="#REF!"/>
    <e v="#REF!"/>
    <x v="7"/>
    <m/>
    <m/>
    <s v="완료"/>
    <n v="18000"/>
    <n v="18000"/>
    <m/>
    <m/>
    <m/>
  </r>
  <r>
    <d v="2026-02-08T00:00:00"/>
    <s v="일"/>
    <x v="17"/>
    <s v="더하임 406"/>
    <n v="1.5"/>
    <e v="#REF!"/>
    <e v="#REF!"/>
    <e v="#REF!"/>
    <x v="7"/>
    <m/>
    <m/>
    <s v="완료"/>
    <n v="20000"/>
    <n v="20000"/>
    <m/>
    <m/>
    <m/>
  </r>
  <r>
    <d v="2026-02-08T00:00:00"/>
    <s v="일"/>
    <x v="6"/>
    <s v="더하임 604"/>
    <n v="1"/>
    <e v="#REF!"/>
    <e v="#REF!"/>
    <e v="#REF!"/>
    <x v="7"/>
    <s v="테이블 볼트 헐거움"/>
    <m/>
    <s v="완료"/>
    <n v="18000"/>
    <n v="18000"/>
    <m/>
    <m/>
    <m/>
  </r>
  <r>
    <d v="2026-02-08T00:00:00"/>
    <s v="일"/>
    <x v="7"/>
    <s v="청광3차 1416"/>
    <n v="1"/>
    <e v="#REF!"/>
    <e v="#REF!"/>
    <e v="#REF!"/>
    <x v="2"/>
    <m/>
    <m/>
    <s v="완료"/>
    <n v="18000"/>
    <n v="18000"/>
    <m/>
    <m/>
    <m/>
  </r>
  <r>
    <d v="2026-02-08T00:00:00"/>
    <s v="일"/>
    <x v="14"/>
    <s v="청광3차 507"/>
    <n v="1"/>
    <e v="#REF!"/>
    <e v="#REF!"/>
    <e v="#REF!"/>
    <x v="2"/>
    <m/>
    <m/>
    <s v="완료"/>
    <n v="18000"/>
    <n v="18000"/>
    <m/>
    <m/>
    <m/>
  </r>
  <r>
    <d v="2026-02-08T00:00:00"/>
    <s v="일"/>
    <x v="8"/>
    <s v="청광3차 1412"/>
    <n v="1"/>
    <e v="#REF!"/>
    <e v="#REF!"/>
    <e v="#REF!"/>
    <x v="2"/>
    <s v="카드키없음"/>
    <m/>
    <s v="완료"/>
    <n v="18000"/>
    <n v="18000"/>
    <m/>
    <m/>
    <m/>
  </r>
  <r>
    <d v="2026-02-08T00:00:00"/>
    <s v="일"/>
    <x v="22"/>
    <s v="si 502"/>
    <n v="1"/>
    <e v="#REF!"/>
    <e v="#REF!"/>
    <e v="#REF!"/>
    <x v="2"/>
    <m/>
    <m/>
    <s v="완료"/>
    <n v="18000"/>
    <n v="18000"/>
    <m/>
    <m/>
    <m/>
  </r>
  <r>
    <d v="2026-02-08T00:00:00"/>
    <s v="일"/>
    <x v="15"/>
    <s v="강동QV 1604"/>
    <n v="1"/>
    <e v="#REF!"/>
    <e v="#REF!"/>
    <e v="#REF!"/>
    <x v="0"/>
    <m/>
    <m/>
    <s v="완료"/>
    <n v="18000"/>
    <n v="18000"/>
    <m/>
    <m/>
    <m/>
  </r>
  <r>
    <d v="2026-02-08T00:00:00"/>
    <s v="일"/>
    <x v="28"/>
    <s v="렘브 505"/>
    <n v="1"/>
    <e v="#REF!"/>
    <e v="#REF!"/>
    <e v="#REF!"/>
    <x v="0"/>
    <m/>
    <m/>
    <s v="완료"/>
    <n v="18000"/>
    <n v="18000"/>
    <m/>
    <m/>
    <m/>
  </r>
  <r>
    <d v="2026-02-08T00:00:00"/>
    <s v="일"/>
    <x v="19"/>
    <s v="동구햇살 1203"/>
    <s v="복"/>
    <e v="#REF!"/>
    <e v="#REF!"/>
    <e v="#REF!"/>
    <x v="4"/>
    <s v="드라이기, 고데기안보임"/>
    <m/>
    <s v="완료"/>
    <n v="20000"/>
    <n v="20000"/>
    <m/>
    <m/>
    <m/>
  </r>
  <r>
    <d v="2026-02-08T00:00:00"/>
    <s v="일"/>
    <x v="10"/>
    <s v="오앤 401"/>
    <n v="1"/>
    <e v="#REF!"/>
    <e v="#REF!"/>
    <e v="#REF!"/>
    <x v="4"/>
    <m/>
    <m/>
    <s v="완료"/>
    <n v="21000"/>
    <n v="18000"/>
    <n v="3000"/>
    <m/>
    <m/>
  </r>
  <r>
    <d v="2026-02-08T00:00:00"/>
    <s v="일"/>
    <x v="21"/>
    <s v="하람휴 902"/>
    <n v="2"/>
    <e v="#REF!"/>
    <e v="#REF!"/>
    <e v="#REF!"/>
    <x v="8"/>
    <m/>
    <m/>
    <s v="완료"/>
    <n v="23000"/>
    <n v="23000"/>
    <m/>
    <m/>
    <m/>
  </r>
  <r>
    <d v="2026-02-08T00:00:00"/>
    <s v="일"/>
    <x v="25"/>
    <s v="하람휴 1001"/>
    <n v="2"/>
    <e v="#REF!"/>
    <e v="#REF!"/>
    <e v="#REF!"/>
    <x v="8"/>
    <m/>
    <m/>
    <s v="완료"/>
    <n v="23000"/>
    <n v="23000"/>
    <m/>
    <m/>
    <m/>
  </r>
  <r>
    <d v="2026-02-08T00:00:00"/>
    <s v="일"/>
    <x v="11"/>
    <s v="청광1차 207"/>
    <n v="0"/>
    <e v="#REF!"/>
    <e v="#REF!"/>
    <e v="#REF!"/>
    <x v="4"/>
    <m/>
    <m/>
    <s v="완료"/>
    <n v="10000"/>
    <n v="10000"/>
    <m/>
    <m/>
    <m/>
  </r>
  <r>
    <d v="2026-02-09T00:00:00"/>
    <s v="월"/>
    <x v="0"/>
    <s v="센텀 2차 406"/>
    <n v="1.5"/>
    <e v="#REF!"/>
    <e v="#REF!"/>
    <e v="#REF!"/>
    <x v="1"/>
    <m/>
    <m/>
    <m/>
    <n v="20000"/>
    <n v="20000"/>
    <m/>
    <m/>
    <m/>
  </r>
  <r>
    <d v="2026-02-09T00:00:00"/>
    <s v="월"/>
    <x v="12"/>
    <s v="센텀 2차 501"/>
    <n v="1.5"/>
    <e v="#REF!"/>
    <e v="#REF!"/>
    <e v="#REF!"/>
    <x v="1"/>
    <m/>
    <m/>
    <m/>
    <n v="20000"/>
    <n v="20000"/>
    <m/>
    <m/>
    <m/>
  </r>
  <r>
    <d v="2026-02-09T00:00:00"/>
    <s v="월"/>
    <x v="26"/>
    <s v="센텀 2차 606"/>
    <n v="1.5"/>
    <e v="#REF!"/>
    <e v="#REF!"/>
    <e v="#REF!"/>
    <x v="1"/>
    <m/>
    <m/>
    <m/>
    <n v="20000"/>
    <n v="20000"/>
    <m/>
    <m/>
    <m/>
  </r>
  <r>
    <d v="2026-02-09T00:00:00"/>
    <s v="월"/>
    <x v="27"/>
    <s v="예건 303"/>
    <n v="2"/>
    <e v="#REF!"/>
    <e v="#REF!"/>
    <e v="#REF!"/>
    <x v="3"/>
    <m/>
    <m/>
    <m/>
    <n v="23000"/>
    <n v="23000"/>
    <m/>
    <m/>
    <m/>
  </r>
  <r>
    <d v="2026-02-09T00:00:00"/>
    <s v="월"/>
    <x v="30"/>
    <s v="예건 902"/>
    <n v="1"/>
    <e v="#REF!"/>
    <e v="#REF!"/>
    <e v="#REF!"/>
    <x v="3"/>
    <m/>
    <m/>
    <m/>
    <n v="18000"/>
    <n v="18000"/>
    <m/>
    <m/>
    <m/>
  </r>
  <r>
    <d v="2026-02-09T00:00:00"/>
    <s v="월"/>
    <x v="3"/>
    <s v="더하임 306"/>
    <n v="1.5"/>
    <e v="#REF!"/>
    <e v="#REF!"/>
    <e v="#REF!"/>
    <x v="7"/>
    <m/>
    <m/>
    <m/>
    <n v="20000"/>
    <n v="20000"/>
    <m/>
    <m/>
    <m/>
  </r>
  <r>
    <d v="2026-02-09T00:00:00"/>
    <s v="월"/>
    <x v="17"/>
    <s v="더하임 406"/>
    <n v="1.5"/>
    <e v="#REF!"/>
    <e v="#REF!"/>
    <e v="#REF!"/>
    <x v="7"/>
    <m/>
    <m/>
    <m/>
    <n v="20000"/>
    <n v="20000"/>
    <m/>
    <m/>
    <m/>
  </r>
  <r>
    <d v="2026-02-09T00:00:00"/>
    <s v="월"/>
    <x v="4"/>
    <s v="더하임 504"/>
    <n v="1"/>
    <e v="#REF!"/>
    <e v="#REF!"/>
    <e v="#REF!"/>
    <x v="4"/>
    <m/>
    <m/>
    <m/>
    <n v="18000"/>
    <n v="18000"/>
    <m/>
    <m/>
    <m/>
  </r>
  <r>
    <d v="2026-02-09T00:00:00"/>
    <s v="월"/>
    <x v="6"/>
    <s v="더하임 604"/>
    <n v="1"/>
    <e v="#REF!"/>
    <e v="#REF!"/>
    <e v="#REF!"/>
    <x v="4"/>
    <s v="테이블 볼트 빠짐"/>
    <m/>
    <m/>
    <n v="18000"/>
    <n v="18000"/>
    <m/>
    <m/>
    <m/>
  </r>
  <r>
    <d v="2026-02-09T00:00:00"/>
    <s v="월"/>
    <x v="14"/>
    <s v="청광3차 507"/>
    <n v="1"/>
    <e v="#REF!"/>
    <e v="#REF!"/>
    <e v="#REF!"/>
    <x v="5"/>
    <m/>
    <m/>
    <m/>
    <n v="18000"/>
    <n v="18000"/>
    <m/>
    <m/>
    <m/>
  </r>
  <r>
    <d v="2026-02-09T00:00:00"/>
    <s v="월"/>
    <x v="8"/>
    <s v="청광3차 1412"/>
    <n v="1"/>
    <e v="#REF!"/>
    <e v="#REF!"/>
    <e v="#REF!"/>
    <x v="5"/>
    <m/>
    <m/>
    <m/>
    <n v="18000"/>
    <n v="18000"/>
    <m/>
    <m/>
    <m/>
  </r>
  <r>
    <d v="2026-02-09T00:00:00"/>
    <s v="월"/>
    <x v="23"/>
    <s v="오금스타 402"/>
    <n v="1"/>
    <e v="#REF!"/>
    <e v="#REF!"/>
    <e v="#REF!"/>
    <x v="5"/>
    <s v="(이불전달)"/>
    <m/>
    <m/>
    <n v="18000"/>
    <n v="18000"/>
    <m/>
    <m/>
    <m/>
  </r>
  <r>
    <d v="2026-02-09T00:00:00"/>
    <s v="월"/>
    <x v="15"/>
    <s v="강동QV 1604"/>
    <n v="1"/>
    <e v="#REF!"/>
    <e v="#REF!"/>
    <e v="#REF!"/>
    <x v="0"/>
    <s v="화장품 분실물"/>
    <m/>
    <m/>
    <n v="18000"/>
    <n v="18000"/>
    <m/>
    <m/>
    <m/>
  </r>
  <r>
    <d v="2026-02-09T00:00:00"/>
    <s v="월"/>
    <x v="7"/>
    <s v="청광3차 1416"/>
    <n v="1"/>
    <e v="#REF!"/>
    <e v="#REF!"/>
    <e v="#REF!"/>
    <x v="2"/>
    <m/>
    <m/>
    <m/>
    <n v="18000"/>
    <n v="18000"/>
    <m/>
    <m/>
    <m/>
  </r>
  <r>
    <d v="2026-02-09T00:00:00"/>
    <s v="월"/>
    <x v="10"/>
    <s v="오앤 401"/>
    <n v="1"/>
    <e v="#REF!"/>
    <e v="#REF!"/>
    <e v="#REF!"/>
    <x v="2"/>
    <m/>
    <m/>
    <m/>
    <n v="18000"/>
    <n v="18000"/>
    <m/>
    <m/>
    <m/>
  </r>
  <r>
    <d v="2026-02-09T00:00:00"/>
    <s v="월"/>
    <x v="22"/>
    <s v="si 502"/>
    <n v="1"/>
    <e v="#REF!"/>
    <e v="#REF!"/>
    <e v="#REF!"/>
    <x v="2"/>
    <m/>
    <m/>
    <m/>
    <n v="18000"/>
    <n v="18000"/>
    <m/>
    <m/>
    <m/>
  </r>
  <r>
    <d v="2026-02-09T00:00:00"/>
    <s v="월"/>
    <x v="31"/>
    <s v="세종에코 304"/>
    <n v="2"/>
    <e v="#REF!"/>
    <e v="#REF!"/>
    <e v="#REF!"/>
    <x v="9"/>
    <m/>
    <m/>
    <m/>
    <n v="23000"/>
    <n v="23000"/>
    <m/>
    <m/>
    <m/>
  </r>
  <r>
    <d v="2026-02-09T00:00:00"/>
    <s v="월"/>
    <x v="24"/>
    <s v="하람휴 1102"/>
    <n v="2"/>
    <e v="#REF!"/>
    <e v="#REF!"/>
    <e v="#REF!"/>
    <x v="8"/>
    <m/>
    <m/>
    <m/>
    <n v="23000"/>
    <n v="23000"/>
    <m/>
    <m/>
    <m/>
  </r>
  <r>
    <d v="2026-02-09T00:00:00"/>
    <s v="월"/>
    <x v="25"/>
    <s v="하람휴 1001"/>
    <n v="2"/>
    <e v="#REF!"/>
    <e v="#REF!"/>
    <e v="#REF!"/>
    <x v="8"/>
    <m/>
    <m/>
    <m/>
    <n v="23000"/>
    <n v="23000"/>
    <m/>
    <m/>
    <m/>
  </r>
  <r>
    <d v="2026-02-09T00:00:00"/>
    <s v="월"/>
    <x v="32"/>
    <s v="미사 힐스 804"/>
    <n v="1"/>
    <e v="#REF!"/>
    <e v="#REF!"/>
    <e v="#REF!"/>
    <x v="10"/>
    <m/>
    <m/>
    <m/>
    <n v="25000"/>
    <n v="25000"/>
    <m/>
    <m/>
    <m/>
  </r>
  <r>
    <m/>
    <s v="토"/>
    <x v="11"/>
    <s v="청광1차 207"/>
    <n v="0"/>
    <e v="#REF!"/>
    <e v="#REF!"/>
    <e v="#REF!"/>
    <x v="4"/>
    <m/>
    <m/>
    <m/>
    <n v="10000"/>
    <n v="1000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s v="화"/>
    <s v="T46"/>
    <s v="센텀 2차 406"/>
    <n v="1.5"/>
    <e v="#REF!"/>
    <e v="#REF!"/>
    <e v="#REF!"/>
    <x v="0"/>
    <m/>
    <m/>
    <s v="완료"/>
    <n v="20000"/>
    <n v="20000"/>
    <m/>
    <m/>
    <m/>
    <m/>
  </r>
  <r>
    <x v="0"/>
    <s v="화"/>
    <s v="T51"/>
    <s v="센텀 2차 501"/>
    <n v="1.5"/>
    <e v="#REF!"/>
    <e v="#REF!"/>
    <e v="#REF!"/>
    <x v="0"/>
    <m/>
    <m/>
    <s v="완료"/>
    <n v="20000"/>
    <n v="20000"/>
    <m/>
    <m/>
    <m/>
    <m/>
  </r>
  <r>
    <x v="0"/>
    <s v="화"/>
    <s v="A33"/>
    <s v="예건 303"/>
    <n v="2"/>
    <e v="#REF!"/>
    <e v="#REF!"/>
    <e v="#REF!"/>
    <x v="1"/>
    <m/>
    <m/>
    <s v="완료"/>
    <n v="23000"/>
    <n v="23000"/>
    <m/>
    <m/>
    <m/>
    <m/>
  </r>
  <r>
    <x v="0"/>
    <s v="화"/>
    <s v="U83"/>
    <s v="성우 803"/>
    <n v="3"/>
    <e v="#REF!"/>
    <e v="#REF!"/>
    <e v="#REF!"/>
    <x v="1"/>
    <m/>
    <m/>
    <s v="완료"/>
    <n v="30000"/>
    <n v="30000"/>
    <m/>
    <m/>
    <m/>
    <m/>
  </r>
  <r>
    <x v="0"/>
    <s v="화"/>
    <s v="V11"/>
    <s v="대치동 101호"/>
    <n v="2"/>
    <e v="#REF!"/>
    <e v="#REF!"/>
    <e v="#REF!"/>
    <x v="2"/>
    <m/>
    <m/>
    <s v="완료"/>
    <n v="23000"/>
    <n v="23000"/>
    <m/>
    <m/>
    <m/>
    <m/>
  </r>
  <r>
    <x v="0"/>
    <s v="화"/>
    <s v="B36"/>
    <s v="더하임 306"/>
    <n v="1.5"/>
    <e v="#REF!"/>
    <e v="#REF!"/>
    <e v="#REF!"/>
    <x v="3"/>
    <m/>
    <m/>
    <s v="완료"/>
    <n v="20000"/>
    <n v="20000"/>
    <m/>
    <m/>
    <m/>
    <m/>
  </r>
  <r>
    <x v="0"/>
    <s v="화"/>
    <s v="B46"/>
    <s v="더하임 406"/>
    <n v="1.5"/>
    <e v="#REF!"/>
    <e v="#REF!"/>
    <e v="#REF!"/>
    <x v="3"/>
    <m/>
    <m/>
    <s v="완료"/>
    <n v="20000"/>
    <n v="20000"/>
    <m/>
    <m/>
    <m/>
    <m/>
  </r>
  <r>
    <x v="0"/>
    <s v="화"/>
    <s v="D1"/>
    <s v="청광3차 1416"/>
    <n v="1"/>
    <e v="#REF!"/>
    <e v="#REF!"/>
    <e v="#REF!"/>
    <x v="4"/>
    <m/>
    <m/>
    <s v="완료"/>
    <n v="18000"/>
    <n v="18000"/>
    <m/>
    <m/>
    <m/>
    <m/>
  </r>
  <r>
    <x v="0"/>
    <s v="화"/>
    <s v="D6"/>
    <s v="청광3차 1412"/>
    <n v="1"/>
    <e v="#REF!"/>
    <e v="#REF!"/>
    <e v="#REF!"/>
    <x v="4"/>
    <m/>
    <m/>
    <s v="완료"/>
    <n v="18000"/>
    <n v="18000"/>
    <m/>
    <m/>
    <m/>
    <m/>
  </r>
  <r>
    <x v="0"/>
    <s v="화"/>
    <s v="D3"/>
    <s v="청광3차 507"/>
    <n v="1"/>
    <e v="#REF!"/>
    <e v="#REF!"/>
    <e v="#REF!"/>
    <x v="5"/>
    <m/>
    <m/>
    <s v="완료"/>
    <n v="18000"/>
    <n v="18000"/>
    <m/>
    <m/>
    <m/>
    <m/>
  </r>
  <r>
    <x v="0"/>
    <s v="화"/>
    <s v="E1"/>
    <s v="르센티 1801"/>
    <s v="복"/>
    <e v="#REF!"/>
    <e v="#REF!"/>
    <e v="#REF!"/>
    <x v="5"/>
    <m/>
    <m/>
    <s v="완료"/>
    <n v="20000"/>
    <n v="20000"/>
    <m/>
    <m/>
    <m/>
    <m/>
  </r>
  <r>
    <x v="0"/>
    <s v="화"/>
    <s v="E5"/>
    <s v="동구햇살 1203"/>
    <s v="복"/>
    <e v="#REF!"/>
    <e v="#REF!"/>
    <e v="#REF!"/>
    <x v="6"/>
    <m/>
    <m/>
    <s v="완료"/>
    <n v="20000"/>
    <n v="20000"/>
    <m/>
    <m/>
    <m/>
    <m/>
  </r>
  <r>
    <x v="0"/>
    <s v="화"/>
    <s v="L5"/>
    <s v="하람휴 1001"/>
    <n v="2"/>
    <e v="#REF!"/>
    <e v="#REF!"/>
    <e v="#REF!"/>
    <x v="7"/>
    <s v="의자"/>
    <m/>
    <s v="완료"/>
    <n v="33000"/>
    <n v="23000"/>
    <n v="10000"/>
    <m/>
    <m/>
    <m/>
  </r>
  <r>
    <x v="0"/>
    <s v="화"/>
    <s v="C"/>
    <s v="청광1차 207"/>
    <n v="0"/>
    <e v="#REF!"/>
    <e v="#REF!"/>
    <e v="#REF!"/>
    <x v="3"/>
    <m/>
    <m/>
    <s v="완료"/>
    <n v="10000"/>
    <n v="10000"/>
    <m/>
    <m/>
    <m/>
    <m/>
  </r>
  <r>
    <x v="1"/>
    <s v="수"/>
    <s v="V12"/>
    <s v="대치동 102호"/>
    <n v="1"/>
    <e v="#REF!"/>
    <e v="#REF!"/>
    <e v="#REF!"/>
    <x v="2"/>
    <m/>
    <m/>
    <s v="완료"/>
    <n v="18000"/>
    <n v="18000"/>
    <m/>
    <m/>
    <m/>
    <m/>
  </r>
  <r>
    <x v="1"/>
    <s v="수"/>
    <s v="T46"/>
    <s v="센텀 2차 406"/>
    <n v="1.5"/>
    <e v="#REF!"/>
    <e v="#REF!"/>
    <e v="#REF!"/>
    <x v="5"/>
    <m/>
    <m/>
    <s v="완료"/>
    <n v="20000"/>
    <n v="20000"/>
    <m/>
    <m/>
    <m/>
    <m/>
  </r>
  <r>
    <x v="1"/>
    <s v="수"/>
    <s v="T51"/>
    <s v="센텀 2차 501"/>
    <n v="1.5"/>
    <e v="#REF!"/>
    <e v="#REF!"/>
    <e v="#REF!"/>
    <x v="5"/>
    <m/>
    <m/>
    <s v="완료"/>
    <n v="20000"/>
    <n v="20000"/>
    <m/>
    <m/>
    <m/>
    <m/>
  </r>
  <r>
    <x v="1"/>
    <s v="수"/>
    <s v="A33"/>
    <s v="예건 303"/>
    <n v="2"/>
    <e v="#REF!"/>
    <e v="#REF!"/>
    <e v="#REF!"/>
    <x v="0"/>
    <m/>
    <m/>
    <s v="완료"/>
    <n v="23000"/>
    <n v="23000"/>
    <m/>
    <m/>
    <m/>
    <m/>
  </r>
  <r>
    <x v="1"/>
    <s v="수"/>
    <s v="E5"/>
    <s v="동구햇살 1203"/>
    <s v="복"/>
    <e v="#REF!"/>
    <e v="#REF!"/>
    <e v="#REF!"/>
    <x v="0"/>
    <m/>
    <m/>
    <s v="완료"/>
    <n v="20000"/>
    <n v="20000"/>
    <m/>
    <m/>
    <m/>
    <m/>
  </r>
  <r>
    <x v="1"/>
    <s v="수"/>
    <s v="B36"/>
    <s v="더하임 306"/>
    <n v="1.5"/>
    <e v="#REF!"/>
    <e v="#REF!"/>
    <e v="#REF!"/>
    <x v="6"/>
    <m/>
    <m/>
    <s v="완료"/>
    <n v="20000"/>
    <n v="20000"/>
    <m/>
    <m/>
    <m/>
    <m/>
  </r>
  <r>
    <x v="1"/>
    <s v="수"/>
    <s v="B46"/>
    <s v="더하임 406"/>
    <n v="1.5"/>
    <e v="#REF!"/>
    <e v="#REF!"/>
    <e v="#REF!"/>
    <x v="6"/>
    <m/>
    <m/>
    <s v="완료"/>
    <n v="20000"/>
    <n v="20000"/>
    <m/>
    <m/>
    <m/>
    <m/>
  </r>
  <r>
    <x v="1"/>
    <s v="수"/>
    <s v="B54"/>
    <s v="더하임 504"/>
    <n v="1"/>
    <e v="#REF!"/>
    <e v="#REF!"/>
    <e v="#REF!"/>
    <x v="3"/>
    <m/>
    <m/>
    <s v="완료"/>
    <n v="18000"/>
    <n v="18000"/>
    <m/>
    <m/>
    <m/>
    <m/>
  </r>
  <r>
    <x v="1"/>
    <s v="수"/>
    <s v="B56"/>
    <s v="더하임 506"/>
    <n v="1.5"/>
    <e v="#REF!"/>
    <e v="#REF!"/>
    <e v="#REF!"/>
    <x v="3"/>
    <m/>
    <m/>
    <s v="완료"/>
    <n v="20000"/>
    <n v="20000"/>
    <m/>
    <m/>
    <m/>
    <m/>
  </r>
  <r>
    <x v="1"/>
    <s v="수"/>
    <s v="F2"/>
    <s v="오앤 401"/>
    <n v="1"/>
    <e v="#REF!"/>
    <e v="#REF!"/>
    <e v="#REF!"/>
    <x v="3"/>
    <m/>
    <m/>
    <s v="완료"/>
    <n v="18000"/>
    <n v="18000"/>
    <m/>
    <m/>
    <m/>
    <m/>
  </r>
  <r>
    <x v="1"/>
    <s v="수"/>
    <s v="D1"/>
    <s v="청광3차 1416"/>
    <n v="1"/>
    <e v="#REF!"/>
    <e v="#REF!"/>
    <e v="#REF!"/>
    <x v="4"/>
    <m/>
    <m/>
    <s v="완료"/>
    <n v="18000"/>
    <n v="18000"/>
    <m/>
    <m/>
    <m/>
    <m/>
  </r>
  <r>
    <x v="1"/>
    <s v="수"/>
    <s v="D3"/>
    <s v="청광3차 507"/>
    <n v="1"/>
    <e v="#REF!"/>
    <e v="#REF!"/>
    <e v="#REF!"/>
    <x v="4"/>
    <m/>
    <m/>
    <s v="완료"/>
    <n v="18000"/>
    <n v="18000"/>
    <m/>
    <m/>
    <m/>
    <m/>
  </r>
  <r>
    <x v="1"/>
    <s v="수"/>
    <s v="D6"/>
    <s v="청광3차 1412"/>
    <n v="1"/>
    <e v="#REF!"/>
    <e v="#REF!"/>
    <e v="#REF!"/>
    <x v="4"/>
    <m/>
    <m/>
    <s v="완료"/>
    <n v="18000"/>
    <n v="18000"/>
    <m/>
    <m/>
    <m/>
    <m/>
  </r>
  <r>
    <x v="1"/>
    <s v="수"/>
    <s v="H52"/>
    <s v="오금 502"/>
    <e v="#N/A"/>
    <e v="#REF!"/>
    <e v="#REF!"/>
    <e v="#REF!"/>
    <x v="4"/>
    <m/>
    <m/>
    <s v="완료"/>
    <n v="50000"/>
    <e v="#N/A"/>
    <m/>
    <m/>
    <m/>
    <m/>
  </r>
  <r>
    <x v="1"/>
    <s v="수"/>
    <s v="H52"/>
    <s v="오금 502"/>
    <e v="#N/A"/>
    <e v="#REF!"/>
    <e v="#REF!"/>
    <e v="#REF!"/>
    <x v="6"/>
    <m/>
    <m/>
    <s v="완료"/>
    <n v="50000"/>
    <e v="#N/A"/>
    <m/>
    <m/>
    <m/>
    <m/>
  </r>
  <r>
    <x v="1"/>
    <s v="수"/>
    <s v="D8"/>
    <s v="강동QV 1604"/>
    <n v="1"/>
    <e v="#REF!"/>
    <e v="#REF!"/>
    <e v="#REF!"/>
    <x v="1"/>
    <m/>
    <m/>
    <s v="완료"/>
    <n v="18000"/>
    <n v="18000"/>
    <m/>
    <m/>
    <m/>
    <m/>
  </r>
  <r>
    <x v="1"/>
    <s v="수"/>
    <s v="E1"/>
    <s v="르센티 1801"/>
    <s v="복"/>
    <e v="#REF!"/>
    <e v="#REF!"/>
    <e v="#REF!"/>
    <x v="1"/>
    <m/>
    <m/>
    <s v="완료"/>
    <n v="20000"/>
    <n v="20000"/>
    <m/>
    <m/>
    <m/>
    <m/>
  </r>
  <r>
    <x v="1"/>
    <s v="수"/>
    <s v="C"/>
    <s v="청광1차 207"/>
    <n v="0"/>
    <e v="#REF!"/>
    <e v="#REF!"/>
    <e v="#REF!"/>
    <x v="3"/>
    <m/>
    <m/>
    <s v="완료"/>
    <n v="10000"/>
    <n v="10000"/>
    <m/>
    <m/>
    <m/>
    <m/>
  </r>
  <r>
    <x v="2"/>
    <s v="목"/>
    <s v="V13"/>
    <s v="대치동 103호"/>
    <n v="1.5"/>
    <e v="#REF!"/>
    <e v="#REF!"/>
    <e v="#REF!"/>
    <x v="2"/>
    <m/>
    <m/>
    <s v="완료"/>
    <n v="20000"/>
    <n v="20000"/>
    <m/>
    <m/>
    <m/>
    <m/>
  </r>
  <r>
    <x v="2"/>
    <s v="목"/>
    <s v="T66"/>
    <s v="센텀 2차 606"/>
    <n v="1.5"/>
    <e v="#REF!"/>
    <e v="#REF!"/>
    <e v="#REF!"/>
    <x v="6"/>
    <m/>
    <m/>
    <s v="완료"/>
    <n v="20000"/>
    <n v="20000"/>
    <m/>
    <m/>
    <m/>
    <m/>
  </r>
  <r>
    <x v="2"/>
    <s v="목"/>
    <s v="D1"/>
    <s v="청광3차 1416"/>
    <n v="1"/>
    <e v="#REF!"/>
    <e v="#REF!"/>
    <e v="#REF!"/>
    <x v="6"/>
    <m/>
    <m/>
    <s v="완료"/>
    <n v="18000"/>
    <n v="18000"/>
    <m/>
    <m/>
    <m/>
    <m/>
  </r>
  <r>
    <x v="2"/>
    <s v="목"/>
    <s v="U42"/>
    <s v="성우 402"/>
    <n v="3"/>
    <e v="#REF!"/>
    <e v="#REF!"/>
    <e v="#REF!"/>
    <x v="3"/>
    <m/>
    <m/>
    <s v="완료"/>
    <n v="30000"/>
    <n v="30000"/>
    <m/>
    <m/>
    <m/>
    <m/>
  </r>
  <r>
    <x v="2"/>
    <s v="목"/>
    <s v="A25"/>
    <s v="예건 205"/>
    <n v="1"/>
    <e v="#REF!"/>
    <e v="#REF!"/>
    <e v="#REF!"/>
    <x v="3"/>
    <m/>
    <m/>
    <s v="완료"/>
    <n v="28000"/>
    <n v="18000"/>
    <n v="10000"/>
    <m/>
    <m/>
    <m/>
  </r>
  <r>
    <x v="2"/>
    <s v="목"/>
    <s v="A72"/>
    <s v="예건 702"/>
    <n v="1"/>
    <e v="#REF!"/>
    <e v="#REF!"/>
    <e v="#REF!"/>
    <x v="3"/>
    <m/>
    <m/>
    <s v="완료"/>
    <n v="18000"/>
    <n v="18000"/>
    <m/>
    <m/>
    <m/>
    <m/>
  </r>
  <r>
    <x v="2"/>
    <s v="목"/>
    <s v="B24"/>
    <s v="더하임 204"/>
    <n v="1"/>
    <e v="#REF!"/>
    <e v="#REF!"/>
    <e v="#REF!"/>
    <x v="0"/>
    <m/>
    <m/>
    <s v="완료"/>
    <n v="18000"/>
    <n v="18000"/>
    <m/>
    <m/>
    <m/>
    <m/>
  </r>
  <r>
    <x v="2"/>
    <s v="목"/>
    <s v="B36"/>
    <s v="더하임 306"/>
    <n v="1.5"/>
    <e v="#REF!"/>
    <e v="#REF!"/>
    <e v="#REF!"/>
    <x v="0"/>
    <m/>
    <m/>
    <s v="완료"/>
    <n v="20000"/>
    <n v="20000"/>
    <m/>
    <m/>
    <m/>
    <m/>
  </r>
  <r>
    <x v="2"/>
    <s v="목"/>
    <s v="E4"/>
    <s v="렘브 505"/>
    <n v="1"/>
    <e v="#REF!"/>
    <e v="#REF!"/>
    <e v="#REF!"/>
    <x v="1"/>
    <m/>
    <m/>
    <s v="완료"/>
    <n v="18000"/>
    <n v="18000"/>
    <m/>
    <m/>
    <m/>
    <m/>
  </r>
  <r>
    <x v="2"/>
    <s v="목"/>
    <s v="E5"/>
    <s v="동구햇살 1203"/>
    <s v="복"/>
    <e v="#REF!"/>
    <e v="#REF!"/>
    <e v="#REF!"/>
    <x v="1"/>
    <m/>
    <m/>
    <s v="완료"/>
    <n v="20000"/>
    <n v="20000"/>
    <m/>
    <m/>
    <m/>
    <m/>
  </r>
  <r>
    <x v="2"/>
    <s v="목"/>
    <s v="E1"/>
    <s v="르센티 1801"/>
    <s v="복"/>
    <e v="#REF!"/>
    <e v="#REF!"/>
    <e v="#REF!"/>
    <x v="5"/>
    <m/>
    <m/>
    <s v="완료"/>
    <n v="20000"/>
    <n v="20000"/>
    <m/>
    <m/>
    <m/>
    <m/>
  </r>
  <r>
    <x v="2"/>
    <s v="목"/>
    <s v="F2"/>
    <s v="오앤 401"/>
    <n v="1"/>
    <e v="#REF!"/>
    <e v="#REF!"/>
    <e v="#REF!"/>
    <x v="5"/>
    <m/>
    <m/>
    <s v="완료"/>
    <n v="18000"/>
    <n v="18000"/>
    <m/>
    <m/>
    <m/>
    <m/>
  </r>
  <r>
    <x v="2"/>
    <s v="목"/>
    <s v="G3"/>
    <s v="si 602"/>
    <n v="1"/>
    <e v="#REF!"/>
    <e v="#REF!"/>
    <e v="#REF!"/>
    <x v="5"/>
    <m/>
    <m/>
    <s v="완료"/>
    <n v="18000"/>
    <n v="18000"/>
    <m/>
    <m/>
    <m/>
    <m/>
  </r>
  <r>
    <x v="2"/>
    <s v="목"/>
    <s v="C"/>
    <s v="청광1차 207"/>
    <n v="0"/>
    <e v="#REF!"/>
    <e v="#REF!"/>
    <e v="#REF!"/>
    <x v="3"/>
    <m/>
    <m/>
    <s v="완료"/>
    <n v="10000"/>
    <n v="10000"/>
    <m/>
    <m/>
    <m/>
    <m/>
  </r>
  <r>
    <x v="3"/>
    <s v="금"/>
    <s v="V11"/>
    <s v="대치동 101호"/>
    <n v="2"/>
    <e v="#REF!"/>
    <e v="#REF!"/>
    <e v="#REF!"/>
    <x v="2"/>
    <m/>
    <m/>
    <s v="완료"/>
    <n v="23000"/>
    <n v="23000"/>
    <m/>
    <m/>
    <m/>
    <m/>
  </r>
  <r>
    <x v="3"/>
    <s v="금"/>
    <s v="C6"/>
    <s v="청광1차 1303"/>
    <n v="1"/>
    <e v="#REF!"/>
    <e v="#REF!"/>
    <e v="#REF!"/>
    <x v="1"/>
    <m/>
    <m/>
    <s v="완료"/>
    <n v="18000"/>
    <n v="18000"/>
    <m/>
    <m/>
    <m/>
    <m/>
  </r>
  <r>
    <x v="3"/>
    <s v="금"/>
    <s v="T46"/>
    <s v="센텀 2차 406"/>
    <n v="1.5"/>
    <e v="#REF!"/>
    <e v="#REF!"/>
    <e v="#REF!"/>
    <x v="1"/>
    <m/>
    <m/>
    <s v="완료"/>
    <n v="20000"/>
    <n v="20000"/>
    <m/>
    <m/>
    <m/>
    <m/>
  </r>
  <r>
    <x v="3"/>
    <s v="금"/>
    <s v="T66"/>
    <s v="센텀 2차 606"/>
    <n v="1.5"/>
    <e v="#REF!"/>
    <e v="#REF!"/>
    <e v="#REF!"/>
    <x v="1"/>
    <m/>
    <m/>
    <s v="완료"/>
    <n v="20000"/>
    <n v="20000"/>
    <m/>
    <m/>
    <m/>
    <m/>
  </r>
  <r>
    <x v="3"/>
    <s v="금"/>
    <s v="U42"/>
    <s v="성우 402"/>
    <n v="3"/>
    <e v="#REF!"/>
    <e v="#REF!"/>
    <e v="#REF!"/>
    <x v="0"/>
    <m/>
    <m/>
    <s v="완료"/>
    <n v="30000"/>
    <n v="30000"/>
    <m/>
    <m/>
    <m/>
    <m/>
  </r>
  <r>
    <x v="3"/>
    <s v="금"/>
    <s v="U83"/>
    <s v="성우 803"/>
    <n v="3"/>
    <e v="#REF!"/>
    <e v="#REF!"/>
    <e v="#REF!"/>
    <x v="0"/>
    <m/>
    <m/>
    <s v="완료"/>
    <n v="30000"/>
    <n v="30000"/>
    <m/>
    <m/>
    <m/>
    <m/>
  </r>
  <r>
    <x v="3"/>
    <s v="금"/>
    <s v="A33"/>
    <s v="예건 303"/>
    <n v="2"/>
    <e v="#REF!"/>
    <e v="#REF!"/>
    <e v="#REF!"/>
    <x v="0"/>
    <m/>
    <m/>
    <s v="완료"/>
    <n v="23000"/>
    <n v="23000"/>
    <m/>
    <m/>
    <m/>
    <m/>
  </r>
  <r>
    <x v="3"/>
    <s v="금"/>
    <s v="B36"/>
    <s v="더하임 306"/>
    <n v="1.5"/>
    <e v="#REF!"/>
    <e v="#REF!"/>
    <e v="#REF!"/>
    <x v="5"/>
    <m/>
    <m/>
    <s v="완료"/>
    <n v="20000"/>
    <n v="20000"/>
    <m/>
    <m/>
    <m/>
    <m/>
  </r>
  <r>
    <x v="3"/>
    <s v="금"/>
    <s v="B54"/>
    <s v="더하임 504"/>
    <n v="1"/>
    <e v="#REF!"/>
    <e v="#REF!"/>
    <e v="#REF!"/>
    <x v="5"/>
    <m/>
    <m/>
    <s v="완료"/>
    <n v="18000"/>
    <n v="18000"/>
    <m/>
    <m/>
    <m/>
    <m/>
  </r>
  <r>
    <x v="3"/>
    <s v="금"/>
    <s v="B64"/>
    <s v="더하임 604"/>
    <n v="1"/>
    <e v="#REF!"/>
    <e v="#REF!"/>
    <e v="#REF!"/>
    <x v="5"/>
    <m/>
    <m/>
    <s v="완료"/>
    <n v="18000"/>
    <n v="18000"/>
    <m/>
    <m/>
    <m/>
    <m/>
  </r>
  <r>
    <x v="3"/>
    <s v="금"/>
    <s v="D1"/>
    <s v="청광3차 1416"/>
    <n v="1"/>
    <e v="#REF!"/>
    <e v="#REF!"/>
    <e v="#REF!"/>
    <x v="4"/>
    <m/>
    <m/>
    <s v="완료"/>
    <n v="18000"/>
    <n v="18000"/>
    <m/>
    <m/>
    <m/>
    <m/>
  </r>
  <r>
    <x v="3"/>
    <s v="금"/>
    <s v="D3"/>
    <s v="청광3차 507"/>
    <n v="1"/>
    <e v="#REF!"/>
    <e v="#REF!"/>
    <e v="#REF!"/>
    <x v="4"/>
    <m/>
    <m/>
    <s v="완료"/>
    <n v="18000"/>
    <n v="18000"/>
    <m/>
    <m/>
    <m/>
    <m/>
  </r>
  <r>
    <x v="3"/>
    <s v="금"/>
    <s v="D6"/>
    <s v="청광3차 1412"/>
    <n v="1"/>
    <e v="#REF!"/>
    <e v="#REF!"/>
    <e v="#REF!"/>
    <x v="4"/>
    <m/>
    <m/>
    <s v="완료"/>
    <n v="18000"/>
    <n v="18000"/>
    <m/>
    <m/>
    <m/>
    <m/>
  </r>
  <r>
    <x v="3"/>
    <s v="금"/>
    <s v="H25"/>
    <s v="오금스타 205"/>
    <n v="1"/>
    <e v="#REF!"/>
    <e v="#REF!"/>
    <e v="#REF!"/>
    <x v="4"/>
    <m/>
    <m/>
    <s v="완료"/>
    <n v="18000"/>
    <n v="18000"/>
    <m/>
    <m/>
    <m/>
    <m/>
  </r>
  <r>
    <x v="3"/>
    <s v="금"/>
    <s v="D8"/>
    <s v="강동QV 1604"/>
    <n v="1"/>
    <e v="#REF!"/>
    <e v="#REF!"/>
    <e v="#REF!"/>
    <x v="3"/>
    <m/>
    <m/>
    <s v="완료"/>
    <n v="18000"/>
    <n v="18000"/>
    <m/>
    <m/>
    <m/>
    <m/>
  </r>
  <r>
    <x v="3"/>
    <s v="금"/>
    <s v="E1"/>
    <s v="르센티 1801"/>
    <s v="복"/>
    <e v="#REF!"/>
    <e v="#REF!"/>
    <e v="#REF!"/>
    <x v="3"/>
    <m/>
    <m/>
    <s v="완료"/>
    <n v="20000"/>
    <n v="20000"/>
    <m/>
    <m/>
    <m/>
    <m/>
  </r>
  <r>
    <x v="3"/>
    <s v="금"/>
    <s v="E3"/>
    <s v="렘브 204"/>
    <n v="1"/>
    <e v="#REF!"/>
    <e v="#REF!"/>
    <e v="#REF!"/>
    <x v="3"/>
    <s v="비번 5752"/>
    <m/>
    <s v="완료"/>
    <n v="18000"/>
    <n v="18000"/>
    <m/>
    <m/>
    <m/>
    <m/>
  </r>
  <r>
    <x v="3"/>
    <s v="금"/>
    <s v="E5"/>
    <s v="동구햇살 1203"/>
    <s v="복"/>
    <e v="#REF!"/>
    <e v="#REF!"/>
    <e v="#REF!"/>
    <x v="6"/>
    <m/>
    <m/>
    <s v="완료"/>
    <n v="20000"/>
    <n v="20000"/>
    <m/>
    <m/>
    <m/>
    <m/>
  </r>
  <r>
    <x v="3"/>
    <s v="금"/>
    <s v="F2"/>
    <s v="오앤 401"/>
    <n v="1"/>
    <e v="#REF!"/>
    <e v="#REF!"/>
    <e v="#REF!"/>
    <x v="6"/>
    <m/>
    <m/>
    <s v="완료"/>
    <n v="18000"/>
    <n v="18000"/>
    <m/>
    <m/>
    <m/>
    <m/>
  </r>
  <r>
    <x v="3"/>
    <s v="금"/>
    <s v="G3"/>
    <s v="si 602"/>
    <n v="1"/>
    <e v="#REF!"/>
    <e v="#REF!"/>
    <e v="#REF!"/>
    <x v="6"/>
    <m/>
    <m/>
    <s v="완료"/>
    <n v="18000"/>
    <n v="18000"/>
    <m/>
    <m/>
    <m/>
    <m/>
  </r>
  <r>
    <x v="3"/>
    <s v="금"/>
    <s v="L5"/>
    <s v="하람휴 1001"/>
    <n v="2"/>
    <e v="#REF!"/>
    <e v="#REF!"/>
    <e v="#REF!"/>
    <x v="7"/>
    <m/>
    <m/>
    <s v="완료"/>
    <n v="23000"/>
    <n v="23000"/>
    <m/>
    <m/>
    <m/>
    <m/>
  </r>
  <r>
    <x v="3"/>
    <s v="금"/>
    <s v="C"/>
    <s v="청광1차 207"/>
    <n v="0"/>
    <e v="#REF!"/>
    <e v="#REF!"/>
    <e v="#REF!"/>
    <x v="3"/>
    <m/>
    <m/>
    <s v="완료"/>
    <n v="10000"/>
    <n v="10000"/>
    <m/>
    <m/>
    <m/>
    <m/>
  </r>
  <r>
    <x v="4"/>
    <s v="토"/>
    <s v="V11"/>
    <s v="대치동 101호"/>
    <n v="2"/>
    <e v="#REF!"/>
    <e v="#REF!"/>
    <e v="#REF!"/>
    <x v="2"/>
    <m/>
    <m/>
    <s v="완료"/>
    <n v="27000"/>
    <n v="23000"/>
    <m/>
    <m/>
    <n v="4000"/>
    <m/>
  </r>
  <r>
    <x v="4"/>
    <s v="토"/>
    <s v="V13"/>
    <s v="대치동 103호"/>
    <n v="1.5"/>
    <e v="#REF!"/>
    <e v="#REF!"/>
    <e v="#REF!"/>
    <x v="2"/>
    <m/>
    <m/>
    <s v="완료"/>
    <n v="20000"/>
    <n v="20000"/>
    <m/>
    <m/>
    <m/>
    <m/>
  </r>
  <r>
    <x v="4"/>
    <s v="토"/>
    <s v="T46"/>
    <s v="센텀 2차 406"/>
    <n v="1.5"/>
    <e v="#REF!"/>
    <e v="#REF!"/>
    <e v="#REF!"/>
    <x v="0"/>
    <m/>
    <m/>
    <s v="완료"/>
    <n v="20000"/>
    <n v="20000"/>
    <m/>
    <m/>
    <m/>
    <m/>
  </r>
  <r>
    <x v="4"/>
    <s v="토"/>
    <s v="T66"/>
    <s v="센텀 2차 606"/>
    <n v="1.5"/>
    <e v="#REF!"/>
    <e v="#REF!"/>
    <e v="#REF!"/>
    <x v="0"/>
    <m/>
    <m/>
    <s v="완료"/>
    <n v="20000"/>
    <n v="20000"/>
    <m/>
    <m/>
    <m/>
    <m/>
  </r>
  <r>
    <x v="4"/>
    <s v="토"/>
    <s v="U42"/>
    <s v="성우 402"/>
    <n v="3"/>
    <e v="#REF!"/>
    <e v="#REF!"/>
    <e v="#REF!"/>
    <x v="8"/>
    <m/>
    <m/>
    <s v="완료"/>
    <n v="30000"/>
    <n v="30000"/>
    <m/>
    <m/>
    <m/>
    <m/>
  </r>
  <r>
    <x v="4"/>
    <s v="토"/>
    <s v="U83"/>
    <s v="성우 803"/>
    <n v="3"/>
    <e v="#REF!"/>
    <e v="#REF!"/>
    <e v="#REF!"/>
    <x v="8"/>
    <m/>
    <m/>
    <s v="완료"/>
    <n v="30000"/>
    <n v="30000"/>
    <m/>
    <m/>
    <m/>
    <m/>
  </r>
  <r>
    <x v="4"/>
    <s v="토"/>
    <s v="A24"/>
    <s v="예건 204"/>
    <n v="1"/>
    <e v="#REF!"/>
    <e v="#REF!"/>
    <e v="#REF!"/>
    <x v="8"/>
    <m/>
    <m/>
    <s v="완료"/>
    <n v="18000"/>
    <n v="18000"/>
    <m/>
    <m/>
    <m/>
    <m/>
  </r>
  <r>
    <x v="4"/>
    <s v="토"/>
    <s v="A33"/>
    <s v="예건 303"/>
    <n v="2"/>
    <e v="#REF!"/>
    <e v="#REF!"/>
    <e v="#REF!"/>
    <x v="8"/>
    <m/>
    <m/>
    <s v="완료"/>
    <n v="23000"/>
    <n v="23000"/>
    <m/>
    <m/>
    <m/>
    <m/>
  </r>
  <r>
    <x v="4"/>
    <s v="토"/>
    <s v="B36"/>
    <s v="더하임 306"/>
    <n v="1.5"/>
    <e v="#REF!"/>
    <e v="#REF!"/>
    <e v="#REF!"/>
    <x v="6"/>
    <m/>
    <m/>
    <s v="완료"/>
    <n v="20000"/>
    <n v="20000"/>
    <m/>
    <m/>
    <m/>
    <m/>
  </r>
  <r>
    <x v="4"/>
    <s v="토"/>
    <s v="B54"/>
    <s v="더하임 504"/>
    <n v="1"/>
    <e v="#REF!"/>
    <e v="#REF!"/>
    <e v="#REF!"/>
    <x v="6"/>
    <m/>
    <m/>
    <s v="완료"/>
    <n v="18000"/>
    <n v="18000"/>
    <m/>
    <m/>
    <m/>
    <m/>
  </r>
  <r>
    <x v="4"/>
    <s v="토"/>
    <s v="G3"/>
    <s v="si 602"/>
    <n v="1"/>
    <e v="#REF!"/>
    <e v="#REF!"/>
    <e v="#REF!"/>
    <x v="6"/>
    <m/>
    <m/>
    <s v="완료"/>
    <n v="18000"/>
    <n v="18000"/>
    <m/>
    <m/>
    <m/>
    <m/>
  </r>
  <r>
    <x v="4"/>
    <s v="토"/>
    <s v="C6"/>
    <s v="청광1차 1303"/>
    <n v="1"/>
    <e v="#REF!"/>
    <e v="#REF!"/>
    <e v="#REF!"/>
    <x v="5"/>
    <m/>
    <m/>
    <s v="완료"/>
    <n v="18000"/>
    <n v="18000"/>
    <m/>
    <m/>
    <m/>
    <m/>
  </r>
  <r>
    <x v="4"/>
    <s v="토"/>
    <s v="D1"/>
    <s v="청광3차 1416"/>
    <n v="1"/>
    <e v="#REF!"/>
    <e v="#REF!"/>
    <e v="#REF!"/>
    <x v="5"/>
    <m/>
    <m/>
    <s v="완료"/>
    <n v="18000"/>
    <n v="18000"/>
    <m/>
    <m/>
    <m/>
    <m/>
  </r>
  <r>
    <x v="4"/>
    <s v="토"/>
    <s v="D8"/>
    <s v="강동QV 1604"/>
    <n v="1"/>
    <e v="#REF!"/>
    <e v="#REF!"/>
    <e v="#REF!"/>
    <x v="5"/>
    <m/>
    <m/>
    <s v="완료"/>
    <n v="18000"/>
    <n v="18000"/>
    <m/>
    <m/>
    <m/>
    <m/>
  </r>
  <r>
    <x v="4"/>
    <s v="토"/>
    <s v="E1"/>
    <s v="르센티 1801"/>
    <s v="복"/>
    <e v="#REF!"/>
    <e v="#REF!"/>
    <e v="#REF!"/>
    <x v="0"/>
    <m/>
    <m/>
    <s v="완료"/>
    <n v="20000"/>
    <n v="20000"/>
    <m/>
    <m/>
    <m/>
    <m/>
  </r>
  <r>
    <x v="4"/>
    <s v="토"/>
    <s v="E4"/>
    <s v="렘브 505"/>
    <n v="1"/>
    <e v="#REF!"/>
    <e v="#REF!"/>
    <e v="#REF!"/>
    <x v="1"/>
    <m/>
    <m/>
    <s v="완료"/>
    <n v="18000"/>
    <n v="18000"/>
    <m/>
    <m/>
    <m/>
    <m/>
  </r>
  <r>
    <x v="4"/>
    <s v="토"/>
    <s v="E5"/>
    <s v="동구햇살 1203"/>
    <s v="복"/>
    <e v="#REF!"/>
    <e v="#REF!"/>
    <e v="#REF!"/>
    <x v="3"/>
    <m/>
    <m/>
    <s v="완료"/>
    <n v="20000"/>
    <n v="20000"/>
    <m/>
    <m/>
    <m/>
    <m/>
  </r>
  <r>
    <x v="4"/>
    <s v="토"/>
    <s v="F2"/>
    <s v="오앤 401"/>
    <n v="1"/>
    <e v="#REF!"/>
    <e v="#REF!"/>
    <e v="#REF!"/>
    <x v="3"/>
    <m/>
    <m/>
    <s v="완료"/>
    <n v="18000"/>
    <n v="18000"/>
    <m/>
    <m/>
    <m/>
    <m/>
  </r>
  <r>
    <x v="4"/>
    <s v="토"/>
    <s v="H25"/>
    <s v="오금스타 205"/>
    <n v="1"/>
    <e v="#REF!"/>
    <e v="#REF!"/>
    <e v="#REF!"/>
    <x v="4"/>
    <m/>
    <m/>
    <s v="완료"/>
    <n v="18000"/>
    <n v="18000"/>
    <m/>
    <m/>
    <m/>
    <m/>
  </r>
  <r>
    <x v="4"/>
    <s v="토"/>
    <s v="H42"/>
    <s v="오금스타 402"/>
    <n v="1"/>
    <e v="#REF!"/>
    <e v="#REF!"/>
    <e v="#REF!"/>
    <x v="4"/>
    <m/>
    <m/>
    <s v="완료"/>
    <n v="18000"/>
    <n v="18000"/>
    <m/>
    <m/>
    <m/>
    <m/>
  </r>
  <r>
    <x v="4"/>
    <s v="토"/>
    <s v="L3"/>
    <s v="하람휴 1102"/>
    <n v="2"/>
    <e v="#REF!"/>
    <e v="#REF!"/>
    <e v="#REF!"/>
    <x v="7"/>
    <m/>
    <m/>
    <s v="완료"/>
    <n v="23000"/>
    <n v="23000"/>
    <m/>
    <m/>
    <m/>
    <m/>
  </r>
  <r>
    <x v="4"/>
    <s v="토"/>
    <s v="C"/>
    <s v="청광1차 207"/>
    <n v="0"/>
    <e v="#REF!"/>
    <e v="#REF!"/>
    <e v="#REF!"/>
    <x v="3"/>
    <m/>
    <m/>
    <s v="완료"/>
    <n v="10000"/>
    <n v="10000"/>
    <m/>
    <m/>
    <m/>
    <m/>
  </r>
  <r>
    <x v="5"/>
    <s v="일"/>
    <s v="T46"/>
    <s v="센텀 2차 406"/>
    <n v="1.5"/>
    <e v="#REF!"/>
    <e v="#REF!"/>
    <e v="#REF!"/>
    <x v="5"/>
    <m/>
    <m/>
    <s v="완료"/>
    <n v="20000"/>
    <n v="20000"/>
    <m/>
    <m/>
    <m/>
    <m/>
  </r>
  <r>
    <x v="5"/>
    <s v="일"/>
    <s v="T51"/>
    <s v="센텀 2차 501"/>
    <n v="1.5"/>
    <e v="#REF!"/>
    <e v="#REF!"/>
    <e v="#REF!"/>
    <x v="5"/>
    <m/>
    <m/>
    <s v="완료"/>
    <n v="20000"/>
    <n v="20000"/>
    <m/>
    <m/>
    <m/>
    <m/>
  </r>
  <r>
    <x v="5"/>
    <s v="일"/>
    <s v="T66"/>
    <s v="센텀 2차 606"/>
    <n v="1.5"/>
    <e v="#REF!"/>
    <e v="#REF!"/>
    <e v="#REF!"/>
    <x v="5"/>
    <m/>
    <m/>
    <s v="완료"/>
    <n v="20000"/>
    <n v="20000"/>
    <m/>
    <m/>
    <m/>
    <m/>
  </r>
  <r>
    <x v="5"/>
    <s v="일"/>
    <s v="G3"/>
    <s v="si 602"/>
    <n v="1"/>
    <e v="#REF!"/>
    <e v="#REF!"/>
    <e v="#REF!"/>
    <x v="5"/>
    <m/>
    <m/>
    <s v="완료"/>
    <n v="18000"/>
    <n v="18000"/>
    <m/>
    <m/>
    <m/>
    <m/>
  </r>
  <r>
    <x v="5"/>
    <s v="일"/>
    <s v="U42"/>
    <s v="성우 402"/>
    <n v="3"/>
    <e v="#REF!"/>
    <e v="#REF!"/>
    <e v="#REF!"/>
    <x v="8"/>
    <m/>
    <m/>
    <s v="완료"/>
    <n v="30000"/>
    <n v="30000"/>
    <m/>
    <m/>
    <m/>
    <m/>
  </r>
  <r>
    <x v="5"/>
    <s v="일"/>
    <s v="A24"/>
    <s v="예건 204"/>
    <n v="1"/>
    <e v="#REF!"/>
    <e v="#REF!"/>
    <e v="#REF!"/>
    <x v="8"/>
    <m/>
    <m/>
    <s v="완료"/>
    <n v="18000"/>
    <n v="18000"/>
    <m/>
    <m/>
    <m/>
    <m/>
  </r>
  <r>
    <x v="5"/>
    <s v="일"/>
    <s v="A33"/>
    <s v="예건 303"/>
    <n v="2"/>
    <e v="#REF!"/>
    <e v="#REF!"/>
    <e v="#REF!"/>
    <x v="1"/>
    <m/>
    <m/>
    <s v="완료"/>
    <n v="23000"/>
    <n v="23000"/>
    <m/>
    <m/>
    <m/>
    <m/>
  </r>
  <r>
    <x v="5"/>
    <s v="일"/>
    <s v="A62"/>
    <s v="예건 602"/>
    <n v="1"/>
    <e v="#REF!"/>
    <e v="#REF!"/>
    <e v="#REF!"/>
    <x v="1"/>
    <m/>
    <m/>
    <s v="완료"/>
    <n v="18000"/>
    <n v="18000"/>
    <m/>
    <m/>
    <m/>
    <m/>
  </r>
  <r>
    <x v="5"/>
    <s v="일"/>
    <s v="B36"/>
    <s v="더하임 306"/>
    <n v="1.5"/>
    <e v="#REF!"/>
    <e v="#REF!"/>
    <e v="#REF!"/>
    <x v="0"/>
    <m/>
    <m/>
    <s v="완료"/>
    <n v="20000"/>
    <n v="20000"/>
    <m/>
    <m/>
    <m/>
    <m/>
  </r>
  <r>
    <x v="5"/>
    <s v="일"/>
    <s v="B46"/>
    <s v="더하임 406"/>
    <n v="1.5"/>
    <e v="#REF!"/>
    <e v="#REF!"/>
    <e v="#REF!"/>
    <x v="0"/>
    <m/>
    <m/>
    <s v="완료"/>
    <n v="20000"/>
    <n v="20000"/>
    <m/>
    <m/>
    <m/>
    <m/>
  </r>
  <r>
    <x v="5"/>
    <s v="일"/>
    <s v="B54"/>
    <s v="더하임 504"/>
    <n v="1"/>
    <e v="#REF!"/>
    <e v="#REF!"/>
    <e v="#REF!"/>
    <x v="0"/>
    <m/>
    <m/>
    <s v="완료"/>
    <n v="18000"/>
    <n v="18000"/>
    <m/>
    <m/>
    <m/>
    <m/>
  </r>
  <r>
    <x v="5"/>
    <s v="일"/>
    <s v="D8"/>
    <s v="강동QV 1604"/>
    <n v="1"/>
    <e v="#REF!"/>
    <e v="#REF!"/>
    <e v="#REF!"/>
    <x v="3"/>
    <m/>
    <m/>
    <s v="완료"/>
    <n v="18000"/>
    <n v="18000"/>
    <m/>
    <m/>
    <m/>
    <m/>
  </r>
  <r>
    <x v="5"/>
    <s v="일"/>
    <s v="E5"/>
    <s v="동구햇살 1203"/>
    <s v="복"/>
    <e v="#REF!"/>
    <e v="#REF!"/>
    <e v="#REF!"/>
    <x v="3"/>
    <m/>
    <m/>
    <s v="완료"/>
    <n v="20000"/>
    <n v="20000"/>
    <m/>
    <m/>
    <m/>
    <m/>
  </r>
  <r>
    <x v="5"/>
    <s v="일"/>
    <s v="F2"/>
    <s v="오앤 401"/>
    <n v="1"/>
    <e v="#REF!"/>
    <e v="#REF!"/>
    <e v="#REF!"/>
    <x v="3"/>
    <m/>
    <m/>
    <s v="완료"/>
    <n v="18000"/>
    <n v="18000"/>
    <m/>
    <m/>
    <m/>
    <m/>
  </r>
  <r>
    <x v="5"/>
    <s v="일"/>
    <s v="E3"/>
    <s v="렘브 204"/>
    <n v="1"/>
    <e v="#REF!"/>
    <e v="#REF!"/>
    <e v="#REF!"/>
    <x v="4"/>
    <m/>
    <m/>
    <s v="완료"/>
    <n v="18000"/>
    <n v="18000"/>
    <m/>
    <m/>
    <m/>
    <m/>
  </r>
  <r>
    <x v="5"/>
    <s v="일"/>
    <s v="E4"/>
    <s v="렘브 505"/>
    <n v="1"/>
    <e v="#REF!"/>
    <e v="#REF!"/>
    <e v="#REF!"/>
    <x v="4"/>
    <m/>
    <m/>
    <s v="완료"/>
    <n v="18000"/>
    <n v="18000"/>
    <m/>
    <m/>
    <m/>
    <m/>
  </r>
  <r>
    <x v="5"/>
    <s v="일"/>
    <s v="H25"/>
    <s v="오금스타 205"/>
    <n v="1"/>
    <e v="#REF!"/>
    <e v="#REF!"/>
    <e v="#REF!"/>
    <x v="4"/>
    <m/>
    <m/>
    <s v="완료"/>
    <n v="48500"/>
    <n v="18000"/>
    <m/>
    <m/>
    <n v="30500"/>
    <m/>
  </r>
  <r>
    <x v="5"/>
    <s v="일"/>
    <s v="K1"/>
    <s v="선일 101"/>
    <n v="2"/>
    <e v="#REF!"/>
    <e v="#REF!"/>
    <e v="#REF!"/>
    <x v="9"/>
    <m/>
    <m/>
    <s v="완료"/>
    <n v="31500"/>
    <n v="23000"/>
    <m/>
    <m/>
    <n v="8500"/>
    <m/>
  </r>
  <r>
    <x v="5"/>
    <s v="일"/>
    <s v="L3"/>
    <s v="하람휴 1102"/>
    <n v="2"/>
    <e v="#REF!"/>
    <e v="#REF!"/>
    <e v="#REF!"/>
    <x v="7"/>
    <m/>
    <m/>
    <s v="완료"/>
    <n v="23000"/>
    <n v="23000"/>
    <m/>
    <m/>
    <m/>
    <m/>
  </r>
  <r>
    <x v="5"/>
    <s v="일"/>
    <s v="C"/>
    <s v="청광1차 207"/>
    <n v="0"/>
    <e v="#REF!"/>
    <e v="#REF!"/>
    <e v="#REF!"/>
    <x v="3"/>
    <m/>
    <m/>
    <s v="완료"/>
    <n v="10000"/>
    <n v="10000"/>
    <m/>
    <m/>
    <m/>
    <m/>
  </r>
  <r>
    <x v="6"/>
    <s v="월"/>
    <s v="T46"/>
    <s v="센텀 2차 406"/>
    <n v="1.5"/>
    <e v="#REF!"/>
    <e v="#REF!"/>
    <e v="#REF!"/>
    <x v="1"/>
    <m/>
    <m/>
    <s v="완료"/>
    <n v="20000"/>
    <n v="20000"/>
    <m/>
    <m/>
    <m/>
    <m/>
  </r>
  <r>
    <x v="6"/>
    <s v="월"/>
    <s v="T66"/>
    <s v="센텀 2차 606"/>
    <n v="1.5"/>
    <e v="#REF!"/>
    <e v="#REF!"/>
    <e v="#REF!"/>
    <x v="1"/>
    <m/>
    <m/>
    <s v="완료"/>
    <n v="20000"/>
    <n v="20000"/>
    <m/>
    <m/>
    <m/>
    <m/>
  </r>
  <r>
    <x v="6"/>
    <s v="토"/>
    <s v="U83"/>
    <s v="성우 803"/>
    <n v="3"/>
    <e v="#REF!"/>
    <e v="#REF!"/>
    <e v="#REF!"/>
    <x v="0"/>
    <m/>
    <m/>
    <s v="완료"/>
    <n v="30000"/>
    <n v="30000"/>
    <m/>
    <m/>
    <m/>
    <m/>
  </r>
  <r>
    <x v="6"/>
    <s v="토"/>
    <s v="A62"/>
    <s v="예건 602"/>
    <n v="1"/>
    <e v="#REF!"/>
    <e v="#REF!"/>
    <e v="#REF!"/>
    <x v="0"/>
    <m/>
    <m/>
    <s v="완료"/>
    <n v="18000"/>
    <n v="18000"/>
    <m/>
    <m/>
    <m/>
    <m/>
  </r>
  <r>
    <x v="6"/>
    <s v="토"/>
    <s v="D1"/>
    <s v="청광3차 1416"/>
    <n v="1"/>
    <e v="#REF!"/>
    <e v="#REF!"/>
    <e v="#REF!"/>
    <x v="0"/>
    <m/>
    <m/>
    <s v="완료"/>
    <n v="18000"/>
    <n v="18000"/>
    <m/>
    <m/>
    <m/>
    <m/>
  </r>
  <r>
    <x v="6"/>
    <s v="토"/>
    <s v="B36"/>
    <s v="더하임 306"/>
    <n v="1.5"/>
    <e v="#REF!"/>
    <e v="#REF!"/>
    <e v="#REF!"/>
    <x v="3"/>
    <m/>
    <m/>
    <s v="완료"/>
    <n v="20000"/>
    <n v="20000"/>
    <m/>
    <m/>
    <m/>
    <m/>
  </r>
  <r>
    <x v="6"/>
    <s v="토"/>
    <s v="D8"/>
    <s v="강동QV 1604"/>
    <n v="1"/>
    <e v="#REF!"/>
    <e v="#REF!"/>
    <e v="#REF!"/>
    <x v="3"/>
    <m/>
    <m/>
    <s v="완료"/>
    <n v="18000"/>
    <n v="18000"/>
    <m/>
    <m/>
    <m/>
    <m/>
  </r>
  <r>
    <x v="6"/>
    <s v="토"/>
    <s v="F2"/>
    <s v="오앤 401"/>
    <n v="1"/>
    <e v="#REF!"/>
    <e v="#REF!"/>
    <e v="#REF!"/>
    <x v="3"/>
    <m/>
    <m/>
    <s v="완료"/>
    <n v="18000"/>
    <n v="18000"/>
    <m/>
    <m/>
    <m/>
    <m/>
  </r>
  <r>
    <x v="6"/>
    <s v="토"/>
    <s v="C6"/>
    <s v="청광1차 1303"/>
    <n v="1"/>
    <e v="#REF!"/>
    <e v="#REF!"/>
    <e v="#REF!"/>
    <x v="5"/>
    <m/>
    <m/>
    <s v="완료"/>
    <n v="18000"/>
    <n v="18000"/>
    <m/>
    <m/>
    <m/>
    <m/>
  </r>
  <r>
    <x v="6"/>
    <s v="토"/>
    <s v="E1"/>
    <s v="르센티 1801"/>
    <s v="복"/>
    <e v="#REF!"/>
    <e v="#REF!"/>
    <e v="#REF!"/>
    <x v="5"/>
    <s v="화장실 세면대, 서랍장 고장"/>
    <m/>
    <s v="완료"/>
    <n v="20000"/>
    <n v="20000"/>
    <m/>
    <m/>
    <m/>
    <m/>
  </r>
  <r>
    <x v="6"/>
    <s v="토"/>
    <s v="E3"/>
    <s v="렘브 204"/>
    <n v="1"/>
    <e v="#REF!"/>
    <e v="#REF!"/>
    <e v="#REF!"/>
    <x v="5"/>
    <m/>
    <m/>
    <s v="완료"/>
    <n v="18000"/>
    <n v="18000"/>
    <m/>
    <m/>
    <m/>
    <m/>
  </r>
  <r>
    <x v="6"/>
    <s v="토"/>
    <s v="E5"/>
    <s v="동구햇살 1203"/>
    <s v="복"/>
    <e v="#REF!"/>
    <e v="#REF!"/>
    <e v="#REF!"/>
    <x v="5"/>
    <m/>
    <m/>
    <s v="완료"/>
    <n v="20000"/>
    <n v="20000"/>
    <m/>
    <m/>
    <m/>
    <m/>
  </r>
  <r>
    <x v="6"/>
    <s v="토"/>
    <s v="G3"/>
    <s v="si 602"/>
    <n v="1"/>
    <e v="#REF!"/>
    <e v="#REF!"/>
    <e v="#REF!"/>
    <x v="5"/>
    <m/>
    <m/>
    <s v="완료"/>
    <n v="20000"/>
    <n v="18000"/>
    <n v="2000"/>
    <m/>
    <m/>
    <m/>
  </r>
  <r>
    <x v="6"/>
    <s v="토"/>
    <s v="L2"/>
    <s v="하람휴 902"/>
    <n v="2"/>
    <e v="#REF!"/>
    <e v="#REF!"/>
    <e v="#REF!"/>
    <x v="7"/>
    <m/>
    <m/>
    <s v="완료"/>
    <n v="33000"/>
    <n v="23000"/>
    <n v="10000"/>
    <m/>
    <m/>
    <m/>
  </r>
  <r>
    <x v="6"/>
    <s v="토"/>
    <s v="L3"/>
    <s v="하람휴 1102"/>
    <n v="2"/>
    <e v="#REF!"/>
    <e v="#REF!"/>
    <e v="#REF!"/>
    <x v="7"/>
    <m/>
    <m/>
    <s v="완료"/>
    <n v="23000"/>
    <n v="23000"/>
    <m/>
    <m/>
    <m/>
    <m/>
  </r>
  <r>
    <x v="6"/>
    <s v="토"/>
    <s v="A25"/>
    <s v="예건 205"/>
    <n v="1"/>
    <e v="#REF!"/>
    <e v="#REF!"/>
    <e v="#REF!"/>
    <x v="0"/>
    <m/>
    <m/>
    <s v="완료"/>
    <n v="18000"/>
    <n v="18000"/>
    <m/>
    <m/>
    <m/>
    <m/>
  </r>
  <r>
    <x v="6"/>
    <s v="토"/>
    <s v="C"/>
    <s v="청광1차 207"/>
    <n v="0"/>
    <e v="#REF!"/>
    <e v="#REF!"/>
    <e v="#REF!"/>
    <x v="3"/>
    <m/>
    <m/>
    <s v="완료"/>
    <n v="10000"/>
    <n v="1000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6-02-17T00:00:00"/>
    <s v="화"/>
    <s v="T46"/>
    <s v="센텀 2차 406"/>
    <n v="1.5"/>
    <x v="0"/>
    <m/>
    <m/>
    <s v="완료"/>
    <n v="20000"/>
    <n v="20000"/>
    <m/>
    <m/>
  </r>
  <r>
    <d v="2026-02-17T00:00:00"/>
    <s v="화"/>
    <s v="T51"/>
    <s v="센텀 2차 501"/>
    <n v="1.5"/>
    <x v="0"/>
    <m/>
    <m/>
    <s v="완료"/>
    <n v="20000"/>
    <n v="20000"/>
    <m/>
    <m/>
  </r>
  <r>
    <d v="2026-02-17T00:00:00"/>
    <s v="화"/>
    <s v="T66"/>
    <s v="센텀 2차 606"/>
    <n v="1.5"/>
    <x v="0"/>
    <m/>
    <m/>
    <s v="완료"/>
    <n v="20000"/>
    <n v="20000"/>
    <m/>
    <m/>
  </r>
  <r>
    <d v="2026-02-17T00:00:00"/>
    <s v="화"/>
    <s v="G3"/>
    <s v="si 602"/>
    <n v="1"/>
    <x v="0"/>
    <m/>
    <m/>
    <s v="완료"/>
    <n v="20000"/>
    <n v="18000"/>
    <n v="2000"/>
    <m/>
  </r>
  <r>
    <d v="2026-02-17T00:00:00"/>
    <s v="화"/>
    <s v="H42"/>
    <s v="오금스타 402"/>
    <n v="1"/>
    <x v="1"/>
    <m/>
    <m/>
    <s v="완료"/>
    <n v="18000"/>
    <n v="18000"/>
    <m/>
    <m/>
  </r>
  <r>
    <d v="2026-02-17T00:00:00"/>
    <s v="화"/>
    <s v="H21"/>
    <s v="오금스타 201"/>
    <n v="1"/>
    <x v="1"/>
    <m/>
    <m/>
    <s v="완료"/>
    <n v="18000"/>
    <n v="18000"/>
    <m/>
    <m/>
  </r>
  <r>
    <d v="2026-02-17T00:00:00"/>
    <s v="화"/>
    <s v="U42"/>
    <s v="성우 402"/>
    <n v="3"/>
    <x v="2"/>
    <m/>
    <m/>
    <s v="완료"/>
    <n v="30000"/>
    <n v="30000"/>
    <m/>
    <m/>
  </r>
  <r>
    <d v="2026-02-17T00:00:00"/>
    <s v="화"/>
    <s v="A33"/>
    <s v="예건 303"/>
    <n v="2"/>
    <x v="2"/>
    <m/>
    <m/>
    <s v="완료"/>
    <n v="23000"/>
    <n v="23000"/>
    <m/>
    <m/>
  </r>
  <r>
    <d v="2026-02-17T00:00:00"/>
    <s v="화"/>
    <s v="B36"/>
    <s v="더하임 306"/>
    <n v="1.5"/>
    <x v="1"/>
    <m/>
    <m/>
    <s v="완료"/>
    <n v="20000"/>
    <n v="20000"/>
    <m/>
    <m/>
  </r>
  <r>
    <d v="2026-02-17T00:00:00"/>
    <s v="화"/>
    <s v="B56"/>
    <s v="더하임 506"/>
    <n v="1.5"/>
    <x v="1"/>
    <m/>
    <m/>
    <s v="완료"/>
    <n v="20000"/>
    <n v="20000"/>
    <m/>
    <m/>
  </r>
  <r>
    <d v="2026-02-17T00:00:00"/>
    <s v="화"/>
    <s v="C6"/>
    <s v="청광1차 1303"/>
    <n v="1"/>
    <x v="3"/>
    <m/>
    <m/>
    <s v="완료"/>
    <n v="18000"/>
    <n v="18000"/>
    <m/>
    <m/>
  </r>
  <r>
    <d v="2026-02-17T00:00:00"/>
    <s v="화"/>
    <s v="D8"/>
    <s v="강동QV 1604"/>
    <n v="1"/>
    <x v="3"/>
    <m/>
    <m/>
    <s v="완료"/>
    <n v="18000"/>
    <n v="18000"/>
    <m/>
    <m/>
  </r>
  <r>
    <d v="2026-02-17T00:00:00"/>
    <s v="화"/>
    <s v="E5"/>
    <s v="동구햇살 1203"/>
    <s v="복"/>
    <x v="3"/>
    <m/>
    <m/>
    <s v="완료"/>
    <n v="20000"/>
    <n v="20000"/>
    <m/>
    <m/>
  </r>
  <r>
    <d v="2026-02-17T00:00:00"/>
    <s v="화"/>
    <s v="E3"/>
    <s v="렘브 204"/>
    <n v="1"/>
    <x v="4"/>
    <m/>
    <m/>
    <s v="완료"/>
    <n v="18000"/>
    <n v="18000"/>
    <m/>
    <m/>
  </r>
  <r>
    <d v="2026-02-17T00:00:00"/>
    <s v="화"/>
    <s v="E4"/>
    <s v="렘브 505"/>
    <n v="1"/>
    <x v="4"/>
    <m/>
    <m/>
    <s v="완료"/>
    <n v="18000"/>
    <n v="18000"/>
    <m/>
    <m/>
  </r>
  <r>
    <d v="2026-02-17T00:00:00"/>
    <s v="화"/>
    <s v="L3"/>
    <s v="하람휴 1102"/>
    <n v="2"/>
    <x v="5"/>
    <m/>
    <m/>
    <s v="완료"/>
    <n v="23000"/>
    <n v="23000"/>
    <m/>
    <m/>
  </r>
  <r>
    <d v="2026-02-17T00:00:00"/>
    <s v="화"/>
    <s v="L5"/>
    <s v="하람휴 1001"/>
    <n v="2"/>
    <x v="5"/>
    <m/>
    <m/>
    <s v="완료"/>
    <n v="23000"/>
    <n v="23000"/>
    <m/>
    <m/>
  </r>
  <r>
    <d v="2026-02-17T00:00:00"/>
    <s v="화"/>
    <s v="C"/>
    <s v="청광1차 207"/>
    <n v="0"/>
    <x v="4"/>
    <m/>
    <m/>
    <s v="완료"/>
    <n v="10000"/>
    <n v="10000"/>
    <m/>
    <m/>
  </r>
  <r>
    <d v="2026-02-18T00:00:00"/>
    <s v="수"/>
    <s v="T46"/>
    <s v="센텀 2차 406"/>
    <n v="1.5"/>
    <x v="3"/>
    <m/>
    <m/>
    <s v="완료"/>
    <n v="20000"/>
    <n v="20000"/>
    <m/>
    <m/>
  </r>
  <r>
    <d v="2026-02-18T00:00:00"/>
    <s v="수"/>
    <s v="E5"/>
    <s v="동구햇살 1203"/>
    <s v="복"/>
    <x v="3"/>
    <m/>
    <m/>
    <s v="완료"/>
    <n v="20000"/>
    <n v="20000"/>
    <m/>
    <m/>
  </r>
  <r>
    <d v="2026-02-18T00:00:00"/>
    <s v="수"/>
    <s v="B36"/>
    <s v="더하임 306"/>
    <n v="1.5"/>
    <x v="4"/>
    <m/>
    <m/>
    <s v="완료"/>
    <n v="20000"/>
    <n v="20000"/>
    <m/>
    <m/>
  </r>
  <r>
    <d v="2026-02-18T00:00:00"/>
    <s v="수"/>
    <s v="B54"/>
    <s v="더하임 504"/>
    <n v="1"/>
    <x v="4"/>
    <m/>
    <m/>
    <s v="완료"/>
    <n v="18000"/>
    <n v="18000"/>
    <m/>
    <m/>
  </r>
  <r>
    <d v="2026-02-18T00:00:00"/>
    <s v="수"/>
    <s v="E3"/>
    <s v="렘브 204"/>
    <n v="1"/>
    <x v="2"/>
    <m/>
    <m/>
    <s v="완료"/>
    <n v="18000"/>
    <n v="18000"/>
    <m/>
    <m/>
  </r>
  <r>
    <d v="2026-02-18T00:00:00"/>
    <s v="수"/>
    <s v="E4"/>
    <s v="렘브 505"/>
    <n v="1"/>
    <x v="2"/>
    <m/>
    <m/>
    <s v="완료"/>
    <n v="18000"/>
    <n v="18000"/>
    <m/>
    <m/>
  </r>
  <r>
    <d v="2026-02-18T00:00:00"/>
    <s v="수"/>
    <s v="C6"/>
    <s v="청광1차 1303"/>
    <n v="1"/>
    <x v="6"/>
    <m/>
    <m/>
    <s v="완료"/>
    <n v="18000"/>
    <n v="18000"/>
    <m/>
    <m/>
  </r>
  <r>
    <d v="2026-02-18T00:00:00"/>
    <s v="수"/>
    <s v="G3"/>
    <s v="si 602"/>
    <n v="1"/>
    <x v="6"/>
    <m/>
    <m/>
    <s v="완료"/>
    <n v="20000"/>
    <n v="18000"/>
    <n v="2000"/>
    <m/>
  </r>
  <r>
    <d v="2026-02-18T00:00:00"/>
    <s v="수"/>
    <s v="D8"/>
    <s v="강동QV 1604"/>
    <n v="1"/>
    <x v="0"/>
    <m/>
    <m/>
    <s v="완료"/>
    <n v="18000"/>
    <n v="18000"/>
    <m/>
    <m/>
  </r>
  <r>
    <d v="2026-02-18T00:00:00"/>
    <s v="수"/>
    <s v="E1"/>
    <s v="르센티 1801"/>
    <s v="복"/>
    <x v="1"/>
    <m/>
    <m/>
    <s v="완료"/>
    <n v="20000"/>
    <n v="20000"/>
    <m/>
    <m/>
  </r>
  <r>
    <d v="2026-02-18T00:00:00"/>
    <s v="수"/>
    <s v="F2"/>
    <s v="오앤 401"/>
    <n v="1"/>
    <x v="1"/>
    <m/>
    <m/>
    <s v="완료"/>
    <n v="18000"/>
    <n v="18000"/>
    <m/>
    <m/>
  </r>
  <r>
    <d v="2026-02-18T00:00:00"/>
    <s v="수"/>
    <s v="C"/>
    <s v="청광1차 207"/>
    <n v="0"/>
    <x v="4"/>
    <m/>
    <m/>
    <s v="완료"/>
    <n v="10000"/>
    <n v="10000"/>
    <m/>
    <m/>
  </r>
  <r>
    <d v="2026-02-19T00:00:00"/>
    <s v="목"/>
    <s v="T46"/>
    <s v="센텀 2차 406"/>
    <n v="1.5"/>
    <x v="6"/>
    <m/>
    <m/>
    <s v="완료"/>
    <n v="20000"/>
    <n v="20000"/>
    <m/>
    <m/>
  </r>
  <r>
    <d v="2026-02-19T00:00:00"/>
    <s v="목"/>
    <s v="T66"/>
    <s v="센텀 2차 606"/>
    <n v="1.5"/>
    <x v="6"/>
    <m/>
    <m/>
    <s v="완료"/>
    <n v="20000"/>
    <n v="20000"/>
    <m/>
    <m/>
  </r>
  <r>
    <d v="2026-02-19T00:00:00"/>
    <s v="목"/>
    <s v="G3"/>
    <s v="si 602"/>
    <n v="1"/>
    <x v="6"/>
    <m/>
    <m/>
    <s v="완료"/>
    <n v="20000"/>
    <n v="18000"/>
    <n v="2000"/>
    <m/>
  </r>
  <r>
    <d v="2026-02-19T00:00:00"/>
    <s v="목"/>
    <s v="B46"/>
    <s v="더하임 406"/>
    <n v="1.5"/>
    <x v="3"/>
    <m/>
    <m/>
    <s v="완료"/>
    <n v="20000"/>
    <n v="20000"/>
    <m/>
    <m/>
  </r>
  <r>
    <d v="2026-02-19T00:00:00"/>
    <s v="목"/>
    <s v="B54"/>
    <s v="더하임 504"/>
    <n v="1"/>
    <x v="3"/>
    <m/>
    <m/>
    <s v="완료"/>
    <n v="18000"/>
    <n v="18000"/>
    <m/>
    <m/>
  </r>
  <r>
    <d v="2026-02-19T00:00:00"/>
    <s v="목"/>
    <s v="A62"/>
    <s v="예건 602"/>
    <n v="1"/>
    <x v="1"/>
    <s v="침대 하단 피스 날카로움"/>
    <m/>
    <s v="완료"/>
    <n v="18000"/>
    <n v="18000"/>
    <m/>
    <m/>
  </r>
  <r>
    <d v="2026-02-19T00:00:00"/>
    <s v="목"/>
    <s v="D1"/>
    <s v="청광3차 1416"/>
    <n v="1"/>
    <x v="1"/>
    <m/>
    <m/>
    <s v="완료"/>
    <n v="18000"/>
    <n v="18000"/>
    <m/>
    <m/>
  </r>
  <r>
    <d v="2026-02-19T00:00:00"/>
    <s v="목"/>
    <s v="B56"/>
    <s v="더하임 506"/>
    <n v="1.5"/>
    <x v="0"/>
    <m/>
    <m/>
    <s v="완료"/>
    <n v="20000"/>
    <n v="20000"/>
    <m/>
    <m/>
  </r>
  <r>
    <d v="2026-02-19T00:00:00"/>
    <s v="목"/>
    <s v="B64"/>
    <s v="더하임 604"/>
    <n v="1"/>
    <x v="0"/>
    <m/>
    <m/>
    <s v="완료"/>
    <n v="18000"/>
    <n v="18000"/>
    <m/>
    <m/>
  </r>
  <r>
    <d v="2026-02-19T00:00:00"/>
    <s v="목"/>
    <s v="C6"/>
    <s v="청광1차 1303"/>
    <n v="1"/>
    <x v="4"/>
    <m/>
    <m/>
    <s v="완료"/>
    <n v="18000"/>
    <n v="18000"/>
    <m/>
    <m/>
  </r>
  <r>
    <d v="2026-02-19T00:00:00"/>
    <s v="목"/>
    <s v="F2"/>
    <s v="오앤 401"/>
    <n v="1"/>
    <x v="4"/>
    <m/>
    <m/>
    <s v="완료"/>
    <n v="18000"/>
    <n v="18000"/>
    <m/>
    <m/>
  </r>
  <r>
    <d v="2026-02-19T00:00:00"/>
    <s v="목"/>
    <s v="D8"/>
    <s v="강동QV 1604"/>
    <n v="1"/>
    <x v="2"/>
    <m/>
    <m/>
    <s v="완료"/>
    <n v="18000"/>
    <n v="18000"/>
    <m/>
    <m/>
  </r>
  <r>
    <d v="2026-02-19T00:00:00"/>
    <s v="목"/>
    <s v="E5"/>
    <s v="동구햇살 1203"/>
    <s v="복"/>
    <x v="2"/>
    <m/>
    <m/>
    <s v="완료"/>
    <n v="20000"/>
    <n v="20000"/>
    <m/>
    <m/>
  </r>
  <r>
    <d v="2026-02-19T00:00:00"/>
    <s v="목"/>
    <s v="I1"/>
    <s v="미사 마이움 102-803"/>
    <n v="1"/>
    <x v="7"/>
    <m/>
    <m/>
    <s v="완료"/>
    <n v="25000"/>
    <n v="25000"/>
    <m/>
    <m/>
  </r>
  <r>
    <d v="2026-02-19T00:00:00"/>
    <s v="목"/>
    <s v="L1"/>
    <s v="가산 지웰 328"/>
    <n v="1"/>
    <x v="8"/>
    <m/>
    <m/>
    <s v="완료"/>
    <n v="40000"/>
    <n v="30000"/>
    <m/>
    <n v="10000"/>
  </r>
  <r>
    <d v="2026-02-19T00:00:00"/>
    <s v="목"/>
    <s v="C4"/>
    <s v="청광1차 709"/>
    <n v="1"/>
    <x v="6"/>
    <m/>
    <m/>
    <s v="완료"/>
    <n v="20000"/>
    <n v="18000"/>
    <n v="2000"/>
    <m/>
  </r>
  <r>
    <d v="2026-02-19T00:00:00"/>
    <s v="목"/>
    <s v="C"/>
    <s v="청광1차 207"/>
    <n v="0"/>
    <x v="4"/>
    <m/>
    <m/>
    <s v="완료"/>
    <n v="10000"/>
    <n v="10000"/>
    <m/>
    <m/>
  </r>
  <r>
    <d v="2026-02-20T00:00:00"/>
    <s v="금"/>
    <s v="T46"/>
    <s v="센텀 2차 406"/>
    <n v="1.5"/>
    <x v="0"/>
    <m/>
    <m/>
    <s v="완료"/>
    <n v="20000"/>
    <n v="20000"/>
    <m/>
    <m/>
  </r>
  <r>
    <d v="2026-02-20T00:00:00"/>
    <s v="금"/>
    <s v="T66"/>
    <s v="센텀 2차 606"/>
    <n v="1.5"/>
    <x v="0"/>
    <m/>
    <m/>
    <s v="완료"/>
    <n v="20000"/>
    <n v="20000"/>
    <m/>
    <m/>
  </r>
  <r>
    <d v="2026-02-20T00:00:00"/>
    <s v="금"/>
    <s v="G3"/>
    <s v="si 602"/>
    <n v="1"/>
    <x v="0"/>
    <m/>
    <m/>
    <s v="완료"/>
    <n v="20000"/>
    <n v="18000"/>
    <n v="2000"/>
    <m/>
  </r>
  <r>
    <d v="2026-02-20T00:00:00"/>
    <s v="금"/>
    <s v="V13"/>
    <s v="대치동 103호"/>
    <n v="1.5"/>
    <x v="9"/>
    <m/>
    <m/>
    <s v="완료"/>
    <n v="24000"/>
    <n v="20000"/>
    <m/>
    <n v="4000"/>
  </r>
  <r>
    <d v="2026-02-20T00:00:00"/>
    <s v="금"/>
    <s v="V11"/>
    <s v="대치동 101호"/>
    <n v="2"/>
    <x v="9"/>
    <m/>
    <m/>
    <s v="완료"/>
    <n v="23000"/>
    <n v="23000"/>
    <m/>
    <m/>
  </r>
  <r>
    <d v="2026-02-20T00:00:00"/>
    <s v="금"/>
    <s v="C6"/>
    <s v="청광1차 1303"/>
    <n v="1"/>
    <x v="2"/>
    <m/>
    <m/>
    <s v="완료"/>
    <n v="18000"/>
    <n v="18000"/>
    <m/>
    <m/>
  </r>
  <r>
    <d v="2026-02-20T00:00:00"/>
    <s v="금"/>
    <s v="E5"/>
    <s v="동구햇살 1203"/>
    <s v="복"/>
    <x v="2"/>
    <m/>
    <m/>
    <s v="완료"/>
    <n v="20000"/>
    <n v="20000"/>
    <m/>
    <m/>
  </r>
  <r>
    <d v="2026-02-20T00:00:00"/>
    <s v="금"/>
    <s v="A22"/>
    <s v="예건 202"/>
    <n v="1"/>
    <x v="3"/>
    <m/>
    <m/>
    <s v="완료"/>
    <n v="18000"/>
    <n v="18000"/>
    <m/>
    <m/>
  </r>
  <r>
    <d v="2026-02-20T00:00:00"/>
    <s v="금"/>
    <s v="A24"/>
    <s v="예건 204"/>
    <n v="1"/>
    <x v="3"/>
    <m/>
    <m/>
    <s v="완료"/>
    <n v="18000"/>
    <n v="18000"/>
    <m/>
    <m/>
  </r>
  <r>
    <d v="2026-02-20T00:00:00"/>
    <s v="금"/>
    <s v="B36"/>
    <s v="더하임 306"/>
    <n v="1.5"/>
    <x v="6"/>
    <m/>
    <m/>
    <s v="완료"/>
    <n v="20000"/>
    <n v="20000"/>
    <m/>
    <m/>
  </r>
  <r>
    <d v="2026-02-20T00:00:00"/>
    <s v="금"/>
    <s v="B46"/>
    <s v="더하임 406"/>
    <n v="1.5"/>
    <x v="6"/>
    <m/>
    <m/>
    <s v="완료"/>
    <n v="20000"/>
    <n v="20000"/>
    <m/>
    <m/>
  </r>
  <r>
    <d v="2026-02-20T00:00:00"/>
    <s v="금"/>
    <s v="B56"/>
    <s v="더하임 506"/>
    <n v="1.5"/>
    <x v="6"/>
    <m/>
    <m/>
    <s v="완료"/>
    <n v="20000"/>
    <n v="20000"/>
    <m/>
    <m/>
  </r>
  <r>
    <d v="2026-02-20T00:00:00"/>
    <s v="금"/>
    <s v="B64"/>
    <s v="더하임 604"/>
    <n v="1"/>
    <x v="6"/>
    <m/>
    <m/>
    <s v="완료"/>
    <n v="18000"/>
    <n v="18000"/>
    <m/>
    <m/>
  </r>
  <r>
    <d v="2026-02-20T00:00:00"/>
    <s v="금"/>
    <s v="U42"/>
    <s v="성우 402"/>
    <n v="3"/>
    <x v="4"/>
    <m/>
    <m/>
    <s v="완료"/>
    <n v="30000"/>
    <n v="30000"/>
    <m/>
    <m/>
  </r>
  <r>
    <d v="2026-02-20T00:00:00"/>
    <s v="금"/>
    <s v="F2"/>
    <s v="오앤 401"/>
    <n v="1"/>
    <x v="4"/>
    <m/>
    <m/>
    <s v="완료"/>
    <n v="18000"/>
    <n v="18000"/>
    <m/>
    <m/>
  </r>
  <r>
    <d v="2026-02-20T00:00:00"/>
    <s v="금"/>
    <s v="C"/>
    <s v="청광1차 207"/>
    <n v="0"/>
    <x v="4"/>
    <m/>
    <m/>
    <s v="완료"/>
    <n v="10000"/>
    <n v="10000"/>
    <m/>
    <m/>
  </r>
  <r>
    <d v="2026-02-21T00:00:00"/>
    <s v="토"/>
    <s v="V11"/>
    <s v="대치동 101호"/>
    <n v="2"/>
    <x v="9"/>
    <m/>
    <m/>
    <s v="완료"/>
    <n v="23000"/>
    <n v="23000"/>
    <m/>
    <m/>
  </r>
  <r>
    <d v="2026-02-21T00:00:00"/>
    <s v="토"/>
    <s v="V12"/>
    <s v="대치동 102호"/>
    <n v="1"/>
    <x v="9"/>
    <m/>
    <m/>
    <s v="완료"/>
    <n v="22000"/>
    <n v="18000"/>
    <m/>
    <n v="4000"/>
  </r>
  <r>
    <d v="2026-02-21T00:00:00"/>
    <s v="토"/>
    <s v="L3"/>
    <s v="하람휴 1102"/>
    <n v="2"/>
    <x v="5"/>
    <m/>
    <m/>
    <s v="완료"/>
    <n v="23000"/>
    <n v="23000"/>
    <m/>
    <m/>
  </r>
  <r>
    <d v="2026-02-21T00:00:00"/>
    <s v="토"/>
    <s v="T46"/>
    <s v="센텀 2차 406"/>
    <n v="1.5"/>
    <x v="2"/>
    <m/>
    <m/>
    <s v="완료"/>
    <n v="20000"/>
    <n v="20000"/>
    <m/>
    <m/>
  </r>
  <r>
    <d v="2026-02-21T00:00:00"/>
    <s v="토"/>
    <s v="T66"/>
    <s v="센텀 2차 606"/>
    <n v="1.5"/>
    <x v="2"/>
    <m/>
    <m/>
    <s v="완료"/>
    <n v="20000"/>
    <n v="20000"/>
    <m/>
    <m/>
  </r>
  <r>
    <d v="2026-02-21T00:00:00"/>
    <s v="토"/>
    <s v="U42"/>
    <s v="성우 402"/>
    <n v="3"/>
    <x v="0"/>
    <m/>
    <m/>
    <s v="완료"/>
    <n v="30000"/>
    <n v="30000"/>
    <m/>
    <m/>
  </r>
  <r>
    <d v="2026-02-21T00:00:00"/>
    <s v="토"/>
    <s v="A25"/>
    <s v="예건 205"/>
    <n v="1"/>
    <x v="0"/>
    <m/>
    <m/>
    <s v="완료"/>
    <n v="18000"/>
    <n v="18000"/>
    <m/>
    <m/>
  </r>
  <r>
    <d v="2026-02-21T00:00:00"/>
    <s v="토"/>
    <s v="A72"/>
    <s v="예건 702"/>
    <n v="1"/>
    <x v="0"/>
    <m/>
    <m/>
    <s v="완료"/>
    <n v="18000"/>
    <n v="18000"/>
    <m/>
    <m/>
  </r>
  <r>
    <d v="2026-02-21T00:00:00"/>
    <s v="토"/>
    <s v="B46"/>
    <s v="더하임 406"/>
    <n v="1.5"/>
    <x v="3"/>
    <m/>
    <m/>
    <s v="완료"/>
    <n v="20000"/>
    <n v="20000"/>
    <m/>
    <m/>
  </r>
  <r>
    <d v="2026-02-21T00:00:00"/>
    <s v="토"/>
    <s v="D8"/>
    <s v="강동QV 1604"/>
    <n v="1"/>
    <x v="3"/>
    <m/>
    <m/>
    <s v="완료"/>
    <n v="18000"/>
    <n v="18000"/>
    <m/>
    <m/>
  </r>
  <r>
    <d v="2026-02-21T00:00:00"/>
    <s v="토"/>
    <s v="C6"/>
    <s v="청광1차 1303"/>
    <n v="1"/>
    <x v="6"/>
    <m/>
    <m/>
    <s v="완료"/>
    <n v="18000"/>
    <n v="18000"/>
    <m/>
    <m/>
  </r>
  <r>
    <d v="2026-02-21T00:00:00"/>
    <s v="토"/>
    <s v="D6"/>
    <s v="청광3차 1412"/>
    <n v="1"/>
    <x v="6"/>
    <m/>
    <m/>
    <s v="완료"/>
    <n v="18000"/>
    <n v="18000"/>
    <m/>
    <m/>
  </r>
  <r>
    <d v="2026-02-21T00:00:00"/>
    <s v="토"/>
    <s v="E5"/>
    <s v="동구햇살 1203"/>
    <s v="복"/>
    <x v="4"/>
    <m/>
    <m/>
    <s v="완료"/>
    <n v="20000"/>
    <n v="20000"/>
    <m/>
    <m/>
  </r>
  <r>
    <d v="2026-02-21T00:00:00"/>
    <s v="토"/>
    <s v="F2"/>
    <s v="오앤 401"/>
    <n v="1"/>
    <x v="4"/>
    <m/>
    <m/>
    <s v="완료"/>
    <n v="18000"/>
    <n v="18000"/>
    <m/>
    <m/>
  </r>
  <r>
    <d v="2026-02-21T00:00:00"/>
    <s v="토"/>
    <s v="C"/>
    <s v="청광1차 207"/>
    <n v="0"/>
    <x v="4"/>
    <m/>
    <m/>
    <s v="완료"/>
    <n v="10000"/>
    <n v="10000"/>
    <m/>
    <m/>
  </r>
  <r>
    <d v="2026-02-22T00:00:00"/>
    <s v="일"/>
    <s v="T46"/>
    <s v="센텀 2차 406"/>
    <n v="1.5"/>
    <x v="0"/>
    <m/>
    <m/>
    <s v="완료"/>
    <n v="20000"/>
    <n v="20000"/>
    <m/>
    <m/>
  </r>
  <r>
    <d v="2026-02-22T00:00:00"/>
    <s v="일"/>
    <s v="T66"/>
    <s v="센텀 2차 606"/>
    <n v="1.5"/>
    <x v="0"/>
    <m/>
    <m/>
    <s v="완료"/>
    <n v="20000"/>
    <n v="20000"/>
    <m/>
    <m/>
  </r>
  <r>
    <d v="2026-02-22T00:00:00"/>
    <s v="일"/>
    <s v="C6"/>
    <s v="청광1차 1303"/>
    <n v="1"/>
    <x v="0"/>
    <m/>
    <m/>
    <s v="완료"/>
    <n v="18000"/>
    <n v="18000"/>
    <m/>
    <m/>
  </r>
  <r>
    <d v="2026-02-22T00:00:00"/>
    <s v="일"/>
    <s v="V11"/>
    <s v="대치동 101호"/>
    <n v="2"/>
    <x v="9"/>
    <m/>
    <m/>
    <s v="완료"/>
    <n v="27000"/>
    <n v="23000"/>
    <m/>
    <n v="4000"/>
  </r>
  <r>
    <d v="2026-02-22T00:00:00"/>
    <s v="일"/>
    <s v="V12"/>
    <s v="대치동 102호"/>
    <n v="1"/>
    <x v="9"/>
    <m/>
    <m/>
    <s v="완료"/>
    <n v="18000"/>
    <n v="18000"/>
    <m/>
    <m/>
  </r>
  <r>
    <d v="2026-02-22T00:00:00"/>
    <s v="일"/>
    <s v="A22"/>
    <s v="예건 202"/>
    <n v="1"/>
    <x v="2"/>
    <m/>
    <m/>
    <s v="완료"/>
    <n v="18000"/>
    <n v="18000"/>
    <m/>
    <m/>
  </r>
  <r>
    <d v="2026-02-22T00:00:00"/>
    <s v="일"/>
    <s v="A24"/>
    <s v="예건 204"/>
    <n v="1"/>
    <x v="2"/>
    <m/>
    <m/>
    <s v="완료"/>
    <n v="18000"/>
    <n v="18000"/>
    <m/>
    <m/>
  </r>
  <r>
    <d v="2026-02-22T00:00:00"/>
    <s v="일"/>
    <s v="A25"/>
    <s v="예건 205"/>
    <n v="1"/>
    <x v="2"/>
    <m/>
    <m/>
    <s v="완료"/>
    <n v="18000"/>
    <n v="18000"/>
    <m/>
    <m/>
  </r>
  <r>
    <d v="2026-02-22T00:00:00"/>
    <s v="일"/>
    <s v="B54"/>
    <s v="더하임 504"/>
    <n v="1"/>
    <x v="4"/>
    <m/>
    <m/>
    <s v="완료"/>
    <n v="18000"/>
    <n v="18000"/>
    <m/>
    <m/>
  </r>
  <r>
    <d v="2026-02-22T00:00:00"/>
    <s v="일"/>
    <s v="B56"/>
    <s v="더하임 506"/>
    <n v="1.5"/>
    <x v="4"/>
    <m/>
    <m/>
    <s v="완료"/>
    <n v="20000"/>
    <n v="20000"/>
    <m/>
    <m/>
  </r>
  <r>
    <d v="2026-02-22T00:00:00"/>
    <s v="일"/>
    <s v="B64"/>
    <s v="더하임 604"/>
    <n v="1"/>
    <x v="4"/>
    <m/>
    <m/>
    <s v="완료"/>
    <n v="18000"/>
    <n v="18000"/>
    <m/>
    <m/>
  </r>
  <r>
    <d v="2026-02-22T00:00:00"/>
    <s v="일"/>
    <s v="F2"/>
    <s v="오앤 401"/>
    <n v="1"/>
    <x v="6"/>
    <m/>
    <m/>
    <s v="완료"/>
    <n v="18000"/>
    <n v="18000"/>
    <m/>
    <m/>
  </r>
  <r>
    <d v="2026-02-22T00:00:00"/>
    <s v="일"/>
    <s v="A62"/>
    <s v="예건 602"/>
    <n v="1"/>
    <x v="3"/>
    <m/>
    <m/>
    <s v="완료"/>
    <n v="18000"/>
    <n v="18000"/>
    <m/>
    <m/>
  </r>
  <r>
    <d v="2026-02-22T00:00:00"/>
    <s v="일"/>
    <s v="A72"/>
    <s v="예건 702"/>
    <n v="1"/>
    <x v="3"/>
    <m/>
    <m/>
    <s v="완료"/>
    <n v="18000"/>
    <n v="18000"/>
    <m/>
    <m/>
  </r>
  <r>
    <d v="2026-02-22T00:00:00"/>
    <s v="일"/>
    <s v="U42"/>
    <s v="성우 402"/>
    <n v="3"/>
    <x v="3"/>
    <m/>
    <m/>
    <s v="완료"/>
    <n v="30000"/>
    <n v="30000"/>
    <m/>
    <m/>
  </r>
  <r>
    <d v="2026-02-22T00:00:00"/>
    <s v="일"/>
    <s v="B24"/>
    <s v="더하임 204"/>
    <n v="1"/>
    <x v="4"/>
    <m/>
    <m/>
    <s v="완료"/>
    <n v="18000"/>
    <n v="18000"/>
    <m/>
    <m/>
  </r>
  <r>
    <d v="2026-02-22T00:00:00"/>
    <s v="일"/>
    <s v="B36"/>
    <s v="더하임 306"/>
    <n v="1.5"/>
    <x v="4"/>
    <m/>
    <m/>
    <s v="완료"/>
    <n v="20000"/>
    <n v="20000"/>
    <m/>
    <m/>
  </r>
  <r>
    <d v="2026-02-22T00:00:00"/>
    <s v="일"/>
    <s v="F3"/>
    <s v="태상 501"/>
    <n v="2"/>
    <x v="6"/>
    <m/>
    <m/>
    <s v="완료"/>
    <n v="23000"/>
    <n v="23000"/>
    <m/>
    <m/>
  </r>
  <r>
    <d v="2026-02-22T00:00:00"/>
    <s v="일"/>
    <s v="G2"/>
    <s v="si 502"/>
    <n v="1"/>
    <x v="6"/>
    <m/>
    <m/>
    <s v="완료"/>
    <n v="25000"/>
    <n v="18000"/>
    <n v="7000"/>
    <m/>
  </r>
  <r>
    <d v="2026-02-22T00:00:00"/>
    <s v="일"/>
    <s v="G3"/>
    <s v="si 602"/>
    <n v="1"/>
    <x v="6"/>
    <m/>
    <m/>
    <s v="완료"/>
    <n v="20000"/>
    <n v="18000"/>
    <n v="2000"/>
    <m/>
  </r>
  <r>
    <d v="2026-02-22T00:00:00"/>
    <s v="일"/>
    <s v="D6"/>
    <s v="청광3차 1412"/>
    <n v="1"/>
    <x v="10"/>
    <m/>
    <m/>
    <s v="완료"/>
    <n v="18000"/>
    <n v="18000"/>
    <m/>
    <m/>
  </r>
  <r>
    <d v="2026-02-22T00:00:00"/>
    <s v="일"/>
    <s v="D8"/>
    <s v="강동QV 1604"/>
    <n v="1"/>
    <x v="10"/>
    <m/>
    <m/>
    <s v="완료"/>
    <n v="18000"/>
    <n v="18000"/>
    <m/>
    <m/>
  </r>
  <r>
    <d v="2026-02-22T00:00:00"/>
    <s v="일"/>
    <s v="E1"/>
    <s v="르센티 1801"/>
    <s v="복"/>
    <x v="10"/>
    <m/>
    <m/>
    <s v="완료"/>
    <n v="20000"/>
    <n v="20000"/>
    <m/>
    <m/>
  </r>
  <r>
    <d v="2026-02-22T00:00:00"/>
    <s v="일"/>
    <s v="H25"/>
    <s v="오금스타 205"/>
    <n v="1"/>
    <x v="10"/>
    <m/>
    <m/>
    <s v="완료"/>
    <n v="18000"/>
    <n v="18000"/>
    <m/>
    <m/>
  </r>
  <r>
    <d v="2026-02-22T00:00:00"/>
    <s v="일"/>
    <s v="K1"/>
    <s v="선일 101"/>
    <n v="2"/>
    <x v="11"/>
    <m/>
    <m/>
    <s v="완료"/>
    <n v="27000"/>
    <n v="23000"/>
    <m/>
    <n v="4000"/>
  </r>
  <r>
    <d v="2026-02-22T00:00:00"/>
    <s v="일"/>
    <s v="D1"/>
    <s v="청광3차 1416"/>
    <n v="1"/>
    <x v="3"/>
    <m/>
    <m/>
    <s v="완료"/>
    <n v="18000"/>
    <n v="18000"/>
    <m/>
    <m/>
  </r>
  <r>
    <d v="2026-02-22T00:00:00"/>
    <s v="일"/>
    <s v="C"/>
    <s v="청광1차 207"/>
    <n v="0"/>
    <x v="4"/>
    <m/>
    <m/>
    <s v="완료"/>
    <n v="10000"/>
    <n v="10000"/>
    <m/>
    <m/>
  </r>
  <r>
    <d v="2026-02-22T00:00:00"/>
    <s v="일"/>
    <s v="L5"/>
    <s v="하람휴 1001"/>
    <n v="2"/>
    <x v="5"/>
    <m/>
    <m/>
    <m/>
    <n v="23000"/>
    <n v="23000"/>
    <m/>
    <m/>
  </r>
  <r>
    <d v="2026-02-23T00:00:00"/>
    <s v="월"/>
    <s v="T46"/>
    <s v="센텀 2차 406"/>
    <n v="1.5"/>
    <x v="2"/>
    <m/>
    <m/>
    <s v="완료"/>
    <n v="20000"/>
    <n v="20000"/>
    <m/>
    <m/>
  </r>
  <r>
    <d v="2026-02-23T00:00:00"/>
    <s v="월"/>
    <s v="T66"/>
    <s v="센텀 2차 606"/>
    <n v="1.5"/>
    <x v="2"/>
    <m/>
    <m/>
    <s v="완료"/>
    <n v="20000"/>
    <n v="20000"/>
    <m/>
    <m/>
  </r>
  <r>
    <d v="2026-02-23T00:00:00"/>
    <s v="월"/>
    <s v="U34"/>
    <s v="성우 304"/>
    <n v="2"/>
    <x v="3"/>
    <m/>
    <m/>
    <s v="완료"/>
    <n v="23000"/>
    <n v="23000"/>
    <m/>
    <m/>
  </r>
  <r>
    <d v="2026-02-23T00:00:00"/>
    <s v="월"/>
    <s v="U83"/>
    <s v="성우 803"/>
    <n v="3"/>
    <x v="3"/>
    <m/>
    <m/>
    <s v="완료"/>
    <n v="30000"/>
    <n v="30000"/>
    <m/>
    <m/>
  </r>
  <r>
    <d v="2026-02-23T00:00:00"/>
    <s v="월"/>
    <s v="H21"/>
    <s v="오금스타 201"/>
    <n v="1"/>
    <x v="10"/>
    <m/>
    <m/>
    <s v="완료"/>
    <n v="18000"/>
    <n v="18000"/>
    <m/>
    <m/>
  </r>
  <r>
    <d v="2026-02-23T00:00:00"/>
    <s v="월"/>
    <s v="B46"/>
    <s v="더하임 406"/>
    <n v="1.5"/>
    <x v="4"/>
    <m/>
    <m/>
    <s v="완료"/>
    <n v="20000"/>
    <n v="20000"/>
    <m/>
    <m/>
  </r>
  <r>
    <d v="2026-02-23T00:00:00"/>
    <s v="월"/>
    <s v="B56"/>
    <s v="더하임 506"/>
    <n v="1.5"/>
    <x v="4"/>
    <m/>
    <m/>
    <s v="완료"/>
    <n v="20000"/>
    <n v="20000"/>
    <m/>
    <m/>
  </r>
  <r>
    <d v="2026-02-23T00:00:00"/>
    <s v="월"/>
    <s v="D1"/>
    <s v="청광3차 1416"/>
    <n v="1"/>
    <x v="10"/>
    <m/>
    <m/>
    <s v="완료"/>
    <n v="18000"/>
    <n v="18000"/>
    <m/>
    <m/>
  </r>
  <r>
    <d v="2026-02-23T00:00:00"/>
    <s v="월"/>
    <s v="D6"/>
    <s v="청광3차 1412"/>
    <n v="1"/>
    <x v="10"/>
    <m/>
    <m/>
    <s v="완료"/>
    <n v="18000"/>
    <n v="18000"/>
    <m/>
    <m/>
  </r>
  <r>
    <d v="2026-02-23T00:00:00"/>
    <s v="월"/>
    <s v="E1"/>
    <s v="르센티 1801"/>
    <s v="복"/>
    <x v="6"/>
    <m/>
    <m/>
    <s v="완료"/>
    <n v="20000"/>
    <n v="20000"/>
    <m/>
    <m/>
  </r>
  <r>
    <d v="2026-02-23T00:00:00"/>
    <s v="월"/>
    <s v="E5"/>
    <s v="동구햇살 1203"/>
    <s v="복"/>
    <x v="6"/>
    <m/>
    <m/>
    <s v="완료"/>
    <n v="20000"/>
    <n v="20000"/>
    <m/>
    <m/>
  </r>
  <r>
    <d v="2026-02-23T00:00:00"/>
    <s v="월"/>
    <s v="F2"/>
    <s v="오앤 401"/>
    <n v="1"/>
    <x v="6"/>
    <m/>
    <m/>
    <s v="완료"/>
    <n v="18000"/>
    <n v="18000"/>
    <m/>
    <m/>
  </r>
  <r>
    <d v="2026-02-23T00:00:00"/>
    <s v="월"/>
    <s v="F3"/>
    <s v="태상 501"/>
    <n v="2"/>
    <x v="0"/>
    <m/>
    <m/>
    <s v="완료"/>
    <n v="23000"/>
    <n v="23000"/>
    <m/>
    <m/>
  </r>
  <r>
    <d v="2026-02-23T00:00:00"/>
    <s v="월"/>
    <s v="G2"/>
    <s v="si 502"/>
    <n v="1"/>
    <x v="0"/>
    <m/>
    <m/>
    <s v="완료"/>
    <n v="20000"/>
    <n v="18000"/>
    <n v="2000"/>
    <m/>
  </r>
  <r>
    <d v="2026-02-23T00:00:00"/>
    <s v="월"/>
    <s v="L5"/>
    <s v="하람휴 1001"/>
    <n v="2"/>
    <x v="5"/>
    <m/>
    <m/>
    <s v="완료"/>
    <n v="23000"/>
    <n v="23000"/>
    <m/>
    <m/>
  </r>
  <r>
    <d v="2026-02-23T00:00:00"/>
    <s v="월"/>
    <s v="C"/>
    <s v="청광1차 207"/>
    <n v="0"/>
    <x v="4"/>
    <m/>
    <m/>
    <s v="완료"/>
    <n v="10000"/>
    <n v="1000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d v="2026-02-24T00:00:00"/>
    <s v="화"/>
    <s v="T66"/>
    <s v="센텀 2차 606"/>
    <n v="1.5"/>
    <x v="0"/>
    <m/>
    <m/>
    <s v="완료"/>
    <n v="20000"/>
  </r>
  <r>
    <d v="2026-02-24T00:00:00"/>
    <s v="화"/>
    <s v="A33"/>
    <s v="예건 303"/>
    <n v="2"/>
    <x v="1"/>
    <m/>
    <m/>
    <s v="완료"/>
    <n v="23000"/>
  </r>
  <r>
    <d v="2026-02-24T00:00:00"/>
    <s v="화"/>
    <s v="D1"/>
    <s v="청광3차 1416"/>
    <n v="1"/>
    <x v="2"/>
    <m/>
    <m/>
    <s v="완료"/>
    <n v="23000"/>
  </r>
  <r>
    <d v="2026-02-24T00:00:00"/>
    <s v="화"/>
    <s v="E5"/>
    <s v="동구햇살 1203"/>
    <s v="복"/>
    <x v="3"/>
    <m/>
    <m/>
    <s v="완료"/>
    <n v="20000"/>
  </r>
  <r>
    <d v="2026-02-24T00:00:00"/>
    <s v="화"/>
    <s v="B64"/>
    <s v="더하임 604"/>
    <n v="1"/>
    <x v="4"/>
    <m/>
    <m/>
    <s v="완료"/>
    <n v="18000"/>
  </r>
  <r>
    <d v="2026-02-24T00:00:00"/>
    <s v="화"/>
    <s v="F2"/>
    <s v="오앤 401"/>
    <n v="1"/>
    <x v="4"/>
    <m/>
    <m/>
    <s v="완료"/>
    <n v="18000"/>
  </r>
  <r>
    <d v="2026-02-24T00:00:00"/>
    <s v="화"/>
    <s v="C"/>
    <s v="청광1차 207"/>
    <n v="0"/>
    <x v="4"/>
    <m/>
    <m/>
    <s v="완료"/>
    <n v="10000"/>
  </r>
  <r>
    <d v="2026-02-24T00:00:00"/>
    <s v="화"/>
    <m/>
    <s v="더하임1004"/>
    <e v="#N/A"/>
    <x v="4"/>
    <s v="입주청소"/>
    <m/>
    <s v="완료"/>
    <n v="30000"/>
  </r>
  <r>
    <d v="2026-02-24T00:00:00"/>
    <s v="화"/>
    <m/>
    <s v="더하임1004"/>
    <e v="#N/A"/>
    <x v="3"/>
    <s v="입주청소"/>
    <m/>
    <s v="완료"/>
    <n v="30000"/>
  </r>
  <r>
    <d v="2026-02-24T00:00:00"/>
    <s v="화"/>
    <m/>
    <s v="더하임1005"/>
    <e v="#N/A"/>
    <x v="4"/>
    <s v="입주청소"/>
    <m/>
    <s v="완료"/>
    <n v="30000"/>
  </r>
  <r>
    <d v="2026-02-24T00:00:00"/>
    <s v="화"/>
    <m/>
    <s v="더하임1005"/>
    <e v="#N/A"/>
    <x v="3"/>
    <s v="입주청소"/>
    <m/>
    <s v="완료"/>
    <n v="30000"/>
  </r>
  <r>
    <d v="2026-02-24T00:00:00"/>
    <s v="화"/>
    <m/>
    <s v="더하임1006"/>
    <e v="#N/A"/>
    <x v="4"/>
    <s v="입주청소"/>
    <m/>
    <s v="완료"/>
    <n v="30000"/>
  </r>
  <r>
    <d v="2026-02-24T00:00:00"/>
    <s v="화"/>
    <m/>
    <s v="더하임1006"/>
    <e v="#N/A"/>
    <x v="3"/>
    <s v="입주청소"/>
    <m/>
    <s v="완료"/>
    <n v="30000"/>
  </r>
  <r>
    <d v="2026-02-25T00:00:00"/>
    <s v="수"/>
    <s v="B36"/>
    <s v="더하임 306"/>
    <n v="1.5"/>
    <x v="2"/>
    <m/>
    <m/>
    <s v="완료"/>
    <n v="20000"/>
  </r>
  <r>
    <d v="2026-02-25T00:00:00"/>
    <s v="수"/>
    <s v="B64"/>
    <s v="더하임 604"/>
    <n v="1"/>
    <x v="2"/>
    <m/>
    <m/>
    <s v="완료"/>
    <n v="18000"/>
  </r>
  <r>
    <d v="2026-02-25T00:00:00"/>
    <s v="수"/>
    <s v="D1"/>
    <s v="청광3차 1416"/>
    <n v="1"/>
    <x v="1"/>
    <m/>
    <m/>
    <s v="완료"/>
    <n v="18000"/>
  </r>
  <r>
    <d v="2026-02-25T00:00:00"/>
    <s v="수"/>
    <s v="E1"/>
    <s v="르센티 1801"/>
    <s v="복"/>
    <x v="1"/>
    <m/>
    <m/>
    <s v="완료"/>
    <n v="20000"/>
  </r>
  <r>
    <d v="2026-02-25T00:00:00"/>
    <s v="수"/>
    <s v="T66"/>
    <s v="센텀 2차 606"/>
    <n v="1.5"/>
    <x v="3"/>
    <m/>
    <m/>
    <s v="완료"/>
    <n v="20000"/>
  </r>
  <r>
    <d v="2026-02-25T00:00:00"/>
    <s v="수"/>
    <s v="E5"/>
    <s v="동구햇살 1203"/>
    <s v="복"/>
    <x v="4"/>
    <m/>
    <m/>
    <s v="완료"/>
    <n v="20000"/>
  </r>
  <r>
    <d v="2026-02-25T00:00:00"/>
    <s v="수"/>
    <s v="H42"/>
    <s v="오금스타 402"/>
    <n v="1"/>
    <x v="5"/>
    <m/>
    <m/>
    <s v="완료"/>
    <n v="18000"/>
  </r>
  <r>
    <d v="2026-02-25T00:00:00"/>
    <s v="수"/>
    <s v="J2"/>
    <s v="은성 603"/>
    <n v="1"/>
    <x v="4"/>
    <m/>
    <m/>
    <s v="완료"/>
    <n v="18000"/>
  </r>
  <r>
    <d v="2026-02-25T00:00:00"/>
    <s v="수"/>
    <s v="F2"/>
    <s v="오앤 401"/>
    <n v="1"/>
    <x v="4"/>
    <s v="수건배달 포함"/>
    <m/>
    <s v="완료"/>
    <n v="23000"/>
  </r>
  <r>
    <d v="2026-02-25T00:00:00"/>
    <s v="수"/>
    <s v="U94"/>
    <s v="성우 904"/>
    <n v="2"/>
    <x v="3"/>
    <m/>
    <m/>
    <s v="완료"/>
    <n v="23000"/>
  </r>
  <r>
    <d v="2026-02-25T00:00:00"/>
    <s v="수"/>
    <s v="U31"/>
    <s v="성우 301"/>
    <n v="2"/>
    <x v="3"/>
    <m/>
    <m/>
    <s v="완료"/>
    <n v="23000"/>
  </r>
  <r>
    <d v="2026-02-25T00:00:00"/>
    <s v="수"/>
    <s v="C"/>
    <s v="청광1차 207"/>
    <n v="0"/>
    <x v="4"/>
    <m/>
    <m/>
    <s v="완료"/>
    <n v="10000"/>
  </r>
  <r>
    <d v="2026-02-25T00:00:00"/>
    <s v="수"/>
    <s v="V12"/>
    <s v="대치동 102호"/>
    <n v="1"/>
    <x v="6"/>
    <s v="디퓨저 구매"/>
    <m/>
    <s v="완료"/>
    <n v="11800"/>
  </r>
  <r>
    <d v="2026-02-26T00:00:00"/>
    <s v="목"/>
    <s v="T46"/>
    <s v="센텀 2차 406"/>
    <n v="1.5"/>
    <x v="4"/>
    <s v="더하임306 건조대 수건 "/>
    <m/>
    <s v="완료"/>
    <n v="30000"/>
  </r>
  <r>
    <d v="2026-02-26T00:00:00"/>
    <s v="목"/>
    <s v="F2"/>
    <s v="오앤 401"/>
    <n v="1"/>
    <x v="4"/>
    <m/>
    <m/>
    <s v="완료"/>
    <n v="18000"/>
  </r>
  <r>
    <d v="2026-02-26T00:00:00"/>
    <s v="목"/>
    <s v="U42"/>
    <s v="성우 402"/>
    <n v="3"/>
    <x v="1"/>
    <m/>
    <m/>
    <s v="완료"/>
    <n v="30000"/>
  </r>
  <r>
    <d v="2026-02-26T00:00:00"/>
    <s v="목"/>
    <s v="A33"/>
    <s v="예건 303"/>
    <n v="2"/>
    <x v="1"/>
    <m/>
    <m/>
    <s v="완료"/>
    <n v="23000"/>
  </r>
  <r>
    <d v="2026-02-26T00:00:00"/>
    <s v="목"/>
    <s v="B35"/>
    <s v="더하임 305"/>
    <n v="1"/>
    <x v="0"/>
    <m/>
    <m/>
    <s v="완료"/>
    <n v="18000"/>
  </r>
  <r>
    <d v="2026-02-26T00:00:00"/>
    <s v="목"/>
    <s v="E1"/>
    <s v="르센티 1801"/>
    <s v="복"/>
    <x v="0"/>
    <m/>
    <m/>
    <s v="완료"/>
    <n v="20000"/>
  </r>
  <r>
    <d v="2026-02-26T00:00:00"/>
    <s v="목"/>
    <s v="E5"/>
    <s v="동구햇살 1203"/>
    <s v="복"/>
    <x v="2"/>
    <m/>
    <m/>
    <s v="완료"/>
    <n v="20000"/>
  </r>
  <r>
    <d v="2026-02-26T00:00:00"/>
    <s v="목"/>
    <s v="J2"/>
    <s v="은성 603"/>
    <n v="1"/>
    <x v="3"/>
    <m/>
    <m/>
    <s v="완료"/>
    <n v="18000"/>
  </r>
  <r>
    <d v="2026-02-26T00:00:00"/>
    <s v="목"/>
    <s v="C"/>
    <s v="청광1차 207"/>
    <n v="0"/>
    <x v="4"/>
    <m/>
    <m/>
    <s v="완료"/>
    <n v="10000"/>
  </r>
  <r>
    <d v="2026-02-27T00:00:00"/>
    <s v="금"/>
    <s v="T46"/>
    <s v="센텀 2차 406"/>
    <n v="1.5"/>
    <x v="7"/>
    <m/>
    <m/>
    <s v="완료"/>
    <n v="20000"/>
  </r>
  <r>
    <d v="2026-02-27T00:00:00"/>
    <s v="금"/>
    <s v="G3"/>
    <s v="si 602"/>
    <n v="1"/>
    <x v="7"/>
    <m/>
    <m/>
    <s v="완료"/>
    <n v="20000"/>
  </r>
  <r>
    <d v="2026-02-27T00:00:00"/>
    <s v="금"/>
    <s v="F2"/>
    <s v="오앤 401"/>
    <n v="1"/>
    <x v="4"/>
    <m/>
    <m/>
    <s v="완료"/>
    <n v="18000"/>
  </r>
  <r>
    <d v="2026-02-27T00:00:00"/>
    <s v="금"/>
    <s v="U83"/>
    <s v="성우 803"/>
    <n v="3"/>
    <x v="1"/>
    <m/>
    <m/>
    <s v="완료"/>
    <n v="30000"/>
  </r>
  <r>
    <d v="2026-02-27T00:00:00"/>
    <s v="금"/>
    <s v="V12"/>
    <s v="대치동 102호"/>
    <n v="1"/>
    <x v="6"/>
    <m/>
    <m/>
    <s v="완료"/>
    <n v="18000"/>
  </r>
  <r>
    <d v="2026-02-27T00:00:00"/>
    <s v="금"/>
    <s v="B24"/>
    <s v="더하임 204"/>
    <n v="1"/>
    <x v="3"/>
    <m/>
    <m/>
    <s v="완료"/>
    <n v="18000"/>
  </r>
  <r>
    <d v="2026-02-27T00:00:00"/>
    <s v="금"/>
    <s v="D6"/>
    <s v="청광3차 1412"/>
    <n v="1"/>
    <x v="5"/>
    <m/>
    <m/>
    <s v="완료"/>
    <n v="18000"/>
  </r>
  <r>
    <d v="2026-02-27T00:00:00"/>
    <s v="금"/>
    <s v="E1"/>
    <s v="르센티 1801"/>
    <s v="복"/>
    <x v="5"/>
    <m/>
    <m/>
    <s v="완료"/>
    <n v="20000"/>
  </r>
  <r>
    <d v="2026-02-27T00:00:00"/>
    <s v="금"/>
    <s v="L5"/>
    <s v="하람휴 1001"/>
    <n v="2"/>
    <x v="8"/>
    <m/>
    <m/>
    <s v="완료"/>
    <n v="23000"/>
  </r>
  <r>
    <d v="2026-02-27T00:00:00"/>
    <s v="금"/>
    <s v="C"/>
    <s v="청광1차 207"/>
    <n v="0"/>
    <x v="4"/>
    <m/>
    <m/>
    <s v="완료"/>
    <n v="10000"/>
  </r>
  <r>
    <d v="2026-02-28T00:00:00"/>
    <s v="토"/>
    <s v="T46"/>
    <s v="센텀 2차 406"/>
    <n v="1.5"/>
    <x v="3"/>
    <m/>
    <m/>
    <s v="완료"/>
    <n v="20000"/>
  </r>
  <r>
    <d v="2026-02-28T00:00:00"/>
    <s v="토"/>
    <s v="T51"/>
    <s v="센텀 2차 501"/>
    <n v="1.5"/>
    <x v="3"/>
    <m/>
    <m/>
    <s v="완료"/>
    <n v="20000"/>
  </r>
  <r>
    <d v="2026-02-28T00:00:00"/>
    <s v="토"/>
    <s v="T66"/>
    <s v="센텀 2차 606"/>
    <n v="1.5"/>
    <x v="3"/>
    <m/>
    <m/>
    <s v="완료"/>
    <n v="20000"/>
  </r>
  <r>
    <d v="2026-02-28T00:00:00"/>
    <s v="토"/>
    <s v="F1"/>
    <s v="한양립스 503"/>
    <n v="1"/>
    <x v="2"/>
    <m/>
    <m/>
    <s v="완료"/>
    <n v="18000"/>
  </r>
  <r>
    <d v="2026-02-28T00:00:00"/>
    <s v="토"/>
    <s v="E1"/>
    <s v="르센티 1801"/>
    <s v="복"/>
    <x v="2"/>
    <m/>
    <m/>
    <s v="완료"/>
    <n v="20000"/>
  </r>
  <r>
    <d v="2026-02-28T00:00:00"/>
    <s v="토"/>
    <s v="B104"/>
    <s v="더하임 1004"/>
    <n v="1"/>
    <x v="7"/>
    <m/>
    <m/>
    <s v="완료"/>
    <n v="18000"/>
  </r>
  <r>
    <d v="2026-02-28T00:00:00"/>
    <s v="토"/>
    <s v="B36"/>
    <s v="더하임 306"/>
    <n v="1.5"/>
    <x v="7"/>
    <m/>
    <m/>
    <s v="완료"/>
    <n v="20000"/>
  </r>
  <r>
    <d v="2026-02-28T00:00:00"/>
    <s v="토"/>
    <s v="A22"/>
    <s v="예건 202"/>
    <n v="1"/>
    <x v="1"/>
    <s v="침대 갈빗대 문제"/>
    <m/>
    <s v="완료"/>
    <n v="18000"/>
  </r>
  <r>
    <d v="2026-02-28T00:00:00"/>
    <s v="토"/>
    <s v="A25"/>
    <s v="예건 205"/>
    <n v="1"/>
    <x v="1"/>
    <m/>
    <m/>
    <s v="완료"/>
    <n v="18000"/>
  </r>
  <r>
    <d v="2026-02-28T00:00:00"/>
    <s v="토"/>
    <s v="C6"/>
    <s v="청광1차 1303"/>
    <n v="1"/>
    <x v="4"/>
    <m/>
    <m/>
    <s v="완료"/>
    <n v="18000"/>
  </r>
  <r>
    <d v="2026-02-28T00:00:00"/>
    <s v="토"/>
    <s v="D4"/>
    <s v="청광3차 806"/>
    <n v="1"/>
    <x v="5"/>
    <m/>
    <m/>
    <s v="완료"/>
    <n v="18000"/>
  </r>
  <r>
    <d v="2026-02-28T00:00:00"/>
    <s v="토"/>
    <s v="D8"/>
    <s v="강동QV 1604"/>
    <n v="1"/>
    <x v="5"/>
    <m/>
    <m/>
    <s v="완료"/>
    <n v="18000"/>
  </r>
  <r>
    <d v="2026-02-28T00:00:00"/>
    <s v="토"/>
    <s v="G2"/>
    <s v="si 502"/>
    <n v="1"/>
    <x v="9"/>
    <m/>
    <m/>
    <s v="완료"/>
    <n v="20000"/>
  </r>
  <r>
    <d v="2026-02-28T00:00:00"/>
    <s v="토"/>
    <s v="L5"/>
    <s v="하람휴 1001"/>
    <n v="2"/>
    <x v="8"/>
    <m/>
    <m/>
    <s v="완료"/>
    <n v="23000"/>
  </r>
  <r>
    <d v="2026-02-28T00:00:00"/>
    <s v="토"/>
    <s v="C"/>
    <s v="청광1차 207"/>
    <n v="0"/>
    <x v="8"/>
    <m/>
    <m/>
    <s v="완료"/>
    <n v="10000"/>
  </r>
  <r>
    <d v="2026-03-01T00:00:00"/>
    <s v="일"/>
    <s v="A25"/>
    <s v="예건 205"/>
    <n v="1"/>
    <x v="1"/>
    <m/>
    <m/>
    <s v="완료"/>
    <n v="18000"/>
  </r>
  <r>
    <d v="2026-03-01T00:00:00"/>
    <s v="일"/>
    <s v="D8"/>
    <s v="강동QV 1604"/>
    <n v="1"/>
    <x v="1"/>
    <m/>
    <m/>
    <s v="완료"/>
    <n v="18000"/>
  </r>
  <r>
    <d v="2026-03-01T00:00:00"/>
    <s v="일"/>
    <s v="T46"/>
    <s v="센텀 2차 406"/>
    <n v="1.5"/>
    <x v="3"/>
    <m/>
    <m/>
    <s v="완료"/>
    <n v="20000"/>
  </r>
  <r>
    <d v="2026-03-01T00:00:00"/>
    <s v="일"/>
    <s v="B105"/>
    <s v="더하임 1005"/>
    <n v="1"/>
    <x v="3"/>
    <m/>
    <m/>
    <s v="완료"/>
    <n v="18000"/>
  </r>
  <r>
    <d v="2026-03-01T00:00:00"/>
    <s v="일"/>
    <s v="F2"/>
    <s v="오앤 401"/>
    <n v="1"/>
    <x v="4"/>
    <m/>
    <m/>
    <s v="완료"/>
    <n v="18000"/>
  </r>
  <r>
    <d v="2026-03-01T00:00:00"/>
    <s v="일"/>
    <s v="E1"/>
    <s v="르센티 1801"/>
    <s v="복"/>
    <x v="5"/>
    <m/>
    <m/>
    <s v="완료"/>
    <n v="20000"/>
  </r>
  <r>
    <d v="2026-03-01T00:00:00"/>
    <s v="일"/>
    <s v="D4"/>
    <s v="청광3차 806"/>
    <n v="1"/>
    <x v="5"/>
    <m/>
    <m/>
    <s v="완료"/>
    <n v="18000"/>
  </r>
  <r>
    <d v="2026-03-01T00:00:00"/>
    <s v="일"/>
    <s v="C6"/>
    <s v="청광1차 1303"/>
    <n v="1"/>
    <x v="2"/>
    <m/>
    <m/>
    <s v="완료"/>
    <n v="18000"/>
  </r>
  <r>
    <d v="2026-03-01T00:00:00"/>
    <s v="일"/>
    <s v="F3"/>
    <s v="태상 501"/>
    <n v="2"/>
    <x v="2"/>
    <m/>
    <m/>
    <s v="완료"/>
    <n v="23000"/>
  </r>
  <r>
    <d v="2026-03-01T00:00:00"/>
    <s v="일"/>
    <s v="G2"/>
    <s v="si 502"/>
    <n v="1"/>
    <x v="9"/>
    <m/>
    <m/>
    <s v="완료"/>
    <n v="20000"/>
  </r>
  <r>
    <d v="2026-03-01T00:00:00"/>
    <s v="일"/>
    <s v="G3"/>
    <s v="si 602"/>
    <n v="1"/>
    <x v="9"/>
    <s v="샤워기 헤드파손"/>
    <m/>
    <s v="완료"/>
    <n v="20000"/>
  </r>
  <r>
    <d v="2026-03-01T00:00:00"/>
    <s v="일"/>
    <s v="L5"/>
    <s v="하람휴 1001"/>
    <n v="2"/>
    <x v="8"/>
    <m/>
    <m/>
    <s v="완료"/>
    <n v="23000"/>
  </r>
  <r>
    <d v="2026-03-01T00:00:00"/>
    <s v="일"/>
    <s v="V11"/>
    <s v="대치동 101호"/>
    <n v="2"/>
    <x v="6"/>
    <m/>
    <m/>
    <s v="완료"/>
    <n v="23000"/>
  </r>
  <r>
    <d v="2026-03-01T00:00:00"/>
    <s v="일"/>
    <s v="V12"/>
    <s v="대치동 102호"/>
    <n v="1"/>
    <x v="6"/>
    <m/>
    <m/>
    <s v="완료"/>
    <n v="18000"/>
  </r>
  <r>
    <d v="2026-03-01T00:00:00"/>
    <s v="일"/>
    <s v="C"/>
    <s v="청광1차 207"/>
    <n v="0"/>
    <x v="4"/>
    <m/>
    <m/>
    <s v="완료"/>
    <n v="10000"/>
  </r>
  <r>
    <d v="2026-03-02T00:00:00"/>
    <s v="월"/>
    <s v="T46"/>
    <s v="센텀 2차 406"/>
    <n v="1.5"/>
    <x v="2"/>
    <m/>
    <m/>
    <s v="완료"/>
    <n v="20000"/>
  </r>
  <r>
    <d v="2026-03-02T00:00:00"/>
    <s v="월"/>
    <s v="T51"/>
    <s v="센텀 2차 501"/>
    <n v="1.5"/>
    <x v="2"/>
    <m/>
    <m/>
    <s v="완료"/>
    <n v="20000"/>
  </r>
  <r>
    <d v="2026-03-02T00:00:00"/>
    <s v="월"/>
    <s v="T66"/>
    <s v="센텀 2차 606"/>
    <n v="1.5"/>
    <x v="2"/>
    <m/>
    <m/>
    <s v="완료"/>
    <n v="20000"/>
  </r>
  <r>
    <d v="2026-03-02T00:00:00"/>
    <s v="월"/>
    <s v="D4"/>
    <s v="청광3차 806"/>
    <n v="1"/>
    <x v="1"/>
    <m/>
    <m/>
    <s v="완료"/>
    <n v="18000"/>
  </r>
  <r>
    <d v="2026-03-02T00:00:00"/>
    <s v="월"/>
    <s v="D8"/>
    <s v="강동QV 1604"/>
    <n v="1"/>
    <x v="1"/>
    <m/>
    <m/>
    <s v="완료"/>
    <n v="18000"/>
  </r>
  <r>
    <d v="2026-03-02T00:00:00"/>
    <s v="월"/>
    <s v="A25"/>
    <s v="예건 205"/>
    <n v="1"/>
    <x v="3"/>
    <m/>
    <m/>
    <s v="완료"/>
    <n v="18000"/>
  </r>
  <r>
    <d v="2026-03-02T00:00:00"/>
    <s v="월"/>
    <s v="J2"/>
    <s v="은성 603"/>
    <n v="1"/>
    <x v="3"/>
    <m/>
    <m/>
    <s v="완료"/>
    <n v="18000"/>
  </r>
  <r>
    <d v="2026-03-02T00:00:00"/>
    <s v="월"/>
    <s v="E5"/>
    <s v="동구햇살 1203"/>
    <s v="복"/>
    <x v="3"/>
    <m/>
    <m/>
    <s v="완료"/>
    <n v="20000"/>
  </r>
  <r>
    <d v="2026-03-02T00:00:00"/>
    <s v="월"/>
    <s v="B104"/>
    <s v="더하임 1004"/>
    <n v="1"/>
    <x v="7"/>
    <m/>
    <m/>
    <s v="완료"/>
    <n v="18000"/>
  </r>
  <r>
    <d v="2026-03-02T00:00:00"/>
    <s v="월"/>
    <s v="B105"/>
    <s v="더하임 1005"/>
    <n v="1"/>
    <x v="7"/>
    <m/>
    <m/>
    <s v="완료"/>
    <n v="18000"/>
  </r>
  <r>
    <d v="2026-03-02T00:00:00"/>
    <s v="월"/>
    <s v="B24"/>
    <s v="더하임 204"/>
    <n v="1"/>
    <x v="7"/>
    <m/>
    <m/>
    <s v="완료"/>
    <n v="18000"/>
  </r>
  <r>
    <d v="2026-03-02T00:00:00"/>
    <s v="월"/>
    <s v="B35"/>
    <s v="더하임 305"/>
    <n v="1"/>
    <x v="0"/>
    <m/>
    <m/>
    <s v="완료"/>
    <n v="18000"/>
  </r>
  <r>
    <d v="2026-03-02T00:00:00"/>
    <s v="월"/>
    <s v="B46"/>
    <s v="더하임 406"/>
    <n v="1.5"/>
    <x v="0"/>
    <m/>
    <m/>
    <s v="완료"/>
    <n v="20000"/>
  </r>
  <r>
    <d v="2026-03-02T00:00:00"/>
    <s v="월"/>
    <s v="B56"/>
    <s v="더하임 506"/>
    <n v="1.5"/>
    <x v="0"/>
    <m/>
    <m/>
    <s v="완료"/>
    <n v="20000"/>
  </r>
  <r>
    <d v="2026-03-02T00:00:00"/>
    <s v="월"/>
    <s v="E1"/>
    <s v="르센티 1801"/>
    <s v="복"/>
    <x v="4"/>
    <m/>
    <m/>
    <s v="완료"/>
    <n v="20000"/>
  </r>
  <r>
    <d v="2026-03-02T00:00:00"/>
    <s v="월"/>
    <s v="F1"/>
    <s v="한양립스 503"/>
    <n v="1"/>
    <x v="4"/>
    <m/>
    <m/>
    <s v="완료"/>
    <n v="18000"/>
  </r>
  <r>
    <d v="2026-03-02T00:00:00"/>
    <s v="월"/>
    <s v="F2"/>
    <s v="오앤 401"/>
    <n v="1"/>
    <x v="4"/>
    <m/>
    <m/>
    <s v="완료"/>
    <n v="18000"/>
  </r>
  <r>
    <d v="2026-03-02T00:00:00"/>
    <s v="월"/>
    <s v="G3"/>
    <s v="si 602"/>
    <n v="1"/>
    <x v="9"/>
    <m/>
    <m/>
    <s v="완료"/>
    <n v="20000"/>
  </r>
  <r>
    <d v="2026-03-02T00:00:00"/>
    <s v="월"/>
    <s v="H25"/>
    <s v="오금스타 205"/>
    <n v="1"/>
    <x v="9"/>
    <m/>
    <m/>
    <s v="완료"/>
    <n v="20000"/>
  </r>
  <r>
    <d v="2026-03-02T00:00:00"/>
    <s v="월"/>
    <s v="L2"/>
    <s v="하람휴 902"/>
    <n v="2"/>
    <x v="8"/>
    <m/>
    <m/>
    <s v="완료"/>
    <n v="23000"/>
  </r>
  <r>
    <d v="2026-03-02T00:00:00"/>
    <s v="월"/>
    <s v="L5"/>
    <s v="하람휴 1001"/>
    <n v="2"/>
    <x v="8"/>
    <m/>
    <m/>
    <s v="완료"/>
    <n v="23000"/>
  </r>
  <r>
    <d v="2026-03-02T00:00:00"/>
    <s v="월"/>
    <s v="V13"/>
    <s v="대치동 103호"/>
    <n v="1.5"/>
    <x v="6"/>
    <m/>
    <m/>
    <s v="완료"/>
    <n v="20000"/>
  </r>
  <r>
    <d v="2026-03-02T00:00:00"/>
    <s v="월"/>
    <s v="C"/>
    <s v="청광1차 207"/>
    <n v="0"/>
    <x v="4"/>
    <m/>
    <m/>
    <s v="완료"/>
    <n v="10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d v="2026-03-03T00:00:00"/>
    <s v="화"/>
    <s v="B35"/>
    <s v="더하임 305"/>
    <n v="1"/>
    <x v="0"/>
    <m/>
    <m/>
    <s v="완료"/>
    <n v="18000"/>
    <n v="18000"/>
    <m/>
  </r>
  <r>
    <d v="2026-03-03T00:00:00"/>
    <s v="화"/>
    <s v="D4"/>
    <s v="청광3차 806"/>
    <n v="1"/>
    <x v="1"/>
    <m/>
    <m/>
    <s v="완료"/>
    <n v="18000"/>
    <n v="18000"/>
    <m/>
  </r>
  <r>
    <d v="2026-03-03T00:00:00"/>
    <s v="화"/>
    <s v="J2"/>
    <s v="은성 603"/>
    <n v="1"/>
    <x v="2"/>
    <m/>
    <m/>
    <s v="완료"/>
    <n v="18000"/>
    <n v="18000"/>
    <m/>
  </r>
  <r>
    <d v="2026-03-03T00:00:00"/>
    <s v="화"/>
    <s v="K5"/>
    <s v="방학 709"/>
    <s v="복"/>
    <x v="3"/>
    <m/>
    <m/>
    <s v="완료"/>
    <n v="30000"/>
    <n v="20000"/>
    <n v="10000"/>
  </r>
  <r>
    <d v="2026-03-03T00:00:00"/>
    <s v="화"/>
    <s v="C"/>
    <s v="청광1차 207"/>
    <n v="0"/>
    <x v="2"/>
    <m/>
    <m/>
    <s v="완료"/>
    <n v="10000"/>
    <n v="10000"/>
    <m/>
  </r>
  <r>
    <d v="2026-03-03T00:00:00"/>
    <s v="화"/>
    <s v="B101"/>
    <s v="더하임 1001"/>
    <n v="1"/>
    <x v="2"/>
    <s v="입주청소"/>
    <m/>
    <s v="완료"/>
    <n v="30000"/>
    <n v="18000"/>
    <n v="12000"/>
  </r>
  <r>
    <d v="2026-03-03T00:00:00"/>
    <s v="화"/>
    <s v="B102"/>
    <s v="더하임 1002"/>
    <n v="1"/>
    <x v="2"/>
    <s v="입주청소"/>
    <m/>
    <s v="완료"/>
    <n v="30000"/>
    <n v="18000"/>
    <n v="12000"/>
  </r>
  <r>
    <d v="2026-03-03T00:00:00"/>
    <s v="화"/>
    <s v="B103"/>
    <s v="더하임 1003"/>
    <n v="1"/>
    <x v="2"/>
    <s v="입주청소"/>
    <m/>
    <s v="완료"/>
    <n v="30000"/>
    <n v="18000"/>
    <n v="12000"/>
  </r>
  <r>
    <d v="2026-03-03T00:00:00"/>
    <s v="화"/>
    <s v="B101"/>
    <s v="더하임 1001"/>
    <n v="1"/>
    <x v="4"/>
    <s v="입주청소"/>
    <m/>
    <s v="완료"/>
    <n v="30000"/>
    <n v="18000"/>
    <n v="12000"/>
  </r>
  <r>
    <d v="2026-03-03T00:00:00"/>
    <s v="화"/>
    <s v="B102"/>
    <s v="더하임 1002"/>
    <n v="1"/>
    <x v="4"/>
    <s v="입주청소"/>
    <m/>
    <s v="완료"/>
    <n v="30000"/>
    <n v="18000"/>
    <n v="12000"/>
  </r>
  <r>
    <d v="2026-03-03T00:00:00"/>
    <s v="화"/>
    <s v="B103"/>
    <s v="더하임 1003"/>
    <n v="1"/>
    <x v="4"/>
    <s v="입주청소"/>
    <m/>
    <s v="완료"/>
    <n v="30000"/>
    <n v="18000"/>
    <n v="12000"/>
  </r>
  <r>
    <d v="2026-03-04T00:00:00"/>
    <s v="수"/>
    <s v="U34"/>
    <s v="성우 304"/>
    <n v="2"/>
    <x v="5"/>
    <m/>
    <m/>
    <s v="완료"/>
    <n v="23000"/>
    <n v="23000"/>
    <m/>
  </r>
  <r>
    <d v="2026-03-04T00:00:00"/>
    <s v="수"/>
    <s v="U93"/>
    <s v="성우 903"/>
    <n v="3"/>
    <x v="5"/>
    <s v="장기 손님(압달라)"/>
    <m/>
    <s v="완료"/>
    <n v="35000"/>
    <n v="30000"/>
    <n v="5000"/>
  </r>
  <r>
    <d v="2026-03-04T00:00:00"/>
    <s v="수"/>
    <s v="B104"/>
    <s v="더하임 1004"/>
    <n v="1"/>
    <x v="1"/>
    <m/>
    <m/>
    <s v="완료"/>
    <n v="18000"/>
    <n v="18000"/>
    <m/>
  </r>
  <r>
    <d v="2026-03-04T00:00:00"/>
    <s v="수"/>
    <s v="D1"/>
    <s v="청광3차 1416"/>
    <n v="1"/>
    <x v="2"/>
    <m/>
    <m/>
    <s v="완료"/>
    <n v="18000"/>
    <n v="18000"/>
    <m/>
  </r>
  <r>
    <d v="2026-03-04T00:00:00"/>
    <s v="수"/>
    <s v="E1"/>
    <s v="르센티 1801"/>
    <s v="복"/>
    <x v="4"/>
    <m/>
    <m/>
    <s v="완료"/>
    <n v="20000"/>
    <n v="20000"/>
    <m/>
  </r>
  <r>
    <d v="2026-03-04T00:00:00"/>
    <s v="수"/>
    <s v="E4"/>
    <s v="렘브 505"/>
    <n v="1"/>
    <x v="0"/>
    <m/>
    <m/>
    <s v="완료"/>
    <n v="18000"/>
    <n v="18000"/>
    <m/>
  </r>
  <r>
    <d v="2026-03-04T00:00:00"/>
    <s v="수"/>
    <s v="L2"/>
    <s v="하람휴 902"/>
    <n v="2"/>
    <x v="6"/>
    <s v="전등교체 등"/>
    <m/>
    <s v="완료"/>
    <n v="23000"/>
    <n v="23000"/>
    <m/>
  </r>
  <r>
    <d v="2026-03-04T00:00:00"/>
    <s v="수"/>
    <s v="C4"/>
    <s v="청광1차 709"/>
    <n v="1"/>
    <x v="2"/>
    <s v="퇴거청소"/>
    <m/>
    <s v="완료"/>
    <n v="30000"/>
    <n v="18000"/>
    <n v="12000"/>
  </r>
  <r>
    <d v="2026-03-04T00:00:00"/>
    <s v="수"/>
    <s v="C4"/>
    <s v="청광1차 709"/>
    <n v="1"/>
    <x v="4"/>
    <s v="퇴거청소"/>
    <m/>
    <s v="완료"/>
    <n v="30000"/>
    <n v="18000"/>
    <n v="12000"/>
  </r>
  <r>
    <d v="2026-03-04T00:00:00"/>
    <s v="수"/>
    <s v="C"/>
    <s v="청광1차 207"/>
    <n v="0"/>
    <x v="2"/>
    <m/>
    <m/>
    <s v="완료"/>
    <n v="10000"/>
    <n v="10000"/>
    <m/>
  </r>
  <r>
    <d v="2026-03-05T00:00:00"/>
    <s v="목"/>
    <s v="T46"/>
    <s v="센텀 2차 406"/>
    <n v="1.5"/>
    <x v="4"/>
    <m/>
    <m/>
    <s v="완료"/>
    <n v="20000"/>
    <n v="20000"/>
    <m/>
  </r>
  <r>
    <d v="2026-03-05T00:00:00"/>
    <s v="목"/>
    <s v="B104"/>
    <s v="더하임 1004"/>
    <n v="1"/>
    <x v="2"/>
    <m/>
    <m/>
    <s v="완료"/>
    <n v="18000"/>
    <n v="18000"/>
    <m/>
  </r>
  <r>
    <d v="2026-03-05T00:00:00"/>
    <s v="목"/>
    <s v="B24"/>
    <s v="더하임 204"/>
    <n v="1"/>
    <x v="7"/>
    <m/>
    <m/>
    <s v="완료"/>
    <n v="18000"/>
    <n v="18000"/>
    <m/>
  </r>
  <r>
    <d v="2026-03-05T00:00:00"/>
    <s v="목"/>
    <s v="B36"/>
    <s v="더하임 306"/>
    <n v="1.5"/>
    <x v="7"/>
    <m/>
    <m/>
    <s v="완료"/>
    <n v="20000"/>
    <n v="20000"/>
    <m/>
  </r>
  <r>
    <d v="2026-03-05T00:00:00"/>
    <s v="목"/>
    <s v="V13"/>
    <s v="대치동 103호"/>
    <n v="1.5"/>
    <x v="8"/>
    <m/>
    <m/>
    <s v="완료"/>
    <n v="20000"/>
    <n v="20000"/>
    <m/>
  </r>
  <r>
    <d v="2026-03-05T00:00:00"/>
    <s v="목"/>
    <s v="D6"/>
    <s v="청광3차 1412"/>
    <n v="1"/>
    <x v="9"/>
    <m/>
    <m/>
    <s v="완료"/>
    <n v="18000"/>
    <n v="18000"/>
    <m/>
  </r>
  <r>
    <d v="2026-03-05T00:00:00"/>
    <s v="목"/>
    <s v="E1"/>
    <s v="르센티 1801"/>
    <s v="복"/>
    <x v="9"/>
    <m/>
    <m/>
    <s v="완료"/>
    <n v="20000"/>
    <n v="20000"/>
    <m/>
  </r>
  <r>
    <d v="2026-03-05T00:00:00"/>
    <s v="목"/>
    <s v="E5"/>
    <s v="동구햇살 1203"/>
    <s v="복"/>
    <x v="1"/>
    <m/>
    <m/>
    <s v="완료"/>
    <n v="20000"/>
    <n v="20000"/>
    <m/>
  </r>
  <r>
    <d v="2026-03-05T00:00:00"/>
    <s v="목"/>
    <s v="B105"/>
    <s v="더하임 1005"/>
    <n v="1"/>
    <x v="2"/>
    <m/>
    <m/>
    <s v="완료"/>
    <n v="18000"/>
    <n v="18000"/>
    <m/>
  </r>
  <r>
    <d v="2026-03-05T00:00:00"/>
    <s v="목"/>
    <s v="C"/>
    <s v="청광1차 207"/>
    <n v="0"/>
    <x v="2"/>
    <m/>
    <m/>
    <s v="완료"/>
    <n v="10000"/>
    <n v="10000"/>
    <m/>
  </r>
  <r>
    <d v="2026-03-06T00:00:00"/>
    <s v="금"/>
    <s v="T51"/>
    <s v="센텀 2차 501"/>
    <n v="1.5"/>
    <x v="1"/>
    <m/>
    <m/>
    <s v="완료"/>
    <n v="20000"/>
    <n v="20000"/>
    <m/>
  </r>
  <r>
    <d v="2026-03-06T00:00:00"/>
    <s v="금"/>
    <s v="T66"/>
    <s v="센텀 2차 606"/>
    <n v="1.5"/>
    <x v="1"/>
    <m/>
    <m/>
    <s v="완료"/>
    <n v="20000"/>
    <n v="20000"/>
    <m/>
  </r>
  <r>
    <d v="2026-03-06T00:00:00"/>
    <s v="금"/>
    <s v="B35"/>
    <s v="더하임 305"/>
    <n v="1"/>
    <x v="2"/>
    <m/>
    <m/>
    <s v="완료"/>
    <n v="18000"/>
    <n v="18000"/>
    <m/>
  </r>
  <r>
    <d v="2026-03-06T00:00:00"/>
    <s v="금"/>
    <s v="D6"/>
    <s v="청광3차 1412"/>
    <n v="1"/>
    <x v="4"/>
    <m/>
    <m/>
    <s v="완료"/>
    <n v="18000"/>
    <n v="18000"/>
    <m/>
  </r>
  <r>
    <d v="2026-03-06T00:00:00"/>
    <s v="금"/>
    <s v="J2"/>
    <s v="은성 603"/>
    <n v="1"/>
    <x v="0"/>
    <m/>
    <m/>
    <s v="완료"/>
    <n v="18000"/>
    <n v="18000"/>
    <m/>
  </r>
  <r>
    <d v="2026-03-06T00:00:00"/>
    <s v="금"/>
    <s v="E5"/>
    <s v="동구햇살 1203"/>
    <s v="복"/>
    <x v="0"/>
    <m/>
    <m/>
    <s v="완료"/>
    <n v="20000"/>
    <n v="20000"/>
    <m/>
  </r>
  <r>
    <d v="2026-03-06T00:00:00"/>
    <s v="금"/>
    <s v="H23"/>
    <s v="오금스타 203"/>
    <n v="1"/>
    <x v="9"/>
    <s v="한달 이상 장기"/>
    <m/>
    <s v="완료"/>
    <n v="23000"/>
    <n v="18000"/>
    <n v="5000"/>
  </r>
  <r>
    <d v="2026-03-06T00:00:00"/>
    <s v="금"/>
    <s v="U42"/>
    <s v="성우 402"/>
    <n v="3"/>
    <x v="7"/>
    <m/>
    <m/>
    <s v="완료"/>
    <n v="30000"/>
    <n v="30000"/>
    <m/>
  </r>
  <r>
    <d v="2026-03-06T00:00:00"/>
    <s v="금"/>
    <s v="C"/>
    <s v="청광1차 207"/>
    <n v="0"/>
    <x v="2"/>
    <m/>
    <m/>
    <s v="완료"/>
    <n v="10000"/>
    <n v="10000"/>
    <m/>
  </r>
  <r>
    <d v="2026-03-07T00:00:00"/>
    <s v="토"/>
    <s v="A72"/>
    <s v="예건 702"/>
    <n v="1"/>
    <x v="4"/>
    <m/>
    <m/>
    <s v="완료"/>
    <n v="18000"/>
    <n v="18000"/>
    <m/>
  </r>
  <r>
    <d v="2026-03-07T00:00:00"/>
    <s v="토"/>
    <s v="B105"/>
    <s v="더하임 1005"/>
    <n v="1"/>
    <x v="5"/>
    <m/>
    <m/>
    <s v="완료"/>
    <n v="18000"/>
    <n v="18000"/>
    <m/>
  </r>
  <r>
    <d v="2026-03-07T00:00:00"/>
    <s v="토"/>
    <s v="B35"/>
    <s v="더하임 305"/>
    <n v="1"/>
    <x v="5"/>
    <m/>
    <m/>
    <s v="완료"/>
    <n v="18000"/>
    <n v="18000"/>
    <m/>
  </r>
  <r>
    <d v="2026-03-07T00:00:00"/>
    <s v="토"/>
    <s v="D6"/>
    <s v="청광3차 1412"/>
    <n v="1"/>
    <x v="0"/>
    <m/>
    <m/>
    <s v="완료"/>
    <n v="18000"/>
    <n v="18000"/>
    <m/>
  </r>
  <r>
    <d v="2026-03-07T00:00:00"/>
    <s v="토"/>
    <s v="D8"/>
    <s v="강동QV 1604"/>
    <n v="1"/>
    <x v="0"/>
    <m/>
    <m/>
    <s v="완료"/>
    <n v="18000"/>
    <n v="18000"/>
    <m/>
  </r>
  <r>
    <d v="2026-03-07T00:00:00"/>
    <s v="토"/>
    <s v="J2"/>
    <s v="은성 603"/>
    <n v="1"/>
    <x v="1"/>
    <m/>
    <m/>
    <s v="완료"/>
    <n v="18000"/>
    <n v="18000"/>
    <m/>
  </r>
  <r>
    <d v="2026-03-07T00:00:00"/>
    <s v="토"/>
    <s v="T46"/>
    <s v="센텀 2차 406"/>
    <n v="1.5"/>
    <x v="7"/>
    <m/>
    <m/>
    <s v="완료"/>
    <n v="20000"/>
    <n v="20000"/>
    <m/>
  </r>
  <r>
    <d v="2026-03-07T00:00:00"/>
    <s v="토"/>
    <s v="U34"/>
    <s v="성우 304"/>
    <n v="2"/>
    <x v="9"/>
    <m/>
    <m/>
    <s v="완료"/>
    <n v="23000"/>
    <n v="23000"/>
    <m/>
  </r>
  <r>
    <d v="2026-03-07T00:00:00"/>
    <s v="토"/>
    <s v="U93"/>
    <s v="성우 903"/>
    <n v="3"/>
    <x v="9"/>
    <m/>
    <m/>
    <s v="완료"/>
    <n v="30000"/>
    <n v="30000"/>
    <m/>
  </r>
  <r>
    <d v="2026-03-07T00:00:00"/>
    <s v="토"/>
    <s v="V12"/>
    <s v="대치동 102호"/>
    <n v="1"/>
    <x v="8"/>
    <m/>
    <m/>
    <s v="완료"/>
    <n v="18000"/>
    <n v="18000"/>
    <m/>
  </r>
  <r>
    <d v="2026-03-07T00:00:00"/>
    <s v="토"/>
    <s v="V13"/>
    <s v="대치동 103호"/>
    <n v="1.5"/>
    <x v="8"/>
    <m/>
    <m/>
    <s v="완료"/>
    <n v="20000"/>
    <n v="20000"/>
    <m/>
  </r>
  <r>
    <d v="2026-03-07T00:00:00"/>
    <s v="토"/>
    <s v="C"/>
    <s v="청광1차 207"/>
    <n v="0"/>
    <x v="2"/>
    <m/>
    <m/>
    <s v="완료"/>
    <n v="10000"/>
    <n v="10000"/>
    <m/>
  </r>
  <r>
    <d v="2026-03-08T00:00:00"/>
    <s v="일"/>
    <s v="U34"/>
    <s v="성우 304"/>
    <n v="2"/>
    <x v="5"/>
    <m/>
    <m/>
    <s v="완료"/>
    <n v="23000"/>
    <n v="23000"/>
    <m/>
  </r>
  <r>
    <d v="2026-03-08T00:00:00"/>
    <s v="일"/>
    <s v="U93"/>
    <s v="성우 903"/>
    <n v="3"/>
    <x v="5"/>
    <m/>
    <m/>
    <s v="완료"/>
    <n v="30000"/>
    <n v="30000"/>
    <m/>
  </r>
  <r>
    <d v="2026-03-08T00:00:00"/>
    <s v="일"/>
    <s v="B105"/>
    <s v="더하임 1005"/>
    <n v="1"/>
    <x v="4"/>
    <s v="(3/1 기상악화 5천원 포함)"/>
    <m/>
    <s v="완료"/>
    <n v="23000"/>
    <n v="18000"/>
    <n v="5000"/>
  </r>
  <r>
    <d v="2026-03-08T00:00:00"/>
    <s v="일"/>
    <s v="B24"/>
    <s v="더하임 204"/>
    <n v="1"/>
    <x v="4"/>
    <m/>
    <m/>
    <s v="완료"/>
    <n v="18000"/>
    <n v="18000"/>
    <m/>
  </r>
  <r>
    <d v="2026-03-08T00:00:00"/>
    <s v="일"/>
    <s v="B35"/>
    <s v="더하임 305"/>
    <n v="1"/>
    <x v="7"/>
    <m/>
    <m/>
    <s v="완료"/>
    <n v="18000"/>
    <n v="18000"/>
    <m/>
  </r>
  <r>
    <d v="2026-03-08T00:00:00"/>
    <s v="일"/>
    <s v="B64"/>
    <s v="더하임 604"/>
    <n v="1"/>
    <x v="7"/>
    <m/>
    <m/>
    <s v="완료"/>
    <n v="18000"/>
    <n v="18000"/>
    <m/>
  </r>
  <r>
    <d v="2026-03-08T00:00:00"/>
    <s v="일"/>
    <s v="D8"/>
    <s v="강동QV 1604"/>
    <n v="1"/>
    <x v="0"/>
    <m/>
    <m/>
    <s v="완료"/>
    <n v="18000"/>
    <n v="18000"/>
    <m/>
  </r>
  <r>
    <d v="2026-03-08T00:00:00"/>
    <s v="일"/>
    <s v="J2"/>
    <s v="은성 603"/>
    <n v="1"/>
    <x v="0"/>
    <s v="(3/1 기상악화 5천원 포함)"/>
    <m/>
    <s v="완료"/>
    <n v="23000"/>
    <n v="18000"/>
    <n v="5000"/>
  </r>
  <r>
    <d v="2026-03-08T00:00:00"/>
    <s v="일"/>
    <s v="G3"/>
    <s v="si 602"/>
    <n v="1"/>
    <x v="5"/>
    <s v="너무 더러움"/>
    <m/>
    <s v="완료"/>
    <n v="25000"/>
    <n v="20000"/>
    <n v="5000"/>
  </r>
  <r>
    <d v="2026-03-08T00:00:00"/>
    <s v="일"/>
    <s v="L2"/>
    <s v="하람휴 902"/>
    <n v="2"/>
    <x v="6"/>
    <s v="(3/1 기상악화 5천원 포함)"/>
    <m/>
    <s v="완료"/>
    <n v="28000"/>
    <n v="23000"/>
    <n v="5000"/>
  </r>
  <r>
    <d v="2026-03-08T00:00:00"/>
    <s v="일"/>
    <s v="A72"/>
    <s v="예건 702"/>
    <n v="1"/>
    <x v="2"/>
    <s v="(3/1 기상악화 5천원 포함)"/>
    <m/>
    <s v="완료"/>
    <n v="23000"/>
    <n v="18000"/>
    <n v="5000"/>
  </r>
  <r>
    <d v="2026-03-08T00:00:00"/>
    <s v="일"/>
    <s v="T66"/>
    <s v="센텀 2차 606"/>
    <n v="1.5"/>
    <x v="2"/>
    <m/>
    <m/>
    <s v="완료"/>
    <n v="20000"/>
    <n v="20000"/>
    <m/>
  </r>
  <r>
    <d v="2026-03-08T00:00:00"/>
    <s v="일"/>
    <s v="T46"/>
    <s v="센텀 2차 406"/>
    <n v="1.5"/>
    <x v="9"/>
    <s v="(3/1 기상악화 5천원 포함)"/>
    <m/>
    <s v="완료"/>
    <n v="25000"/>
    <n v="20000"/>
    <n v="5000"/>
  </r>
  <r>
    <d v="2026-03-08T00:00:00"/>
    <s v="일"/>
    <s v="T51"/>
    <s v="센텀 2차 501"/>
    <n v="1.5"/>
    <x v="9"/>
    <m/>
    <m/>
    <s v="완료"/>
    <n v="20000"/>
    <n v="20000"/>
    <m/>
  </r>
  <r>
    <d v="2026-03-08T00:00:00"/>
    <s v="일"/>
    <s v="H25"/>
    <s v="오금스타 205"/>
    <n v="1"/>
    <x v="9"/>
    <m/>
    <m/>
    <s v="완료"/>
    <n v="18000"/>
    <n v="18000"/>
    <m/>
  </r>
  <r>
    <d v="2026-03-08T00:00:00"/>
    <s v="일"/>
    <s v="V12"/>
    <s v="대치동 102호"/>
    <n v="1"/>
    <x v="8"/>
    <s v="(3/1 기상악화 5천원 포함)"/>
    <m/>
    <s v="완료"/>
    <n v="23000"/>
    <n v="18000"/>
    <n v="5000"/>
  </r>
  <r>
    <d v="2026-03-08T00:00:00"/>
    <s v="일"/>
    <s v="V13"/>
    <s v="대치동 103호"/>
    <n v="1.5"/>
    <x v="8"/>
    <m/>
    <m/>
    <s v="완료"/>
    <n v="20000"/>
    <n v="20000"/>
    <m/>
  </r>
  <r>
    <d v="2026-03-08T00:00:00"/>
    <s v="일"/>
    <s v="C"/>
    <s v="청광1차 207"/>
    <n v="0"/>
    <x v="2"/>
    <m/>
    <m/>
    <s v="완료"/>
    <n v="10000"/>
    <n v="10000"/>
    <m/>
  </r>
  <r>
    <d v="2026-03-09T00:00:00"/>
    <s v="월"/>
    <s v="B35"/>
    <s v="더하임 305"/>
    <n v="1"/>
    <x v="1"/>
    <s v="(3/1 기상악화 5천원 포함)"/>
    <m/>
    <s v="완료"/>
    <n v="23000"/>
    <n v="18000"/>
    <n v="5000"/>
  </r>
  <r>
    <d v="2026-03-09T00:00:00"/>
    <s v="월"/>
    <s v="B36"/>
    <s v="더하임 306"/>
    <n v="1.5"/>
    <x v="1"/>
    <m/>
    <m/>
    <s v="완료"/>
    <n v="20000"/>
    <n v="20000"/>
    <m/>
  </r>
  <r>
    <d v="2026-03-09T00:00:00"/>
    <s v="월"/>
    <s v="D6"/>
    <s v="청광3차 1412"/>
    <n v="1"/>
    <x v="0"/>
    <m/>
    <m/>
    <s v="완료"/>
    <n v="18000"/>
    <n v="18000"/>
    <m/>
  </r>
  <r>
    <d v="2026-03-09T00:00:00"/>
    <s v="월"/>
    <s v="E5"/>
    <s v="동구햇살 1203"/>
    <s v="복"/>
    <x v="4"/>
    <m/>
    <m/>
    <s v="완료"/>
    <n v="20000"/>
    <n v="20000"/>
    <m/>
  </r>
  <r>
    <d v="2026-03-09T00:00:00"/>
    <s v="월"/>
    <s v="F1"/>
    <s v="한양립스 503"/>
    <n v="1"/>
    <x v="2"/>
    <m/>
    <m/>
    <s v="완료"/>
    <n v="18000"/>
    <n v="18000"/>
    <m/>
  </r>
  <r>
    <d v="2026-03-09T00:00:00"/>
    <s v="월"/>
    <s v="T66"/>
    <s v="센텀 2차 606"/>
    <n v="1.5"/>
    <x v="5"/>
    <m/>
    <m/>
    <s v="완료"/>
    <n v="20000"/>
    <n v="20000"/>
    <m/>
  </r>
  <r>
    <d v="2026-03-09T00:00:00"/>
    <s v="월"/>
    <s v="U42"/>
    <s v="성우 402"/>
    <n v="3"/>
    <x v="7"/>
    <m/>
    <m/>
    <s v="완료"/>
    <n v="30000"/>
    <n v="30000"/>
    <m/>
  </r>
  <r>
    <d v="2026-03-09T00:00:00"/>
    <s v="월"/>
    <s v="U93"/>
    <s v="성우 903"/>
    <n v="3"/>
    <x v="7"/>
    <m/>
    <m/>
    <m/>
    <n v="30000"/>
    <n v="30000"/>
    <m/>
  </r>
  <r>
    <d v="2026-03-09T00:00:00"/>
    <s v="월"/>
    <s v="C"/>
    <s v="청광1차 207"/>
    <n v="0"/>
    <x v="2"/>
    <m/>
    <m/>
    <s v="완료"/>
    <n v="10000"/>
    <n v="1000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d v="2026-03-10T00:00:00"/>
    <s v="화"/>
    <s v="A25"/>
    <s v="예건 205"/>
    <n v="1"/>
    <x v="0"/>
    <m/>
    <m/>
    <s v="완료"/>
    <n v="18000"/>
  </r>
  <r>
    <d v="2026-03-10T00:00:00"/>
    <s v="화"/>
    <s v="D4"/>
    <s v="청광3차 806"/>
    <n v="1"/>
    <x v="1"/>
    <m/>
    <m/>
    <s v="완료"/>
    <n v="18000"/>
  </r>
  <r>
    <d v="2026-03-10T00:00:00"/>
    <s v="화"/>
    <s v="E4"/>
    <s v="렘브 505"/>
    <n v="1"/>
    <x v="2"/>
    <m/>
    <m/>
    <s v="완료"/>
    <n v="18000"/>
  </r>
  <r>
    <d v="2026-03-10T00:00:00"/>
    <s v="화"/>
    <s v="E5"/>
    <s v="동구햇살 1203"/>
    <s v="복"/>
    <x v="2"/>
    <m/>
    <m/>
    <s v="완료"/>
    <n v="20000"/>
  </r>
  <r>
    <d v="2026-03-10T00:00:00"/>
    <s v="화"/>
    <s v="F2"/>
    <s v="오앤 401"/>
    <n v="1"/>
    <x v="3"/>
    <m/>
    <m/>
    <s v="완료"/>
    <n v="18000"/>
  </r>
  <r>
    <d v="2026-03-10T00:00:00"/>
    <s v="화"/>
    <s v="K5"/>
    <s v="방학 709"/>
    <s v="복"/>
    <x v="4"/>
    <m/>
    <m/>
    <s v="완료"/>
    <n v="34000"/>
  </r>
  <r>
    <d v="2026-03-10T00:00:00"/>
    <s v="화"/>
    <s v="T51"/>
    <s v="센텀 2차 501"/>
    <n v="1.5"/>
    <x v="5"/>
    <m/>
    <m/>
    <s v="완료"/>
    <n v="20000"/>
  </r>
  <r>
    <d v="2026-03-10T00:00:00"/>
    <s v="화"/>
    <s v="T66"/>
    <s v="센텀 2차 606"/>
    <n v="1.5"/>
    <x v="1"/>
    <m/>
    <m/>
    <s v="완료"/>
    <n v="20000"/>
  </r>
  <r>
    <d v="2026-03-10T00:00:00"/>
    <s v="화"/>
    <s v="C"/>
    <s v="청광1차 207"/>
    <n v="0"/>
    <x v="3"/>
    <m/>
    <m/>
    <s v="완료"/>
    <n v="10000"/>
  </r>
  <r>
    <d v="2026-03-11T00:00:00"/>
    <s v="수"/>
    <s v="L2"/>
    <s v="하람휴 902"/>
    <n v="2"/>
    <x v="6"/>
    <m/>
    <m/>
    <s v="완료"/>
    <n v="23000"/>
  </r>
  <r>
    <d v="2026-03-11T00:00:00"/>
    <s v="수"/>
    <s v="T46"/>
    <s v="센텀 2차 406"/>
    <n v="1.5"/>
    <x v="1"/>
    <m/>
    <m/>
    <s v="완료"/>
    <n v="20000"/>
  </r>
  <r>
    <d v="2026-03-11T00:00:00"/>
    <s v="수"/>
    <s v="B102"/>
    <s v="더하임 1002"/>
    <n v="1"/>
    <x v="2"/>
    <m/>
    <m/>
    <s v="완료"/>
    <n v="18000"/>
  </r>
  <r>
    <d v="2026-03-11T00:00:00"/>
    <s v="수"/>
    <s v="B24"/>
    <s v="더하임 204"/>
    <n v="1"/>
    <x v="2"/>
    <m/>
    <m/>
    <s v="완료"/>
    <n v="18000"/>
  </r>
  <r>
    <d v="2026-03-11T00:00:00"/>
    <s v="수"/>
    <s v="A25"/>
    <s v="예건 205"/>
    <n v="1"/>
    <x v="3"/>
    <m/>
    <m/>
    <s v="완료"/>
    <n v="18000"/>
  </r>
  <r>
    <d v="2026-03-11T00:00:00"/>
    <s v="수"/>
    <s v="C"/>
    <s v="청광1차 207"/>
    <n v="0"/>
    <x v="3"/>
    <m/>
    <m/>
    <s v="완료"/>
    <n v="10000"/>
  </r>
  <r>
    <d v="2026-03-12T00:00:00"/>
    <s v="목"/>
    <s v="B102"/>
    <s v="더하임 1002"/>
    <n v="1"/>
    <x v="7"/>
    <m/>
    <m/>
    <s v="완료"/>
    <n v="18000"/>
  </r>
  <r>
    <d v="2026-03-12T00:00:00"/>
    <s v="목"/>
    <s v="B104"/>
    <s v="더하임 1004"/>
    <n v="1"/>
    <x v="7"/>
    <m/>
    <m/>
    <s v="완료"/>
    <n v="18000"/>
  </r>
  <r>
    <d v="2026-03-12T00:00:00"/>
    <s v="목"/>
    <s v="D1"/>
    <s v="청광3차 1416"/>
    <n v="1"/>
    <x v="8"/>
    <m/>
    <m/>
    <s v="완료"/>
    <n v="18000"/>
  </r>
  <r>
    <d v="2026-03-12T00:00:00"/>
    <s v="목"/>
    <s v="D3"/>
    <s v="청광3차 507"/>
    <n v="1"/>
    <x v="8"/>
    <m/>
    <m/>
    <s v="완료"/>
    <n v="18000"/>
  </r>
  <r>
    <d v="2026-03-12T00:00:00"/>
    <s v="목"/>
    <s v="E5"/>
    <s v="동구햇살 1203"/>
    <s v="복"/>
    <x v="2"/>
    <m/>
    <m/>
    <s v="완료"/>
    <n v="20000"/>
  </r>
  <r>
    <d v="2026-03-12T00:00:00"/>
    <s v="목"/>
    <s v="T46"/>
    <s v="센텀 2차 406"/>
    <n v="1.5"/>
    <x v="0"/>
    <m/>
    <m/>
    <s v="완료"/>
    <n v="20000"/>
  </r>
  <r>
    <d v="2026-03-12T00:00:00"/>
    <s v="목"/>
    <s v="T66"/>
    <s v="센텀 2차 606"/>
    <n v="1.5"/>
    <x v="3"/>
    <m/>
    <m/>
    <s v="완료"/>
    <n v="20000"/>
  </r>
  <r>
    <d v="2026-03-12T00:00:00"/>
    <s v="목"/>
    <s v="U34"/>
    <s v="성우 304"/>
    <n v="2"/>
    <x v="1"/>
    <m/>
    <m/>
    <s v="완료"/>
    <n v="23000"/>
  </r>
  <r>
    <d v="2026-03-12T00:00:00"/>
    <s v="목"/>
    <s v="U42"/>
    <s v="성우 402"/>
    <n v="3"/>
    <x v="1"/>
    <m/>
    <m/>
    <s v="완료"/>
    <n v="30000"/>
  </r>
  <r>
    <d v="2026-03-12T00:00:00"/>
    <s v="목"/>
    <s v="V12"/>
    <s v="대치동 102호"/>
    <n v="1"/>
    <x v="9"/>
    <m/>
    <m/>
    <s v="완료"/>
    <n v="18000"/>
  </r>
  <r>
    <d v="2026-03-12T00:00:00"/>
    <s v="목"/>
    <s v="V13"/>
    <s v="대치동 103호"/>
    <n v="1.5"/>
    <x v="9"/>
    <m/>
    <m/>
    <s v="완료"/>
    <n v="20000"/>
  </r>
  <r>
    <d v="2026-03-12T00:00:00"/>
    <s v="목"/>
    <s v="C"/>
    <s v="청광1차 207"/>
    <n v="0"/>
    <x v="3"/>
    <m/>
    <m/>
    <s v="완료"/>
    <n v="10000"/>
  </r>
  <r>
    <d v="2026-03-13T00:00:00"/>
    <s v="금"/>
    <s v="A72"/>
    <s v="예건 702"/>
    <n v="1"/>
    <x v="5"/>
    <m/>
    <m/>
    <s v="완료"/>
    <n v="18000"/>
  </r>
  <r>
    <d v="2026-03-13T00:00:00"/>
    <s v="금"/>
    <s v="B35"/>
    <s v="더하임 305"/>
    <n v="1"/>
    <x v="5"/>
    <m/>
    <m/>
    <s v="완료"/>
    <n v="18000"/>
  </r>
  <r>
    <d v="2026-03-13T00:00:00"/>
    <s v="금"/>
    <s v="D1"/>
    <s v="청광3차 1416"/>
    <n v="1"/>
    <x v="0"/>
    <m/>
    <m/>
    <s v="완료"/>
    <n v="18000"/>
  </r>
  <r>
    <d v="2026-03-13T00:00:00"/>
    <s v="금"/>
    <s v="F2"/>
    <s v="오앤 401"/>
    <n v="1"/>
    <x v="3"/>
    <m/>
    <m/>
    <s v="완료"/>
    <n v="18000"/>
  </r>
  <r>
    <d v="2026-03-13T00:00:00"/>
    <s v="금"/>
    <s v="T46"/>
    <s v="센텀 2차 406"/>
    <n v="1.5"/>
    <x v="2"/>
    <m/>
    <m/>
    <s v="완료"/>
    <n v="20000"/>
  </r>
  <r>
    <d v="2026-03-13T00:00:00"/>
    <s v="금"/>
    <s v="H42"/>
    <s v="오금스타 402"/>
    <n v="1"/>
    <x v="8"/>
    <m/>
    <m/>
    <s v="완료"/>
    <n v="18000"/>
  </r>
  <r>
    <d v="2026-03-13T00:00:00"/>
    <s v="금"/>
    <s v="L3"/>
    <s v="하람휴 1102"/>
    <n v="2"/>
    <x v="6"/>
    <s v="반려동물 동반"/>
    <m/>
    <s v="완료"/>
    <n v="33000"/>
  </r>
  <r>
    <d v="2026-03-13T00:00:00"/>
    <s v="금"/>
    <s v="V11"/>
    <s v="대치동 101호"/>
    <n v="2"/>
    <x v="9"/>
    <m/>
    <m/>
    <s v="완료"/>
    <n v="23000"/>
  </r>
  <r>
    <d v="2026-03-13T00:00:00"/>
    <s v="금"/>
    <s v="V13"/>
    <s v="대치동 103호"/>
    <n v="1.5"/>
    <x v="9"/>
    <s v="코인세탁"/>
    <m/>
    <s v="완료"/>
    <n v="24000"/>
  </r>
  <r>
    <d v="2026-03-13T00:00:00"/>
    <s v="금"/>
    <s v="G3"/>
    <s v="si 602"/>
    <n v="1"/>
    <x v="3"/>
    <s v="긴급"/>
    <m/>
    <s v="완료"/>
    <n v="25000"/>
  </r>
  <r>
    <d v="2026-03-13T00:00:00"/>
    <s v="금"/>
    <s v="C"/>
    <s v="청광1차 207"/>
    <n v="0"/>
    <x v="3"/>
    <m/>
    <m/>
    <s v="완료"/>
    <n v="10000"/>
  </r>
  <r>
    <d v="2026-03-14T00:00:00"/>
    <s v="토"/>
    <s v="A24"/>
    <s v="예건 204"/>
    <n v="1"/>
    <x v="0"/>
    <m/>
    <m/>
    <s v="완료"/>
    <n v="18000"/>
  </r>
  <r>
    <d v="2026-03-14T00:00:00"/>
    <s v="토"/>
    <s v="A33"/>
    <s v="예건 303"/>
    <n v="2"/>
    <x v="0"/>
    <m/>
    <m/>
    <s v="완료"/>
    <n v="23000"/>
  </r>
  <r>
    <d v="2026-03-14T00:00:00"/>
    <s v="토"/>
    <s v="A72"/>
    <s v="예건 702"/>
    <n v="1"/>
    <x v="0"/>
    <m/>
    <m/>
    <s v="완료"/>
    <n v="18000"/>
  </r>
  <r>
    <d v="2026-03-14T00:00:00"/>
    <s v="토"/>
    <s v="U42"/>
    <s v="성우 402"/>
    <n v="3"/>
    <x v="3"/>
    <m/>
    <m/>
    <s v="완료"/>
    <n v="30000"/>
  </r>
  <r>
    <d v="2026-03-14T00:00:00"/>
    <s v="토"/>
    <s v="B24"/>
    <s v="더하임 204"/>
    <n v="1"/>
    <x v="3"/>
    <m/>
    <m/>
    <s v="완료"/>
    <n v="18000"/>
  </r>
  <r>
    <d v="2026-03-14T00:00:00"/>
    <s v="토"/>
    <s v="B36"/>
    <s v="더하임 306"/>
    <n v="1.5"/>
    <x v="3"/>
    <m/>
    <m/>
    <s v="완료"/>
    <n v="20000"/>
  </r>
  <r>
    <d v="2026-03-14T00:00:00"/>
    <s v="토"/>
    <s v="D1"/>
    <s v="청광3차 1416"/>
    <n v="1"/>
    <x v="8"/>
    <m/>
    <m/>
    <s v="완료"/>
    <n v="18000"/>
  </r>
  <r>
    <d v="2026-03-14T00:00:00"/>
    <s v="토"/>
    <s v="D4"/>
    <s v="청광3차 806"/>
    <n v="1"/>
    <x v="8"/>
    <m/>
    <m/>
    <s v="완료"/>
    <n v="18000"/>
  </r>
  <r>
    <d v="2026-03-14T00:00:00"/>
    <s v="토"/>
    <s v="G2"/>
    <s v="si 502"/>
    <n v="1"/>
    <x v="3"/>
    <s v="긴급"/>
    <m/>
    <s v="완료"/>
    <n v="25000"/>
  </r>
  <r>
    <d v="2026-03-14T00:00:00"/>
    <s v="토"/>
    <s v="G3"/>
    <s v="si 602"/>
    <n v="1"/>
    <x v="3"/>
    <s v="긴급"/>
    <m/>
    <s v="완료"/>
    <n v="25000"/>
  </r>
  <r>
    <d v="2026-03-14T00:00:00"/>
    <s v="토"/>
    <s v="T46"/>
    <s v="센텀 2차 406"/>
    <n v="1.5"/>
    <x v="7"/>
    <m/>
    <m/>
    <s v="완료"/>
    <n v="20000"/>
  </r>
  <r>
    <d v="2026-03-14T00:00:00"/>
    <s v="토"/>
    <s v="J2"/>
    <s v="은성 603"/>
    <n v="1"/>
    <x v="7"/>
    <m/>
    <m/>
    <s v="완료"/>
    <n v="18000"/>
  </r>
  <r>
    <d v="2026-03-14T00:00:00"/>
    <s v="토"/>
    <s v="K1"/>
    <s v="선일 101"/>
    <n v="2"/>
    <x v="10"/>
    <m/>
    <m/>
    <s v="완료"/>
    <n v="33000"/>
  </r>
  <r>
    <d v="2026-03-14T00:00:00"/>
    <s v="토"/>
    <s v="K3"/>
    <s v="뉴시티 1413"/>
    <n v="1"/>
    <x v="10"/>
    <m/>
    <m/>
    <s v="완료"/>
    <n v="22500"/>
  </r>
  <r>
    <d v="2026-03-14T00:00:00"/>
    <s v="토"/>
    <s v="V12"/>
    <s v="대치동 102호"/>
    <n v="1"/>
    <x v="9"/>
    <m/>
    <m/>
    <s v="완료"/>
    <n v="18000"/>
  </r>
  <r>
    <d v="2026-03-14T00:00:00"/>
    <s v="토"/>
    <s v="C"/>
    <s v="청광1차 207"/>
    <n v="0"/>
    <x v="3"/>
    <m/>
    <m/>
    <s v="완료"/>
    <n v="10000"/>
  </r>
  <r>
    <d v="2026-03-15T00:00:00"/>
    <s v="일"/>
    <s v="U42"/>
    <s v="성우 402"/>
    <n v="3"/>
    <x v="8"/>
    <m/>
    <m/>
    <s v="완료"/>
    <n v="30000"/>
  </r>
  <r>
    <d v="2026-03-15T00:00:00"/>
    <s v="일"/>
    <s v="A24"/>
    <s v="예건 204"/>
    <n v="1"/>
    <x v="8"/>
    <m/>
    <m/>
    <s v="완료"/>
    <n v="18000"/>
  </r>
  <r>
    <d v="2026-03-15T00:00:00"/>
    <s v="일"/>
    <s v="A62"/>
    <s v="예건 602"/>
    <n v="1"/>
    <x v="5"/>
    <m/>
    <m/>
    <s v="완료"/>
    <n v="18000"/>
  </r>
  <r>
    <d v="2026-03-15T00:00:00"/>
    <s v="일"/>
    <s v="A72"/>
    <s v="예건 702"/>
    <n v="1"/>
    <x v="5"/>
    <m/>
    <m/>
    <s v="완료"/>
    <n v="18000"/>
  </r>
  <r>
    <d v="2026-03-15T00:00:00"/>
    <s v="일"/>
    <s v="B104"/>
    <s v="더하임 1004"/>
    <n v="1"/>
    <x v="1"/>
    <m/>
    <m/>
    <s v="완료"/>
    <n v="18000"/>
  </r>
  <r>
    <d v="2026-03-15T00:00:00"/>
    <s v="일"/>
    <s v="B106"/>
    <s v="더하임 1006"/>
    <n v="1.5"/>
    <x v="3"/>
    <m/>
    <m/>
    <s v="완료"/>
    <n v="20000"/>
  </r>
  <r>
    <d v="2026-03-15T00:00:00"/>
    <s v="일"/>
    <s v="B24"/>
    <s v="더하임 204"/>
    <n v="1"/>
    <x v="1"/>
    <m/>
    <m/>
    <s v="완료"/>
    <n v="18000"/>
  </r>
  <r>
    <d v="2026-03-15T00:00:00"/>
    <s v="일"/>
    <s v="B35"/>
    <s v="더하임 305"/>
    <n v="1"/>
    <x v="1"/>
    <m/>
    <m/>
    <s v="완료"/>
    <n v="18000"/>
  </r>
  <r>
    <d v="2026-03-15T00:00:00"/>
    <s v="일"/>
    <s v="D1"/>
    <s v="청광3차 1416"/>
    <n v="1"/>
    <x v="0"/>
    <m/>
    <m/>
    <s v="완료"/>
    <n v="18000"/>
  </r>
  <r>
    <d v="2026-03-15T00:00:00"/>
    <s v="일"/>
    <s v="D4"/>
    <s v="청광3차 806"/>
    <n v="1"/>
    <x v="0"/>
    <m/>
    <m/>
    <s v="완료"/>
    <n v="18000"/>
  </r>
  <r>
    <d v="2026-03-15T00:00:00"/>
    <s v="일"/>
    <s v="J2"/>
    <s v="은성 603"/>
    <n v="1"/>
    <x v="3"/>
    <m/>
    <m/>
    <s v="완료"/>
    <n v="18000"/>
  </r>
  <r>
    <d v="2026-03-15T00:00:00"/>
    <s v="일"/>
    <s v="E4"/>
    <s v="렘브 505"/>
    <n v="1"/>
    <x v="3"/>
    <m/>
    <m/>
    <s v="완료"/>
    <n v="18000"/>
  </r>
  <r>
    <d v="2026-03-15T00:00:00"/>
    <s v="일"/>
    <s v="T46"/>
    <s v="센텀 2차 406"/>
    <n v="1.5"/>
    <x v="2"/>
    <m/>
    <m/>
    <s v="완료"/>
    <n v="20000"/>
  </r>
  <r>
    <d v="2026-03-15T00:00:00"/>
    <s v="일"/>
    <s v="G3"/>
    <s v="si 602"/>
    <n v="1"/>
    <x v="2"/>
    <m/>
    <m/>
    <s v="완료"/>
    <n v="20000"/>
  </r>
  <r>
    <d v="2026-03-15T00:00:00"/>
    <s v="일"/>
    <s v="L2"/>
    <s v="하람휴 902"/>
    <n v="2"/>
    <x v="6"/>
    <m/>
    <m/>
    <s v="완료"/>
    <n v="23000"/>
  </r>
  <r>
    <d v="2026-03-15T00:00:00"/>
    <s v="일"/>
    <s v="L3"/>
    <s v="하람휴 1102"/>
    <n v="2"/>
    <x v="6"/>
    <m/>
    <m/>
    <s v="완료"/>
    <n v="23000"/>
  </r>
  <r>
    <d v="2026-03-15T00:00:00"/>
    <s v="일"/>
    <s v="L5"/>
    <s v="하람휴 1001"/>
    <n v="2"/>
    <x v="6"/>
    <m/>
    <m/>
    <s v="완료"/>
    <n v="23000"/>
  </r>
  <r>
    <d v="2026-03-15T00:00:00"/>
    <s v="일"/>
    <s v="V12"/>
    <s v="대치동 102호"/>
    <n v="1"/>
    <x v="9"/>
    <m/>
    <m/>
    <s v="완료"/>
    <n v="18000"/>
  </r>
  <r>
    <d v="2026-03-15T00:00:00"/>
    <s v="일"/>
    <s v="V13"/>
    <s v="대치동 103호"/>
    <n v="1.5"/>
    <x v="9"/>
    <m/>
    <m/>
    <s v="완료"/>
    <n v="20000"/>
  </r>
  <r>
    <d v="2026-03-15T00:00:00"/>
    <s v="일"/>
    <s v="C"/>
    <s v="청광1차 207"/>
    <n v="0"/>
    <x v="3"/>
    <m/>
    <m/>
    <s v="완료"/>
    <n v="10000"/>
  </r>
  <r>
    <d v="2026-03-16T00:00:00"/>
    <s v="월"/>
    <s v="A25"/>
    <s v="예건 205"/>
    <n v="1"/>
    <x v="7"/>
    <m/>
    <m/>
    <s v="완료"/>
    <n v="18000"/>
  </r>
  <r>
    <d v="2026-03-16T00:00:00"/>
    <s v="월"/>
    <s v="U93"/>
    <s v="성우 903"/>
    <n v="3"/>
    <x v="1"/>
    <m/>
    <m/>
    <s v="완료"/>
    <n v="30000"/>
  </r>
  <r>
    <d v="2026-03-16T00:00:00"/>
    <s v="월"/>
    <s v="B102"/>
    <s v="더하임 1002"/>
    <n v="1"/>
    <x v="2"/>
    <m/>
    <m/>
    <s v="완료"/>
    <n v="18000"/>
  </r>
  <r>
    <d v="2026-03-16T00:00:00"/>
    <s v="월"/>
    <s v="D3"/>
    <s v="청광3차 507"/>
    <n v="1"/>
    <x v="8"/>
    <m/>
    <m/>
    <s v="완료"/>
    <n v="18000"/>
  </r>
  <r>
    <d v="2026-03-16T00:00:00"/>
    <s v="월"/>
    <s v="D4"/>
    <s v="청광3차 806"/>
    <n v="1"/>
    <x v="8"/>
    <m/>
    <m/>
    <s v="완료"/>
    <n v="18000"/>
  </r>
  <r>
    <d v="2026-03-16T00:00:00"/>
    <s v="월"/>
    <s v="E1"/>
    <s v="르센티 1801"/>
    <s v="복"/>
    <x v="0"/>
    <m/>
    <m/>
    <s v="완료"/>
    <n v="20000"/>
  </r>
  <r>
    <d v="2026-03-16T00:00:00"/>
    <s v="월"/>
    <s v="E5"/>
    <s v="동구햇살 1203"/>
    <s v="복"/>
    <x v="5"/>
    <m/>
    <m/>
    <s v="완료"/>
    <n v="20000"/>
  </r>
  <r>
    <d v="2026-03-16T00:00:00"/>
    <s v="월"/>
    <s v="T66"/>
    <s v="센텀 2차 606"/>
    <n v="1.5"/>
    <x v="3"/>
    <m/>
    <m/>
    <s v="완료"/>
    <n v="20000"/>
  </r>
  <r>
    <d v="2026-03-16T00:00:00"/>
    <s v="월"/>
    <s v="V11"/>
    <s v="대치동 101호"/>
    <n v="2"/>
    <x v="9"/>
    <m/>
    <m/>
    <s v="완료"/>
    <n v="23000"/>
  </r>
  <r>
    <d v="2026-03-16T00:00:00"/>
    <s v="월"/>
    <s v="C"/>
    <s v="청광1차 207"/>
    <n v="0"/>
    <x v="3"/>
    <m/>
    <m/>
    <s v="완료"/>
    <n v="10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d v="2026-03-17T00:00:00"/>
    <s v="화"/>
    <s v="A25"/>
    <s v="예건 205"/>
    <n v="1"/>
    <x v="0"/>
    <m/>
    <m/>
    <s v="완료"/>
    <n v="18000"/>
  </r>
  <r>
    <d v="2026-03-17T00:00:00"/>
    <s v="화"/>
    <s v="B102"/>
    <s v="더하임 1002"/>
    <n v="1"/>
    <x v="1"/>
    <m/>
    <m/>
    <s v="완료"/>
    <n v="18000"/>
  </r>
  <r>
    <d v="2026-03-17T00:00:00"/>
    <s v="화"/>
    <s v="B103"/>
    <s v="더하임 1003"/>
    <n v="1"/>
    <x v="1"/>
    <m/>
    <m/>
    <s v="완료"/>
    <n v="18000"/>
  </r>
  <r>
    <d v="2026-03-17T00:00:00"/>
    <s v="화"/>
    <s v="T66"/>
    <s v="센텀 2차 606"/>
    <n v="1.5"/>
    <x v="2"/>
    <m/>
    <m/>
    <s v="완료"/>
    <n v="20000"/>
  </r>
  <r>
    <d v="2026-03-17T00:00:00"/>
    <s v="화"/>
    <s v="G3"/>
    <s v="si 602"/>
    <n v="1"/>
    <x v="2"/>
    <m/>
    <m/>
    <s v="완료"/>
    <n v="20000"/>
  </r>
  <r>
    <d v="2026-03-17T00:00:00"/>
    <s v="화"/>
    <s v="D3"/>
    <s v="청광3차 507"/>
    <n v="1"/>
    <x v="3"/>
    <m/>
    <m/>
    <s v="완료"/>
    <n v="18000"/>
  </r>
  <r>
    <d v="2026-03-17T00:00:00"/>
    <s v="화"/>
    <s v="F1"/>
    <s v="한양립스 503"/>
    <n v="1"/>
    <x v="4"/>
    <m/>
    <m/>
    <s v="완료"/>
    <n v="18000"/>
  </r>
  <r>
    <d v="2026-03-17T00:00:00"/>
    <s v="화"/>
    <s v="B35"/>
    <s v="더하임 305"/>
    <n v="1"/>
    <x v="5"/>
    <m/>
    <m/>
    <s v="완료"/>
    <n v="18000"/>
  </r>
  <r>
    <d v="2026-03-17T00:00:00"/>
    <s v="화"/>
    <s v="E5"/>
    <s v="동구햇살 1203"/>
    <s v="복"/>
    <x v="6"/>
    <m/>
    <m/>
    <s v="완료"/>
    <n v="20000"/>
  </r>
  <r>
    <d v="2026-03-17T00:00:00"/>
    <s v="화"/>
    <s v="C"/>
    <s v="청광1차 207"/>
    <n v="0"/>
    <x v="4"/>
    <m/>
    <m/>
    <s v="완료"/>
    <n v="10000"/>
  </r>
  <r>
    <d v="2026-03-18T00:00:00"/>
    <s v="수"/>
    <s v="B102"/>
    <s v="더하임 1002"/>
    <n v="1"/>
    <x v="5"/>
    <m/>
    <m/>
    <s v="완료"/>
    <n v="18000"/>
  </r>
  <r>
    <d v="2026-03-18T00:00:00"/>
    <s v="수"/>
    <s v="B35"/>
    <s v="더하임 305"/>
    <n v="1"/>
    <x v="5"/>
    <m/>
    <m/>
    <s v="완료"/>
    <n v="18000"/>
  </r>
  <r>
    <d v="2026-03-18T00:00:00"/>
    <s v="수"/>
    <s v="G3"/>
    <s v="si 602"/>
    <n v="1"/>
    <x v="5"/>
    <s v="기상악화"/>
    <m/>
    <s v="완료"/>
    <n v="25000"/>
  </r>
  <r>
    <d v="2026-03-19T00:00:00"/>
    <s v="목"/>
    <s v="D1"/>
    <s v="청광3차 1416"/>
    <n v="1"/>
    <x v="1"/>
    <m/>
    <m/>
    <s v="완료"/>
    <n v="18000"/>
  </r>
  <r>
    <d v="2026-03-19T00:00:00"/>
    <s v="목"/>
    <s v="D4"/>
    <s v="청광3차 806"/>
    <n v="1"/>
    <x v="1"/>
    <m/>
    <m/>
    <s v="완료"/>
    <n v="18000"/>
  </r>
  <r>
    <d v="2026-03-19T00:00:00"/>
    <s v="목"/>
    <s v="H42"/>
    <s v="오금스타 402"/>
    <n v="1"/>
    <x v="1"/>
    <s v="오염"/>
    <m/>
    <s v="완료"/>
    <n v="23000"/>
  </r>
  <r>
    <d v="2026-03-19T00:00:00"/>
    <s v="목"/>
    <s v="E1"/>
    <s v="르센티 1801"/>
    <s v="복"/>
    <x v="5"/>
    <m/>
    <m/>
    <s v="완료"/>
    <n v="20000"/>
  </r>
  <r>
    <d v="2026-03-19T00:00:00"/>
    <s v="목"/>
    <s v="F2"/>
    <s v="오앤 401"/>
    <n v="1"/>
    <x v="0"/>
    <m/>
    <m/>
    <s v="완료"/>
    <n v="18000"/>
  </r>
  <r>
    <d v="2026-03-19T00:00:00"/>
    <s v="목"/>
    <s v="E5"/>
    <s v="동구햇살 1203"/>
    <s v="복"/>
    <x v="6"/>
    <m/>
    <m/>
    <s v="완료"/>
    <n v="20000"/>
  </r>
  <r>
    <d v="2026-03-19T00:00:00"/>
    <s v="목"/>
    <s v="G3"/>
    <s v="si 602"/>
    <n v="1"/>
    <x v="2"/>
    <m/>
    <m/>
    <s v="완료"/>
    <n v="20000"/>
  </r>
  <r>
    <d v="2026-03-19T00:00:00"/>
    <s v="목"/>
    <s v="L5"/>
    <s v="하람휴 1001"/>
    <n v="2"/>
    <x v="7"/>
    <m/>
    <m/>
    <s v="완료"/>
    <n v="23000"/>
  </r>
  <r>
    <d v="2026-03-19T00:00:00"/>
    <s v="목"/>
    <s v="C"/>
    <s v="청광1차 207"/>
    <n v="0"/>
    <x v="0"/>
    <m/>
    <m/>
    <s v="완료"/>
    <n v="10000"/>
  </r>
  <r>
    <d v="2026-03-20T00:00:00"/>
    <s v="금"/>
    <s v="A72"/>
    <s v="예건 702"/>
    <n v="1"/>
    <x v="2"/>
    <m/>
    <m/>
    <s v="완료"/>
    <n v="18000"/>
  </r>
  <r>
    <d v="2026-03-20T00:00:00"/>
    <s v="금"/>
    <s v="B102"/>
    <s v="더하임 1002"/>
    <n v="1"/>
    <x v="0"/>
    <m/>
    <m/>
    <s v="완료"/>
    <n v="18000"/>
  </r>
  <r>
    <d v="2026-03-20T00:00:00"/>
    <s v="금"/>
    <s v="B103"/>
    <s v="더하임 1003"/>
    <n v="1"/>
    <x v="0"/>
    <m/>
    <m/>
    <s v="완료"/>
    <n v="18000"/>
  </r>
  <r>
    <d v="2026-03-20T00:00:00"/>
    <s v="금"/>
    <s v="B105"/>
    <s v="더하임 1005"/>
    <n v="1"/>
    <x v="0"/>
    <m/>
    <m/>
    <s v="완료"/>
    <n v="18000"/>
  </r>
  <r>
    <d v="2026-03-20T00:00:00"/>
    <s v="금"/>
    <s v="D3"/>
    <s v="청광3차 507"/>
    <n v="1"/>
    <x v="3"/>
    <m/>
    <m/>
    <s v="완료"/>
    <n v="18000"/>
  </r>
  <r>
    <d v="2026-03-20T00:00:00"/>
    <s v="금"/>
    <s v="G3"/>
    <s v="si 602"/>
    <n v="1"/>
    <x v="5"/>
    <m/>
    <m/>
    <s v="완료"/>
    <n v="20000"/>
  </r>
  <r>
    <d v="2026-03-20T00:00:00"/>
    <s v="금"/>
    <s v="F3"/>
    <s v="태상 501"/>
    <n v="2"/>
    <x v="5"/>
    <m/>
    <m/>
    <s v="완료"/>
    <n v="23000"/>
  </r>
  <r>
    <d v="2026-03-20T00:00:00"/>
    <s v="금"/>
    <s v="L5"/>
    <s v="하람휴 1001"/>
    <n v="2"/>
    <x v="7"/>
    <m/>
    <m/>
    <s v="완료"/>
    <n v="23000"/>
  </r>
  <r>
    <d v="2026-03-20T00:00:00"/>
    <s v="금"/>
    <s v="U34"/>
    <s v="성우 304"/>
    <n v="2"/>
    <x v="0"/>
    <m/>
    <m/>
    <s v="완료"/>
    <n v="23000"/>
  </r>
  <r>
    <d v="2026-03-20T00:00:00"/>
    <s v="금"/>
    <s v="A62"/>
    <s v="예건 602"/>
    <n v="1"/>
    <x v="2"/>
    <m/>
    <m/>
    <s v="완료"/>
    <n v="18000"/>
  </r>
  <r>
    <d v="2026-03-20T00:00:00"/>
    <s v="금"/>
    <s v="C"/>
    <s v="청광1차 207"/>
    <n v="0"/>
    <x v="0"/>
    <m/>
    <m/>
    <s v="완료"/>
    <n v="10000"/>
  </r>
  <r>
    <d v="2026-03-21T00:00:00"/>
    <s v="토"/>
    <s v="U34"/>
    <s v="성우 304"/>
    <n v="2"/>
    <x v="5"/>
    <m/>
    <m/>
    <s v="완료"/>
    <n v="23000"/>
  </r>
  <r>
    <d v="2026-03-21T00:00:00"/>
    <s v="토"/>
    <s v="U93"/>
    <s v="성우 903"/>
    <n v="3"/>
    <x v="5"/>
    <m/>
    <m/>
    <s v="완료"/>
    <n v="30000"/>
  </r>
  <r>
    <d v="2026-03-21T00:00:00"/>
    <s v="토"/>
    <s v="G3"/>
    <s v="si 602"/>
    <n v="1"/>
    <x v="5"/>
    <s v="3/15 기상악화"/>
    <m/>
    <s v="완료"/>
    <n v="25000"/>
  </r>
  <r>
    <d v="2026-03-21T00:00:00"/>
    <s v="토"/>
    <s v="V12"/>
    <s v="대치동 102호"/>
    <n v="1"/>
    <x v="8"/>
    <m/>
    <m/>
    <s v="완료"/>
    <n v="18000"/>
  </r>
  <r>
    <d v="2026-03-21T00:00:00"/>
    <s v="토"/>
    <s v="A24"/>
    <s v="예건 204"/>
    <n v="1"/>
    <x v="0"/>
    <s v="수건전달"/>
    <m/>
    <s v="완료"/>
    <n v="23000"/>
  </r>
  <r>
    <d v="2026-03-21T00:00:00"/>
    <s v="토"/>
    <s v="A72"/>
    <s v="예건 702"/>
    <n v="1"/>
    <x v="0"/>
    <s v="3/15 기상악화"/>
    <m/>
    <s v="완료"/>
    <n v="23000"/>
  </r>
  <r>
    <d v="2026-03-21T00:00:00"/>
    <s v="토"/>
    <s v="B102"/>
    <s v="더하임 1002"/>
    <n v="1"/>
    <x v="2"/>
    <m/>
    <m/>
    <s v="완료"/>
    <n v="18000"/>
  </r>
  <r>
    <d v="2026-03-21T00:00:00"/>
    <s v="토"/>
    <s v="B103"/>
    <s v="더하임 1003"/>
    <n v="1"/>
    <x v="2"/>
    <s v="3/15 기상악화"/>
    <m/>
    <s v="완료"/>
    <n v="23000"/>
  </r>
  <r>
    <d v="2026-03-21T00:00:00"/>
    <s v="토"/>
    <s v="F2"/>
    <s v="오앤 401"/>
    <n v="1"/>
    <x v="2"/>
    <m/>
    <m/>
    <s v="완료"/>
    <n v="18000"/>
  </r>
  <r>
    <d v="2026-03-21T00:00:00"/>
    <s v="토"/>
    <s v="B36"/>
    <s v="더하임 306"/>
    <n v="1.5"/>
    <x v="3"/>
    <s v="3/15 기상악화"/>
    <m/>
    <s v="완료"/>
    <n v="25000"/>
  </r>
  <r>
    <d v="2026-03-21T00:00:00"/>
    <s v="토"/>
    <s v="E5"/>
    <s v="동구햇살 1203"/>
    <s v="복"/>
    <x v="6"/>
    <s v="3/15 기상악화"/>
    <m/>
    <s v="완료"/>
    <n v="25000"/>
  </r>
  <r>
    <d v="2026-03-21T00:00:00"/>
    <s v="토"/>
    <s v="C6"/>
    <s v="청광1차 1303"/>
    <n v="1"/>
    <x v="6"/>
    <s v="더러움+기다림"/>
    <m/>
    <s v="완료"/>
    <n v="23000"/>
  </r>
  <r>
    <d v="2026-03-21T00:00:00"/>
    <s v="토"/>
    <s v="D3"/>
    <s v="청광3차 507"/>
    <n v="1"/>
    <x v="1"/>
    <s v="3/15 기상악화"/>
    <m/>
    <s v="완료"/>
    <n v="23000"/>
  </r>
  <r>
    <d v="2026-03-21T00:00:00"/>
    <s v="토"/>
    <s v="D4"/>
    <s v="청광3차 806"/>
    <n v="1"/>
    <x v="1"/>
    <m/>
    <m/>
    <s v="완료"/>
    <n v="18000"/>
  </r>
  <r>
    <d v="2026-03-21T00:00:00"/>
    <s v="토"/>
    <s v="L5"/>
    <s v="하람휴 1001"/>
    <n v="2"/>
    <x v="7"/>
    <s v="3/15 기상악화"/>
    <m/>
    <s v="완료"/>
    <n v="28000"/>
  </r>
  <r>
    <d v="2026-03-21T00:00:00"/>
    <s v="토"/>
    <s v="C"/>
    <s v="청광1차 207"/>
    <n v="0"/>
    <x v="0"/>
    <m/>
    <m/>
    <s v="완료"/>
    <n v="10000"/>
  </r>
  <r>
    <d v="2026-03-22T00:00:00"/>
    <s v="일"/>
    <s v="F3"/>
    <s v="태상 501"/>
    <n v="2"/>
    <x v="5"/>
    <m/>
    <m/>
    <s v="완료"/>
    <n v="23000"/>
  </r>
  <r>
    <d v="2026-03-22T00:00:00"/>
    <s v="일"/>
    <s v="F2"/>
    <s v="오앤 401"/>
    <n v="1"/>
    <x v="5"/>
    <m/>
    <m/>
    <s v="완료"/>
    <n v="18000"/>
  </r>
  <r>
    <d v="2026-03-22T00:00:00"/>
    <s v="일"/>
    <s v="A24"/>
    <s v="예건 204"/>
    <n v="1"/>
    <x v="0"/>
    <m/>
    <m/>
    <s v="완료"/>
    <n v="18000"/>
  </r>
  <r>
    <d v="2026-03-22T00:00:00"/>
    <s v="일"/>
    <s v="A72"/>
    <s v="예건 702"/>
    <n v="1"/>
    <x v="0"/>
    <m/>
    <m/>
    <s v="완료"/>
    <n v="18000"/>
  </r>
  <r>
    <d v="2026-03-22T00:00:00"/>
    <s v="일"/>
    <s v="B102"/>
    <s v="더하임 1002"/>
    <n v="1"/>
    <x v="4"/>
    <s v="3/15 기상악화"/>
    <m/>
    <s v="완료"/>
    <n v="23000"/>
  </r>
  <r>
    <d v="2026-03-22T00:00:00"/>
    <s v="일"/>
    <s v="B24"/>
    <s v="더하임 204"/>
    <n v="1"/>
    <x v="4"/>
    <m/>
    <m/>
    <s v="완료"/>
    <n v="18000"/>
  </r>
  <r>
    <d v="2026-03-22T00:00:00"/>
    <s v="일"/>
    <s v="B35"/>
    <s v="더하임 305"/>
    <n v="1"/>
    <x v="4"/>
    <m/>
    <m/>
    <s v="완료"/>
    <n v="18000"/>
  </r>
  <r>
    <d v="2026-03-22T00:00:00"/>
    <s v="일"/>
    <s v="U34"/>
    <s v="성우 304"/>
    <n v="2"/>
    <x v="2"/>
    <m/>
    <m/>
    <s v="완료"/>
    <n v="23000"/>
  </r>
  <r>
    <d v="2026-03-22T00:00:00"/>
    <s v="일"/>
    <s v="C6"/>
    <s v="청광1차 1303"/>
    <n v="1"/>
    <x v="6"/>
    <m/>
    <m/>
    <s v="완료"/>
    <n v="18000"/>
  </r>
  <r>
    <d v="2026-03-22T00:00:00"/>
    <s v="일"/>
    <s v="E1"/>
    <s v="르센티 1801"/>
    <s v="복"/>
    <x v="6"/>
    <m/>
    <m/>
    <s v="완료"/>
    <n v="20000"/>
  </r>
  <r>
    <d v="2026-03-22T00:00:00"/>
    <s v="일"/>
    <s v="H25"/>
    <s v="오금스타 205"/>
    <n v="1"/>
    <x v="9"/>
    <m/>
    <m/>
    <s v="완료"/>
    <n v="20000"/>
  </r>
  <r>
    <d v="2026-03-22T00:00:00"/>
    <s v="일"/>
    <s v="H42"/>
    <s v="오금스타 402"/>
    <n v="1"/>
    <x v="9"/>
    <m/>
    <m/>
    <s v="완료"/>
    <n v="20000"/>
  </r>
  <r>
    <d v="2026-03-22T00:00:00"/>
    <s v="일"/>
    <s v="D3"/>
    <s v="청광3차 507"/>
    <n v="1"/>
    <x v="1"/>
    <m/>
    <m/>
    <s v="완료"/>
    <n v="18000"/>
  </r>
  <r>
    <d v="2026-03-22T00:00:00"/>
    <s v="일"/>
    <s v="D4"/>
    <s v="청광3차 806"/>
    <n v="1"/>
    <x v="1"/>
    <m/>
    <m/>
    <s v="완료"/>
    <n v="18000"/>
  </r>
  <r>
    <d v="2026-03-22T00:00:00"/>
    <s v="일"/>
    <s v="L5"/>
    <s v="하람휴 1001"/>
    <n v="2"/>
    <x v="7"/>
    <m/>
    <m/>
    <s v="완료"/>
    <n v="23000"/>
  </r>
  <r>
    <d v="2026-03-22T00:00:00"/>
    <s v="일"/>
    <s v="U42"/>
    <s v="성우 402"/>
    <n v="3"/>
    <x v="3"/>
    <m/>
    <m/>
    <s v="완료"/>
    <n v="30000"/>
  </r>
  <r>
    <d v="2026-03-22T00:00:00"/>
    <s v="일"/>
    <s v="U93"/>
    <s v="성우 903"/>
    <n v="3"/>
    <x v="3"/>
    <m/>
    <m/>
    <s v="완료"/>
    <n v="30000"/>
  </r>
  <r>
    <d v="2026-03-22T00:00:00"/>
    <s v="일"/>
    <s v="V13"/>
    <s v="대치동 103호"/>
    <n v="1.5"/>
    <x v="8"/>
    <s v="3/15 기상악화"/>
    <m/>
    <s v="완료"/>
    <n v="25000"/>
  </r>
  <r>
    <d v="2026-03-22T00:00:00"/>
    <s v="일"/>
    <s v="C"/>
    <s v="청광1차 207"/>
    <n v="0"/>
    <x v="0"/>
    <m/>
    <m/>
    <s v="완료"/>
    <n v="10000"/>
  </r>
  <r>
    <d v="2026-03-23T00:00:00"/>
    <s v="월"/>
    <s v="A25"/>
    <s v="예건 205"/>
    <n v="1"/>
    <x v="6"/>
    <m/>
    <m/>
    <m/>
    <n v="18000"/>
  </r>
  <r>
    <d v="2026-03-23T00:00:00"/>
    <s v="월"/>
    <s v="B105"/>
    <s v="더하임 1005"/>
    <n v="1"/>
    <x v="2"/>
    <m/>
    <m/>
    <m/>
    <n v="18000"/>
  </r>
  <r>
    <d v="2026-03-23T00:00:00"/>
    <s v="월"/>
    <s v="B35"/>
    <s v="더하임 305"/>
    <n v="1"/>
    <x v="2"/>
    <m/>
    <m/>
    <m/>
    <n v="18000"/>
  </r>
  <r>
    <d v="2026-03-23T00:00:00"/>
    <s v="월"/>
    <s v="F1"/>
    <s v="한양립스 503"/>
    <n v="1"/>
    <x v="0"/>
    <m/>
    <m/>
    <m/>
    <n v="18000"/>
  </r>
  <r>
    <d v="2026-03-23T00:00:00"/>
    <s v="월"/>
    <s v="F2"/>
    <s v="오앤 401"/>
    <n v="1"/>
    <x v="5"/>
    <m/>
    <m/>
    <m/>
    <n v="18000"/>
  </r>
  <r>
    <d v="2026-03-23T00:00:00"/>
    <s v="월"/>
    <s v="T66"/>
    <s v="센텀 2차 606"/>
    <n v="1.5"/>
    <x v="5"/>
    <m/>
    <m/>
    <m/>
    <n v="20000"/>
  </r>
  <r>
    <d v="2026-03-23T00:00:00"/>
    <s v="월"/>
    <s v="U42"/>
    <s v="성우 402"/>
    <n v="3"/>
    <x v="3"/>
    <m/>
    <m/>
    <m/>
    <n v="30000"/>
  </r>
  <r>
    <d v="2026-03-23T00:00:00"/>
    <s v="월"/>
    <s v="V13"/>
    <s v="대치동 103호"/>
    <n v="1.5"/>
    <x v="8"/>
    <m/>
    <m/>
    <m/>
    <n v="20000"/>
  </r>
  <r>
    <d v="2026-03-23T00:00:00"/>
    <s v="월"/>
    <s v="C"/>
    <s v="청광1차 207"/>
    <n v="0"/>
    <x v="0"/>
    <m/>
    <m/>
    <m/>
    <n v="100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d v="2026-03-24T00:00:00"/>
    <s v="화"/>
    <s v="A25"/>
    <s v="예건 205"/>
    <n v="1"/>
    <x v="0"/>
    <m/>
    <m/>
    <s v="완료"/>
    <n v="18000"/>
  </r>
  <r>
    <d v="2026-03-24T00:00:00"/>
    <s v="화"/>
    <s v="A62"/>
    <s v="예건 602"/>
    <n v="1"/>
    <x v="1"/>
    <m/>
    <m/>
    <s v="완료"/>
    <n v="18000"/>
  </r>
  <r>
    <d v="2026-03-24T00:00:00"/>
    <s v="화"/>
    <s v="B24"/>
    <s v="더하임 204"/>
    <n v="1"/>
    <x v="2"/>
    <m/>
    <m/>
    <s v="완료"/>
    <n v="18000"/>
  </r>
  <r>
    <d v="2026-03-24T00:00:00"/>
    <s v="화"/>
    <s v="B35"/>
    <s v="더하임 305"/>
    <n v="1"/>
    <x v="2"/>
    <m/>
    <m/>
    <s v="완료"/>
    <n v="18000"/>
  </r>
  <r>
    <d v="2026-03-24T00:00:00"/>
    <s v="화"/>
    <s v="B36"/>
    <s v="더하임 306"/>
    <n v="1.5"/>
    <x v="3"/>
    <m/>
    <m/>
    <s v="완료"/>
    <n v="50000"/>
  </r>
  <r>
    <d v="2026-03-24T00:00:00"/>
    <s v="화"/>
    <s v="D6"/>
    <s v="청광3차 1412"/>
    <n v="1"/>
    <x v="4"/>
    <m/>
    <m/>
    <s v="완료"/>
    <n v="18000"/>
  </r>
  <r>
    <d v="2026-03-24T00:00:00"/>
    <s v="화"/>
    <s v="E5"/>
    <s v="동구햇살 1203"/>
    <s v="복"/>
    <x v="4"/>
    <m/>
    <m/>
    <s v="완료"/>
    <n v="20000"/>
  </r>
  <r>
    <d v="2026-03-24T00:00:00"/>
    <s v="화"/>
    <s v="C"/>
    <s v="청광1차 207"/>
    <n v="0"/>
    <x v="2"/>
    <m/>
    <m/>
    <s v="완료"/>
    <n v="10000"/>
  </r>
  <r>
    <d v="2026-03-25T00:00:00"/>
    <s v="수"/>
    <s v="V13"/>
    <s v="대치동 103호"/>
    <n v="1.5"/>
    <x v="5"/>
    <m/>
    <m/>
    <s v="완료"/>
    <n v="20000"/>
  </r>
  <r>
    <d v="2026-03-25T00:00:00"/>
    <s v="수"/>
    <s v="B54"/>
    <s v="더하임 504"/>
    <n v="1"/>
    <x v="6"/>
    <m/>
    <m/>
    <s v="완료"/>
    <n v="18000"/>
  </r>
  <r>
    <d v="2026-03-25T00:00:00"/>
    <s v="수"/>
    <s v="B35"/>
    <s v="더하임 305"/>
    <n v="1"/>
    <x v="6"/>
    <m/>
    <m/>
    <s v="완료"/>
    <n v="18000"/>
  </r>
  <r>
    <d v="2026-03-25T00:00:00"/>
    <s v="수"/>
    <s v="B56"/>
    <s v="더하임 506"/>
    <n v="1.5"/>
    <x v="6"/>
    <m/>
    <m/>
    <s v="완료"/>
    <n v="20000"/>
  </r>
  <r>
    <d v="2026-03-25T00:00:00"/>
    <s v="수"/>
    <s v="U93"/>
    <s v="성우 903"/>
    <n v="3"/>
    <x v="3"/>
    <m/>
    <m/>
    <s v="완료"/>
    <n v="30000"/>
  </r>
  <r>
    <d v="2026-03-25T00:00:00"/>
    <s v="수"/>
    <s v="D6"/>
    <s v="청광3차 1412"/>
    <n v="1"/>
    <x v="4"/>
    <m/>
    <m/>
    <s v="완료"/>
    <n v="18000"/>
  </r>
  <r>
    <d v="2026-03-25T00:00:00"/>
    <s v="수"/>
    <s v="E5"/>
    <s v="동구햇살 1203"/>
    <s v="복"/>
    <x v="4"/>
    <m/>
    <m/>
    <s v="완료"/>
    <n v="20000"/>
  </r>
  <r>
    <d v="2026-03-25T00:00:00"/>
    <s v="수"/>
    <s v="F1"/>
    <s v="한양립스 503"/>
    <n v="1"/>
    <x v="2"/>
    <m/>
    <m/>
    <s v="완료"/>
    <n v="18000"/>
  </r>
  <r>
    <d v="2026-03-25T00:00:00"/>
    <s v="수"/>
    <s v="C"/>
    <s v="청광1차 207"/>
    <n v="0"/>
    <x v="2"/>
    <m/>
    <m/>
    <s v="완료"/>
    <n v="10000"/>
  </r>
  <r>
    <d v="2026-03-25T00:00:00"/>
    <s v="수"/>
    <s v="B94"/>
    <s v="더하임 904"/>
    <n v="1"/>
    <x v="6"/>
    <m/>
    <m/>
    <s v="완료"/>
    <n v="18000"/>
  </r>
  <r>
    <d v="2026-03-26T00:00:00"/>
    <s v="목"/>
    <s v="B54"/>
    <s v="더하임 504"/>
    <n v="1"/>
    <x v="7"/>
    <m/>
    <m/>
    <s v="완료"/>
    <n v="18000"/>
  </r>
  <r>
    <d v="2026-03-26T00:00:00"/>
    <s v="목"/>
    <s v="U93"/>
    <s v="성우 903"/>
    <n v="3"/>
    <x v="2"/>
    <m/>
    <m/>
    <s v="완료"/>
    <n v="30000"/>
  </r>
  <r>
    <d v="2026-03-26T00:00:00"/>
    <s v="목"/>
    <s v="F1"/>
    <s v="한양립스 503"/>
    <n v="1"/>
    <x v="0"/>
    <m/>
    <m/>
    <s v="완료"/>
    <n v="18000"/>
  </r>
  <r>
    <d v="2026-03-26T00:00:00"/>
    <s v="목"/>
    <s v="C"/>
    <s v="청광1차 207"/>
    <n v="0"/>
    <x v="2"/>
    <m/>
    <m/>
    <s v="완료"/>
    <n v="10000"/>
  </r>
  <r>
    <d v="2026-03-27T00:00:00"/>
    <s v="금"/>
    <s v="E5"/>
    <s v="동구햇살 1203"/>
    <s v="복"/>
    <x v="2"/>
    <m/>
    <m/>
    <s v="완료"/>
    <n v="20000"/>
  </r>
  <r>
    <d v="2026-03-27T00:00:00"/>
    <s v="금"/>
    <s v="K3"/>
    <s v="뉴시티 1413"/>
    <n v="1"/>
    <x v="8"/>
    <m/>
    <m/>
    <s v="완료"/>
    <n v="50000"/>
  </r>
  <r>
    <d v="2026-03-27T00:00:00"/>
    <s v="금"/>
    <s v="B103"/>
    <s v="더하임 1003"/>
    <n v="1"/>
    <x v="7"/>
    <m/>
    <m/>
    <s v="완료"/>
    <n v="18000"/>
  </r>
  <r>
    <d v="2026-03-27T00:00:00"/>
    <s v="금"/>
    <s v="B54"/>
    <s v="더하임 504"/>
    <n v="1"/>
    <x v="7"/>
    <m/>
    <m/>
    <s v="완료"/>
    <n v="18000"/>
  </r>
  <r>
    <d v="2026-03-27T00:00:00"/>
    <s v="금"/>
    <s v="G2"/>
    <s v="si 502"/>
    <n v="1"/>
    <x v="7"/>
    <m/>
    <m/>
    <s v="완료"/>
    <n v="20000"/>
  </r>
  <r>
    <d v="2026-03-27T00:00:00"/>
    <s v="금"/>
    <s v="D1"/>
    <s v="청광3차 1416"/>
    <n v="1"/>
    <x v="4"/>
    <m/>
    <m/>
    <s v="완료"/>
    <n v="18000"/>
  </r>
  <r>
    <d v="2026-03-27T00:00:00"/>
    <s v="금"/>
    <s v="D8"/>
    <s v="강동QV 1604"/>
    <n v="1"/>
    <x v="4"/>
    <m/>
    <m/>
    <s v="완료"/>
    <n v="18000"/>
  </r>
  <r>
    <d v="2026-03-27T00:00:00"/>
    <s v="금"/>
    <s v="H33"/>
    <s v="오금스타 303"/>
    <n v="1"/>
    <x v="4"/>
    <s v="더러움"/>
    <m/>
    <s v="완료"/>
    <n v="33000"/>
  </r>
  <r>
    <d v="2026-03-27T00:00:00"/>
    <s v="금"/>
    <s v="A72"/>
    <s v="예건 702"/>
    <n v="1"/>
    <x v="3"/>
    <m/>
    <m/>
    <s v="완료"/>
    <n v="18000"/>
  </r>
  <r>
    <d v="2026-03-27T00:00:00"/>
    <s v="금"/>
    <s v="E1"/>
    <s v="르센티 1801"/>
    <s v="복"/>
    <x v="3"/>
    <m/>
    <m/>
    <s v="완료"/>
    <n v="20000"/>
  </r>
  <r>
    <d v="2026-03-27T00:00:00"/>
    <s v="금"/>
    <s v="B91"/>
    <s v="더하임 901"/>
    <n v="1"/>
    <x v="1"/>
    <m/>
    <m/>
    <s v="완료"/>
    <n v="18000"/>
  </r>
  <r>
    <d v="2026-03-27T00:00:00"/>
    <s v="금"/>
    <s v="B94"/>
    <s v="더하임 904"/>
    <n v="1"/>
    <x v="1"/>
    <m/>
    <m/>
    <s v="완료"/>
    <n v="18000"/>
  </r>
  <r>
    <d v="2026-03-27T00:00:00"/>
    <s v="금"/>
    <s v="K5"/>
    <s v="방학 709"/>
    <s v="복"/>
    <x v="8"/>
    <m/>
    <m/>
    <s v="완료"/>
    <n v="34000"/>
  </r>
  <r>
    <d v="2026-03-27T00:00:00"/>
    <s v="금"/>
    <s v="V13"/>
    <s v="대치동 103호"/>
    <n v="1.5"/>
    <x v="5"/>
    <m/>
    <m/>
    <s v="완료"/>
    <n v="20000"/>
  </r>
  <r>
    <d v="2026-03-27T00:00:00"/>
    <s v="금"/>
    <s v="C"/>
    <s v="청광1차 207"/>
    <n v="0"/>
    <x v="2"/>
    <m/>
    <m/>
    <s v="완료"/>
    <n v="10000"/>
  </r>
  <r>
    <d v="2026-03-28T00:00:00"/>
    <s v="토"/>
    <s v="T46"/>
    <s v="센텀 2차 406"/>
    <n v="1.5"/>
    <x v="7"/>
    <m/>
    <m/>
    <s v="완료"/>
    <n v="20000"/>
  </r>
  <r>
    <d v="2026-03-28T00:00:00"/>
    <s v="토"/>
    <s v="C6"/>
    <s v="청광1차 1303"/>
    <n v="1"/>
    <x v="7"/>
    <m/>
    <m/>
    <s v="완료"/>
    <n v="18000"/>
  </r>
  <r>
    <d v="2026-03-28T00:00:00"/>
    <s v="토"/>
    <s v="J2"/>
    <s v="은성 603"/>
    <n v="1"/>
    <x v="3"/>
    <m/>
    <m/>
    <s v="완료"/>
    <n v="18000"/>
  </r>
  <r>
    <d v="2026-03-28T00:00:00"/>
    <s v="토"/>
    <s v="F2"/>
    <s v="오앤 401"/>
    <n v="1"/>
    <x v="7"/>
    <m/>
    <m/>
    <s v="완료"/>
    <n v="18000"/>
  </r>
  <r>
    <d v="2026-03-28T00:00:00"/>
    <s v="토"/>
    <s v="D1"/>
    <s v="청광3차 1416"/>
    <n v="1"/>
    <x v="4"/>
    <m/>
    <m/>
    <s v="완료"/>
    <n v="18000"/>
  </r>
  <r>
    <d v="2026-03-28T00:00:00"/>
    <s v="토"/>
    <s v="D3"/>
    <s v="청광3차 507"/>
    <n v="1"/>
    <x v="4"/>
    <m/>
    <m/>
    <s v="완료"/>
    <n v="18000"/>
  </r>
  <r>
    <d v="2026-03-28T00:00:00"/>
    <s v="토"/>
    <s v="D8"/>
    <s v="강동QV 1604"/>
    <n v="1"/>
    <x v="3"/>
    <m/>
    <m/>
    <s v="완료"/>
    <n v="18000"/>
  </r>
  <r>
    <d v="2026-03-28T00:00:00"/>
    <s v="토"/>
    <s v="E1"/>
    <s v="르센티 1801"/>
    <s v="복"/>
    <x v="3"/>
    <m/>
    <m/>
    <s v="완료"/>
    <n v="20000"/>
  </r>
  <r>
    <d v="2026-03-28T00:00:00"/>
    <s v="토"/>
    <s v="B103"/>
    <s v="더하임 1003"/>
    <n v="1"/>
    <x v="2"/>
    <m/>
    <m/>
    <s v="완료"/>
    <n v="18000"/>
  </r>
  <r>
    <d v="2026-03-28T00:00:00"/>
    <s v="토"/>
    <s v="B105"/>
    <s v="더하임 1005"/>
    <n v="1"/>
    <x v="2"/>
    <m/>
    <m/>
    <s v="완료"/>
    <n v="18000"/>
  </r>
  <r>
    <d v="2026-03-28T00:00:00"/>
    <s v="토"/>
    <s v="B106"/>
    <s v="더하임 1006"/>
    <n v="1.5"/>
    <x v="2"/>
    <s v="이불전달"/>
    <m/>
    <s v="완료"/>
    <n v="25000"/>
  </r>
  <r>
    <d v="2026-03-28T00:00:00"/>
    <s v="토"/>
    <s v="G2"/>
    <s v="si 502"/>
    <n v="1"/>
    <x v="9"/>
    <m/>
    <m/>
    <s v="완료"/>
    <n v="22000"/>
  </r>
  <r>
    <d v="2026-03-28T00:00:00"/>
    <s v="토"/>
    <s v="H25"/>
    <s v="오금스타 205"/>
    <n v="1"/>
    <x v="9"/>
    <m/>
    <m/>
    <s v="완료"/>
    <n v="20000"/>
  </r>
  <r>
    <d v="2026-03-28T00:00:00"/>
    <s v="토"/>
    <s v="L5"/>
    <s v="하람휴 1001"/>
    <n v="2"/>
    <x v="10"/>
    <m/>
    <m/>
    <s v="완료"/>
    <n v="23000"/>
  </r>
  <r>
    <d v="2026-03-28T00:00:00"/>
    <s v="토"/>
    <s v="A33"/>
    <s v="예건 303"/>
    <n v="2"/>
    <x v="1"/>
    <m/>
    <m/>
    <s v="완료"/>
    <n v="23000"/>
  </r>
  <r>
    <d v="2026-03-28T00:00:00"/>
    <s v="토"/>
    <s v="U34"/>
    <s v="성우 304"/>
    <n v="2"/>
    <x v="1"/>
    <m/>
    <m/>
    <s v="완료"/>
    <n v="23000"/>
  </r>
  <r>
    <d v="2026-03-28T00:00:00"/>
    <s v="토"/>
    <s v="U42"/>
    <s v="성우 402"/>
    <n v="3"/>
    <x v="1"/>
    <m/>
    <m/>
    <s v="완료"/>
    <n v="30000"/>
  </r>
  <r>
    <d v="2026-03-28T00:00:00"/>
    <s v="토"/>
    <s v="V13"/>
    <s v="대치동 103호"/>
    <n v="1.5"/>
    <x v="5"/>
    <m/>
    <m/>
    <s v="완료"/>
    <n v="20000"/>
  </r>
  <r>
    <d v="2026-03-28T00:00:00"/>
    <s v="토"/>
    <s v="C"/>
    <s v="청광1차 207"/>
    <n v="0"/>
    <x v="2"/>
    <m/>
    <m/>
    <s v="완료"/>
    <n v="10000"/>
  </r>
  <r>
    <d v="2026-03-29T00:00:00"/>
    <s v="일"/>
    <s v="A33"/>
    <s v="예건 303"/>
    <n v="2"/>
    <x v="6"/>
    <m/>
    <m/>
    <s v="완료"/>
    <n v="23000"/>
  </r>
  <r>
    <d v="2026-03-29T00:00:00"/>
    <s v="일"/>
    <s v="C7"/>
    <s v="길동다성 506"/>
    <n v="1"/>
    <x v="2"/>
    <m/>
    <m/>
    <s v="완료"/>
    <n v="18000"/>
  </r>
  <r>
    <d v="2026-03-29T00:00:00"/>
    <s v="일"/>
    <s v="D8"/>
    <s v="강동QV 1604"/>
    <n v="1"/>
    <x v="2"/>
    <m/>
    <m/>
    <s v="완료"/>
    <n v="18000"/>
  </r>
  <r>
    <d v="2026-03-29T00:00:00"/>
    <s v="일"/>
    <s v="D1"/>
    <s v="청광3차 1416"/>
    <n v="1"/>
    <x v="4"/>
    <m/>
    <m/>
    <s v="완료"/>
    <n v="18000"/>
  </r>
  <r>
    <d v="2026-03-29T00:00:00"/>
    <s v="일"/>
    <s v="D3"/>
    <s v="청광3차 507"/>
    <n v="1"/>
    <x v="4"/>
    <m/>
    <m/>
    <s v="완료"/>
    <n v="18000"/>
  </r>
  <r>
    <d v="2026-03-29T00:00:00"/>
    <s v="일"/>
    <s v="F3"/>
    <s v="태상 501"/>
    <n v="2"/>
    <x v="0"/>
    <s v="겁나더러움"/>
    <m/>
    <s v="완료"/>
    <n v="28000"/>
  </r>
  <r>
    <d v="2026-03-29T00:00:00"/>
    <s v="일"/>
    <s v="G3"/>
    <s v="si 602"/>
    <n v="1"/>
    <x v="0"/>
    <m/>
    <m/>
    <s v="완료"/>
    <n v="20000"/>
  </r>
  <r>
    <d v="2026-03-29T00:00:00"/>
    <s v="일"/>
    <s v="H25"/>
    <s v="오금스타 205"/>
    <n v="1"/>
    <x v="9"/>
    <m/>
    <m/>
    <s v="완료"/>
    <n v="20000"/>
  </r>
  <r>
    <d v="2026-03-29T00:00:00"/>
    <s v="일"/>
    <s v="H42"/>
    <s v="오금스타 402"/>
    <n v="1"/>
    <x v="9"/>
    <m/>
    <m/>
    <s v="완료"/>
    <n v="20000"/>
  </r>
  <r>
    <d v="2026-03-29T00:00:00"/>
    <s v="일"/>
    <s v="T46"/>
    <s v="센텀 2차 406"/>
    <n v="1.5"/>
    <x v="1"/>
    <m/>
    <m/>
    <s v="완료"/>
    <n v="20000"/>
  </r>
  <r>
    <d v="2026-03-29T00:00:00"/>
    <s v="일"/>
    <s v="J2"/>
    <s v="은성 603"/>
    <n v="1"/>
    <x v="7"/>
    <m/>
    <m/>
    <s v="완료"/>
    <n v="18000"/>
  </r>
  <r>
    <d v="2026-03-29T00:00:00"/>
    <s v="일"/>
    <s v="L5"/>
    <s v="하람휴 1001"/>
    <n v="2"/>
    <x v="10"/>
    <m/>
    <m/>
    <s v="완료"/>
    <n v="23000"/>
  </r>
  <r>
    <d v="2026-03-29T00:00:00"/>
    <s v="일"/>
    <s v="C"/>
    <s v="청광1차 207"/>
    <n v="0"/>
    <x v="2"/>
    <m/>
    <m/>
    <s v="완료"/>
    <n v="10000"/>
  </r>
  <r>
    <d v="2026-03-30T00:00:00"/>
    <s v="월"/>
    <s v="A33"/>
    <s v="예건 303"/>
    <n v="2"/>
    <x v="1"/>
    <m/>
    <m/>
    <s v="완료"/>
    <n v="23000"/>
  </r>
  <r>
    <d v="2026-03-30T00:00:00"/>
    <s v="월"/>
    <s v="B106"/>
    <s v="더하임 1006"/>
    <n v="1.5"/>
    <x v="2"/>
    <m/>
    <m/>
    <m/>
    <n v="20000"/>
  </r>
  <r>
    <d v="2026-03-30T00:00:00"/>
    <s v="월"/>
    <s v="B54"/>
    <s v="더하임 504"/>
    <n v="1"/>
    <x v="2"/>
    <m/>
    <m/>
    <m/>
    <n v="18000"/>
  </r>
  <r>
    <d v="2026-03-30T00:00:00"/>
    <s v="월"/>
    <s v="B94"/>
    <s v="더하임 904"/>
    <n v="1"/>
    <x v="6"/>
    <m/>
    <m/>
    <m/>
    <n v="18000"/>
  </r>
  <r>
    <d v="2026-03-30T00:00:00"/>
    <s v="월"/>
    <s v="B95"/>
    <s v="더하임 905"/>
    <n v="1"/>
    <x v="6"/>
    <m/>
    <m/>
    <m/>
    <n v="18000"/>
  </r>
  <r>
    <d v="2026-03-30T00:00:00"/>
    <s v="월"/>
    <s v="C6"/>
    <s v="청광1차 1303"/>
    <n v="1"/>
    <x v="4"/>
    <m/>
    <m/>
    <m/>
    <n v="18000"/>
  </r>
  <r>
    <d v="2026-03-30T00:00:00"/>
    <s v="월"/>
    <s v="E5"/>
    <s v="동구햇살 1203"/>
    <s v="복"/>
    <x v="4"/>
    <s v="더러움"/>
    <m/>
    <m/>
    <n v="25000"/>
  </r>
  <r>
    <d v="2026-03-30T00:00:00"/>
    <s v="월"/>
    <s v="F1"/>
    <s v="한양립스 503"/>
    <n v="1"/>
    <x v="7"/>
    <m/>
    <m/>
    <m/>
    <n v="18000"/>
  </r>
  <r>
    <d v="2026-03-30T00:00:00"/>
    <s v="월"/>
    <s v="F2"/>
    <s v="오앤 401"/>
    <n v="1"/>
    <x v="7"/>
    <m/>
    <m/>
    <m/>
    <n v="18000"/>
  </r>
  <r>
    <d v="2026-03-30T00:00:00"/>
    <s v="월"/>
    <s v="G2"/>
    <s v="si 502"/>
    <n v="1"/>
    <x v="0"/>
    <m/>
    <m/>
    <m/>
    <n v="20000"/>
  </r>
  <r>
    <d v="2026-03-30T00:00:00"/>
    <s v="월"/>
    <s v="G3"/>
    <s v="si 602"/>
    <n v="1"/>
    <x v="0"/>
    <m/>
    <m/>
    <m/>
    <n v="20000"/>
  </r>
  <r>
    <d v="2026-03-30T00:00:00"/>
    <s v="월"/>
    <s v="U42"/>
    <s v="성우 402"/>
    <n v="3"/>
    <x v="3"/>
    <m/>
    <m/>
    <m/>
    <n v="30000"/>
  </r>
  <r>
    <d v="2026-03-30T00:00:00"/>
    <s v="월"/>
    <s v="U93"/>
    <s v="성우 903"/>
    <n v="3"/>
    <x v="3"/>
    <m/>
    <m/>
    <m/>
    <n v="30000"/>
  </r>
  <r>
    <d v="2026-03-30T00:00:00"/>
    <s v="월"/>
    <m/>
    <s v="하람휴 901"/>
    <e v="#N/A"/>
    <x v="10"/>
    <m/>
    <m/>
    <m/>
    <n v="23000"/>
  </r>
  <r>
    <d v="2026-03-30T00:00:00"/>
    <s v="월"/>
    <s v="V13"/>
    <s v="대치동 103호"/>
    <n v="1.5"/>
    <x v="5"/>
    <m/>
    <m/>
    <m/>
    <n v="20000"/>
  </r>
  <r>
    <d v="2026-03-30T00:00:00"/>
    <s v="월"/>
    <s v="C"/>
    <s v="청광1차 207"/>
    <m/>
    <x v="2"/>
    <m/>
    <m/>
    <m/>
    <n v="100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d v="2026-03-31T00:00:00"/>
    <s v="화"/>
    <s v="B94"/>
    <s v="더하임 904"/>
    <n v="1"/>
    <x v="0"/>
    <m/>
    <m/>
    <s v="완료"/>
    <n v="18000"/>
    <n v="18000"/>
    <m/>
  </r>
  <r>
    <d v="2026-03-31T00:00:00"/>
    <s v="화"/>
    <s v="B103"/>
    <s v="더하임 1003"/>
    <n v="1"/>
    <x v="1"/>
    <m/>
    <m/>
    <s v="완료"/>
    <n v="18000"/>
    <n v="18000"/>
    <m/>
  </r>
  <r>
    <d v="2026-03-31T00:00:00"/>
    <s v="화"/>
    <s v="D6"/>
    <s v="청광3차 1412"/>
    <n v="1"/>
    <x v="2"/>
    <m/>
    <m/>
    <s v="완료"/>
    <n v="18000"/>
    <n v="18000"/>
    <m/>
  </r>
  <r>
    <d v="2026-03-31T00:00:00"/>
    <s v="화"/>
    <s v="D8"/>
    <s v="강동QV 1604"/>
    <n v="1"/>
    <x v="2"/>
    <m/>
    <m/>
    <s v="완료"/>
    <n v="18000"/>
    <n v="18000"/>
    <m/>
  </r>
  <r>
    <d v="2026-03-31T00:00:00"/>
    <s v="화"/>
    <s v="E5"/>
    <s v="동구햇살 1203"/>
    <s v="복"/>
    <x v="3"/>
    <m/>
    <m/>
    <s v="완료"/>
    <n v="20000"/>
    <n v="20000"/>
    <m/>
  </r>
  <r>
    <d v="2026-03-31T00:00:00"/>
    <s v="화"/>
    <s v="F1"/>
    <s v="한양립스 503"/>
    <n v="1"/>
    <x v="4"/>
    <m/>
    <m/>
    <s v="완료"/>
    <n v="18000"/>
    <n v="18000"/>
    <m/>
  </r>
  <r>
    <d v="2026-03-31T00:00:00"/>
    <s v="화"/>
    <s v="B22"/>
    <s v="더하임 202"/>
    <n v="1"/>
    <x v="4"/>
    <s v="입주청소"/>
    <m/>
    <s v="완료"/>
    <n v="30000"/>
    <n v="18000"/>
    <n v="12000"/>
  </r>
  <r>
    <d v="2026-03-31T00:00:00"/>
    <s v="화"/>
    <s v="B23"/>
    <s v="더하임 203"/>
    <n v="1"/>
    <x v="0"/>
    <s v="입주청소"/>
    <m/>
    <s v="완료"/>
    <n v="30000"/>
    <n v="18000"/>
    <n v="12000"/>
  </r>
  <r>
    <d v="2026-03-31T00:00:00"/>
    <s v="화"/>
    <s v="B25"/>
    <s v="더하임 205"/>
    <n v="1"/>
    <x v="0"/>
    <s v="입주청소"/>
    <m/>
    <s v="완료"/>
    <n v="30000"/>
    <n v="18000"/>
    <n v="12000"/>
  </r>
  <r>
    <d v="2026-03-31T00:00:00"/>
    <s v="화"/>
    <s v="G3"/>
    <s v="si 602"/>
    <n v="1"/>
    <x v="1"/>
    <m/>
    <m/>
    <s v="완료"/>
    <n v="20000"/>
    <n v="20000"/>
    <m/>
  </r>
  <r>
    <d v="2026-03-31T00:00:00"/>
    <s v="화"/>
    <s v="C"/>
    <s v="청광1차 207"/>
    <n v="0"/>
    <x v="4"/>
    <m/>
    <m/>
    <s v="완료"/>
    <n v="10000"/>
    <n v="10000"/>
    <m/>
  </r>
  <r>
    <d v="2026-04-01T00:00:00"/>
    <s v="수"/>
    <s v="A25"/>
    <s v="예건 205"/>
    <n v="1"/>
    <x v="2"/>
    <m/>
    <m/>
    <s v="완료"/>
    <n v="20000"/>
    <n v="18000"/>
    <m/>
  </r>
  <r>
    <d v="2026-04-01T00:00:00"/>
    <s v="수"/>
    <s v="B105"/>
    <s v="더하임 1005"/>
    <n v="1"/>
    <x v="3"/>
    <s v="창고정리"/>
    <m/>
    <s v="완료"/>
    <n v="23000"/>
    <n v="18000"/>
    <n v="5000"/>
  </r>
  <r>
    <d v="2026-04-01T00:00:00"/>
    <s v="수"/>
    <s v="B24"/>
    <s v="더하임 204"/>
    <n v="1"/>
    <x v="3"/>
    <m/>
    <m/>
    <s v="완료"/>
    <n v="18000"/>
    <n v="18000"/>
    <m/>
  </r>
  <r>
    <d v="2026-04-01T00:00:00"/>
    <s v="수"/>
    <s v="B56"/>
    <s v="더하임 506"/>
    <n v="1.5"/>
    <x v="0"/>
    <m/>
    <m/>
    <s v="완료"/>
    <n v="20000"/>
    <n v="20000"/>
    <m/>
  </r>
  <r>
    <d v="2026-04-01T00:00:00"/>
    <s v="수"/>
    <s v="B94"/>
    <s v="더하임 904"/>
    <n v="1"/>
    <x v="0"/>
    <m/>
    <m/>
    <s v="완료"/>
    <n v="18000"/>
    <n v="18000"/>
    <m/>
  </r>
  <r>
    <d v="2026-04-01T00:00:00"/>
    <s v="수"/>
    <s v="C6"/>
    <s v="청광1차 1303"/>
    <n v="1"/>
    <x v="5"/>
    <m/>
    <m/>
    <s v="완료"/>
    <n v="18000"/>
    <n v="18000"/>
    <m/>
  </r>
  <r>
    <d v="2026-04-01T00:00:00"/>
    <s v="수"/>
    <s v="D8"/>
    <s v="강동QV 1604"/>
    <n v="1"/>
    <x v="5"/>
    <m/>
    <m/>
    <s v="완료"/>
    <n v="18000"/>
    <n v="18000"/>
    <m/>
  </r>
  <r>
    <d v="2026-04-01T00:00:00"/>
    <s v="수"/>
    <s v="F1"/>
    <s v="한양립스 503"/>
    <n v="1"/>
    <x v="4"/>
    <s v="창고정리"/>
    <m/>
    <s v="완료"/>
    <n v="23000"/>
    <n v="18000"/>
    <n v="5000"/>
  </r>
  <r>
    <d v="2026-04-01T00:00:00"/>
    <s v="수"/>
    <s v="C"/>
    <s v="청광1차 207"/>
    <n v="0"/>
    <x v="4"/>
    <m/>
    <m/>
    <s v="완료"/>
    <n v="10000"/>
    <n v="10000"/>
    <m/>
  </r>
  <r>
    <d v="2026-04-02T00:00:00"/>
    <s v="목"/>
    <s v="B22"/>
    <s v="더하임 202"/>
    <n v="1"/>
    <x v="3"/>
    <m/>
    <m/>
    <s v="완료"/>
    <n v="18000"/>
    <n v="18000"/>
    <m/>
  </r>
  <r>
    <d v="2026-04-02T00:00:00"/>
    <s v="목"/>
    <s v="B94"/>
    <s v="더하임 904"/>
    <n v="1"/>
    <x v="4"/>
    <m/>
    <m/>
    <s v="완료"/>
    <n v="18000"/>
    <n v="18000"/>
    <m/>
  </r>
  <r>
    <d v="2026-04-02T00:00:00"/>
    <s v="목"/>
    <s v="D6"/>
    <s v="청광3차 1412"/>
    <n v="1"/>
    <x v="5"/>
    <m/>
    <m/>
    <s v="완료"/>
    <n v="18000"/>
    <n v="18000"/>
    <m/>
  </r>
  <r>
    <d v="2026-04-02T00:00:00"/>
    <s v="목"/>
    <s v="D8"/>
    <s v="강동QV 1604"/>
    <n v="1"/>
    <x v="5"/>
    <m/>
    <m/>
    <s v="완료"/>
    <n v="18000"/>
    <n v="18000"/>
    <m/>
  </r>
  <r>
    <d v="2026-04-02T00:00:00"/>
    <s v="목"/>
    <s v="H23"/>
    <s v="오금스타 203"/>
    <n v="1"/>
    <x v="5"/>
    <m/>
    <m/>
    <s v="완료"/>
    <n v="18000"/>
    <n v="18000"/>
    <m/>
  </r>
  <r>
    <d v="2026-04-02T00:00:00"/>
    <s v="목"/>
    <s v="V13"/>
    <s v="대치동 103호"/>
    <n v="1.5"/>
    <x v="6"/>
    <m/>
    <m/>
    <s v="완료"/>
    <n v="20000"/>
    <n v="20000"/>
    <m/>
  </r>
  <r>
    <d v="2026-04-02T00:00:00"/>
    <s v="목"/>
    <s v="C"/>
    <s v="청광1차 207"/>
    <n v="0"/>
    <x v="4"/>
    <m/>
    <m/>
    <s v="완료"/>
    <n v="10000"/>
    <n v="10000"/>
    <m/>
  </r>
  <r>
    <d v="2026-04-03T00:00:00"/>
    <s v="금"/>
    <s v="A22"/>
    <s v="예건 202"/>
    <n v="1"/>
    <x v="0"/>
    <m/>
    <m/>
    <s v="완료"/>
    <n v="18000"/>
    <n v="18000"/>
    <m/>
  </r>
  <r>
    <d v="2026-04-03T00:00:00"/>
    <s v="금"/>
    <s v="U42"/>
    <s v="성우 402"/>
    <n v="3"/>
    <x v="0"/>
    <m/>
    <m/>
    <s v="완료"/>
    <n v="30000"/>
    <n v="30000"/>
    <m/>
  </r>
  <r>
    <d v="2026-04-03T00:00:00"/>
    <s v="금"/>
    <s v="B105"/>
    <s v="더하임 1005"/>
    <n v="1"/>
    <x v="1"/>
    <m/>
    <m/>
    <s v="완료"/>
    <n v="18000"/>
    <n v="18000"/>
    <m/>
  </r>
  <r>
    <d v="2026-04-03T00:00:00"/>
    <s v="금"/>
    <s v="B25"/>
    <s v="더하임 205"/>
    <n v="1"/>
    <x v="4"/>
    <m/>
    <m/>
    <s v="완료"/>
    <n v="18000"/>
    <n v="18000"/>
    <m/>
  </r>
  <r>
    <d v="2026-04-03T00:00:00"/>
    <s v="금"/>
    <s v="T46"/>
    <s v="센텀 2차 406"/>
    <n v="1.5"/>
    <x v="2"/>
    <m/>
    <m/>
    <s v="완료"/>
    <n v="20000"/>
    <n v="20000"/>
    <m/>
  </r>
  <r>
    <d v="2026-04-03T00:00:00"/>
    <s v="금"/>
    <s v="C6"/>
    <s v="청광1차 1303"/>
    <n v="1"/>
    <x v="3"/>
    <m/>
    <m/>
    <s v="완료"/>
    <n v="18000"/>
    <n v="18000"/>
    <m/>
  </r>
  <r>
    <d v="2026-04-03T00:00:00"/>
    <s v="금"/>
    <s v="D6"/>
    <s v="청광3차 1412"/>
    <n v="1"/>
    <x v="5"/>
    <m/>
    <m/>
    <s v="완료"/>
    <n v="18000"/>
    <n v="18000"/>
    <m/>
  </r>
  <r>
    <d v="2026-04-03T00:00:00"/>
    <s v="금"/>
    <s v="E1"/>
    <s v="르센티 1801"/>
    <s v="복"/>
    <x v="5"/>
    <m/>
    <m/>
    <s v="완료"/>
    <n v="20000"/>
    <n v="20000"/>
    <m/>
  </r>
  <r>
    <d v="2026-04-03T00:00:00"/>
    <s v="금"/>
    <s v="F1"/>
    <s v="한양립스 503"/>
    <n v="1"/>
    <x v="4"/>
    <s v="예건, 더하임 물품 전달"/>
    <m/>
    <s v="완료"/>
    <n v="28000"/>
    <n v="18000"/>
    <n v="10000"/>
  </r>
  <r>
    <d v="2026-04-03T00:00:00"/>
    <s v="금"/>
    <s v="L6"/>
    <s v="가온빌 102"/>
    <n v="2"/>
    <x v="7"/>
    <m/>
    <m/>
    <s v="완료"/>
    <n v="39500"/>
    <n v="30000"/>
    <m/>
  </r>
  <r>
    <d v="2026-04-03T00:00:00"/>
    <s v="금"/>
    <s v="I1"/>
    <s v="미사 마이움 102-803"/>
    <n v="1"/>
    <x v="7"/>
    <s v="재청소, 세탁방 이용"/>
    <m/>
    <s v="완료"/>
    <n v="34000"/>
    <n v="25000"/>
    <m/>
  </r>
  <r>
    <d v="2026-04-03T00:00:00"/>
    <s v="금"/>
    <s v="C"/>
    <s v="청광1차 207"/>
    <n v="0"/>
    <x v="4"/>
    <m/>
    <m/>
    <s v="완료"/>
    <n v="10000"/>
    <n v="10000"/>
    <m/>
  </r>
  <r>
    <d v="2026-04-04T00:00:00"/>
    <s v="토"/>
    <s v="A22"/>
    <s v="예건 202"/>
    <n v="1"/>
    <x v="0"/>
    <m/>
    <m/>
    <s v="완료"/>
    <n v="18000"/>
    <n v="18000"/>
    <m/>
  </r>
  <r>
    <d v="2026-04-04T00:00:00"/>
    <s v="토"/>
    <s v="A24"/>
    <s v="예건 204"/>
    <n v="1"/>
    <x v="0"/>
    <m/>
    <m/>
    <s v="완료"/>
    <n v="18000"/>
    <n v="18000"/>
    <m/>
  </r>
  <r>
    <d v="2026-04-04T00:00:00"/>
    <s v="토"/>
    <s v="U51"/>
    <s v="성우 501"/>
    <n v="2"/>
    <x v="3"/>
    <s v="엄청난 장기"/>
    <m/>
    <s v="완료"/>
    <n v="28000"/>
    <n v="23000"/>
    <n v="5000"/>
  </r>
  <r>
    <d v="2026-04-04T00:00:00"/>
    <s v="토"/>
    <s v="G2"/>
    <s v="si 502"/>
    <n v="1"/>
    <x v="3"/>
    <m/>
    <m/>
    <s v="완료"/>
    <n v="20000"/>
    <n v="20000"/>
    <m/>
  </r>
  <r>
    <d v="2026-04-04T00:00:00"/>
    <s v="토"/>
    <s v="B24"/>
    <s v="더하임 204"/>
    <n v="1"/>
    <x v="4"/>
    <m/>
    <m/>
    <s v="완료"/>
    <n v="18000"/>
    <n v="18000"/>
    <m/>
  </r>
  <r>
    <d v="2026-04-04T00:00:00"/>
    <s v="토"/>
    <s v="D4"/>
    <s v="청광3차 806"/>
    <n v="1"/>
    <x v="1"/>
    <m/>
    <m/>
    <s v="완료"/>
    <n v="18000"/>
    <n v="18000"/>
    <m/>
  </r>
  <r>
    <d v="2026-04-04T00:00:00"/>
    <s v="토"/>
    <s v="E3"/>
    <s v="렘브 204"/>
    <n v="1"/>
    <x v="2"/>
    <m/>
    <m/>
    <s v="완료"/>
    <n v="18000"/>
    <n v="18000"/>
    <m/>
  </r>
  <r>
    <d v="2026-04-04T00:00:00"/>
    <s v="토"/>
    <s v="V13"/>
    <s v="대치동 103호"/>
    <n v="1.5"/>
    <x v="6"/>
    <m/>
    <m/>
    <s v="완료"/>
    <n v="20000"/>
    <n v="20000"/>
    <m/>
  </r>
  <r>
    <d v="2026-04-04T00:00:00"/>
    <s v="토"/>
    <s v="C"/>
    <s v="청광1차 207"/>
    <n v="0"/>
    <x v="4"/>
    <m/>
    <m/>
    <s v="완료"/>
    <n v="10000"/>
    <n v="10000"/>
    <m/>
  </r>
  <r>
    <d v="2026-04-05T00:00:00"/>
    <s v="일"/>
    <s v="A72"/>
    <s v="예건 702"/>
    <n v="1"/>
    <x v="0"/>
    <m/>
    <m/>
    <s v="완료"/>
    <n v="18000"/>
    <n v="18000"/>
    <m/>
  </r>
  <r>
    <d v="2026-04-05T00:00:00"/>
    <s v="일"/>
    <s v="F1"/>
    <s v="한양립스 503"/>
    <n v="1"/>
    <x v="4"/>
    <m/>
    <m/>
    <s v="완료"/>
    <n v="18000"/>
    <n v="18000"/>
    <m/>
  </r>
  <r>
    <d v="2026-04-05T00:00:00"/>
    <s v="일"/>
    <s v="T66"/>
    <s v="센텀 2차 606"/>
    <n v="1.5"/>
    <x v="3"/>
    <m/>
    <m/>
    <s v="완료"/>
    <n v="20000"/>
    <n v="20000"/>
    <m/>
  </r>
  <r>
    <d v="2026-04-05T00:00:00"/>
    <s v="일"/>
    <s v="G2"/>
    <s v="si 502"/>
    <n v="1"/>
    <x v="3"/>
    <m/>
    <m/>
    <s v="완료"/>
    <n v="20000"/>
    <n v="20000"/>
    <m/>
  </r>
  <r>
    <d v="2026-04-05T00:00:00"/>
    <s v="일"/>
    <s v="D4"/>
    <s v="청광3차 806"/>
    <n v="1"/>
    <x v="5"/>
    <m/>
    <m/>
    <s v="완료"/>
    <n v="18000"/>
    <n v="18000"/>
    <m/>
  </r>
  <r>
    <d v="2026-04-05T00:00:00"/>
    <s v="일"/>
    <s v="D6"/>
    <s v="청광3차 1412"/>
    <n v="1"/>
    <x v="5"/>
    <m/>
    <m/>
    <s v="완료"/>
    <n v="18000"/>
    <n v="18000"/>
    <m/>
  </r>
  <r>
    <d v="2026-04-05T00:00:00"/>
    <s v="일"/>
    <s v="H52"/>
    <s v="오금스타 502"/>
    <n v="1"/>
    <x v="5"/>
    <m/>
    <m/>
    <s v="완료"/>
    <n v="18000"/>
    <n v="18000"/>
    <m/>
  </r>
  <r>
    <d v="2026-04-05T00:00:00"/>
    <s v="일"/>
    <s v="B105"/>
    <s v="더하임 1005"/>
    <n v="1"/>
    <x v="1"/>
    <m/>
    <m/>
    <s v="완료"/>
    <n v="18000"/>
    <n v="18000"/>
    <m/>
  </r>
  <r>
    <d v="2026-04-05T00:00:00"/>
    <s v="일"/>
    <s v="U51"/>
    <s v="성우 501"/>
    <n v="2"/>
    <x v="1"/>
    <m/>
    <m/>
    <s v="완료"/>
    <n v="23000"/>
    <n v="23000"/>
    <m/>
  </r>
  <r>
    <d v="2026-04-05T00:00:00"/>
    <s v="일"/>
    <s v="V13"/>
    <s v="대치동 103호"/>
    <n v="1.5"/>
    <x v="6"/>
    <m/>
    <m/>
    <s v="완료"/>
    <n v="20000"/>
    <n v="20000"/>
    <m/>
  </r>
  <r>
    <d v="2026-04-05T00:00:00"/>
    <s v="일"/>
    <s v="C"/>
    <s v="청광1차 207"/>
    <n v="0"/>
    <x v="4"/>
    <m/>
    <m/>
    <s v="완료"/>
    <n v="10000"/>
    <n v="10000"/>
    <m/>
  </r>
  <r>
    <d v="2026-04-06T00:00:00"/>
    <s v="월"/>
    <s v="A22"/>
    <s v="예건 202"/>
    <n v="1"/>
    <x v="0"/>
    <s v="기상악화"/>
    <m/>
    <s v="완료"/>
    <n v="23000"/>
    <n v="18000"/>
    <n v="5000"/>
  </r>
  <r>
    <d v="2026-04-06T00:00:00"/>
    <s v="월"/>
    <s v="A62"/>
    <s v="예건 602"/>
    <n v="1"/>
    <x v="0"/>
    <m/>
    <m/>
    <s v="완료"/>
    <n v="18000"/>
    <n v="18000"/>
    <m/>
  </r>
  <r>
    <d v="2026-04-06T00:00:00"/>
    <s v="월"/>
    <s v="U42"/>
    <s v="성우 402"/>
    <n v="3"/>
    <x v="4"/>
    <s v="기상악화"/>
    <m/>
    <s v="완료"/>
    <n v="35000"/>
    <n v="30000"/>
    <n v="5000"/>
  </r>
  <r>
    <d v="2026-04-06T00:00:00"/>
    <s v="월"/>
    <s v="A33"/>
    <s v="예건 303"/>
    <n v="2"/>
    <x v="4"/>
    <m/>
    <m/>
    <s v="완료"/>
    <n v="23000"/>
    <n v="23000"/>
    <m/>
  </r>
  <r>
    <d v="2026-04-06T00:00:00"/>
    <s v="월"/>
    <s v="B106"/>
    <s v="더하임 1006"/>
    <n v="1.5"/>
    <x v="4"/>
    <m/>
    <m/>
    <s v="완료"/>
    <n v="20000"/>
    <n v="20000"/>
    <m/>
  </r>
  <r>
    <d v="2026-04-06T00:00:00"/>
    <s v="월"/>
    <s v="B91"/>
    <s v="더하임 901"/>
    <n v="1"/>
    <x v="4"/>
    <s v="개털"/>
    <m/>
    <s v="완료"/>
    <n v="28000"/>
    <n v="18000"/>
    <n v="10000"/>
  </r>
  <r>
    <d v="2026-04-06T00:00:00"/>
    <s v="월"/>
    <s v="C6"/>
    <s v="청광1차 1303"/>
    <n v="1"/>
    <x v="1"/>
    <s v="기상악화"/>
    <m/>
    <s v="완료"/>
    <n v="23000"/>
    <n v="18000"/>
    <n v="5000"/>
  </r>
  <r>
    <d v="2026-04-06T00:00:00"/>
    <s v="월"/>
    <s v="D4"/>
    <s v="청광3차 806"/>
    <n v="1"/>
    <x v="5"/>
    <s v="기상악화"/>
    <m/>
    <s v="완료"/>
    <n v="23000"/>
    <n v="18000"/>
    <n v="5000"/>
  </r>
  <r>
    <d v="2026-04-06T00:00:00"/>
    <s v="월"/>
    <s v="D6"/>
    <s v="청광3차 1412"/>
    <n v="1"/>
    <x v="5"/>
    <m/>
    <m/>
    <s v="완료"/>
    <n v="18000"/>
    <n v="18000"/>
    <m/>
  </r>
  <r>
    <d v="2026-04-06T00:00:00"/>
    <s v="월"/>
    <s v="H23"/>
    <s v="오금스타 203"/>
    <n v="1"/>
    <x v="5"/>
    <m/>
    <m/>
    <s v="완료"/>
    <n v="18000"/>
    <n v="18000"/>
    <m/>
  </r>
  <r>
    <d v="2026-04-06T00:00:00"/>
    <s v="월"/>
    <s v="D8"/>
    <s v="강동QV 1604"/>
    <n v="1"/>
    <x v="8"/>
    <s v="기상악화"/>
    <m/>
    <s v="완료"/>
    <n v="23000"/>
    <n v="18000"/>
    <n v="5000"/>
  </r>
  <r>
    <d v="2026-04-06T00:00:00"/>
    <s v="월"/>
    <s v="E1"/>
    <s v="르센티 1801"/>
    <s v="복"/>
    <x v="8"/>
    <m/>
    <m/>
    <s v="완료"/>
    <n v="20000"/>
    <n v="20000"/>
    <m/>
  </r>
  <r>
    <d v="2026-04-06T00:00:00"/>
    <s v="월"/>
    <s v="T46"/>
    <s v="센텀 2차 406"/>
    <n v="1.5"/>
    <x v="2"/>
    <s v="기상악화"/>
    <m/>
    <s v="완료"/>
    <n v="25000"/>
    <n v="20000"/>
    <n v="5000"/>
  </r>
  <r>
    <d v="2026-04-06T00:00:00"/>
    <s v="월"/>
    <s v="T66"/>
    <s v="센텀 2차 606"/>
    <n v="1.5"/>
    <x v="2"/>
    <m/>
    <m/>
    <s v="완료"/>
    <n v="20000"/>
    <n v="20000"/>
    <m/>
  </r>
  <r>
    <d v="2026-04-06T00:00:00"/>
    <s v="월"/>
    <s v="I1"/>
    <s v="미사 마이움 102-803"/>
    <n v="1"/>
    <x v="7"/>
    <m/>
    <m/>
    <s v="완료"/>
    <n v="25000"/>
    <n v="25000"/>
    <m/>
  </r>
  <r>
    <d v="2026-04-06T00:00:00"/>
    <s v="월"/>
    <s v="K5"/>
    <s v="방학 709"/>
    <s v="복"/>
    <x v="7"/>
    <s v="뚫어뻥 2천원 추가"/>
    <m/>
    <s v="완료"/>
    <n v="39000"/>
    <n v="25000"/>
    <n v="5000"/>
  </r>
  <r>
    <d v="2026-04-06T00:00:00"/>
    <s v="월"/>
    <s v="C"/>
    <s v="청광1차 207"/>
    <n v="0"/>
    <x v="4"/>
    <m/>
    <m/>
    <s v="완료"/>
    <n v="10000"/>
    <n v="10000"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6-04-07T00:00:00"/>
    <s v="화"/>
    <s v="A25"/>
    <x v="0"/>
    <n v="1"/>
    <x v="0"/>
    <m/>
    <m/>
    <s v="완료"/>
    <n v="18000"/>
    <n v="18000"/>
  </r>
  <r>
    <d v="2026-04-07T00:00:00"/>
    <s v="화"/>
    <s v="A72"/>
    <x v="1"/>
    <n v="1"/>
    <x v="0"/>
    <m/>
    <m/>
    <s v="완료"/>
    <n v="18000"/>
    <n v="18000"/>
  </r>
  <r>
    <d v="2026-04-07T00:00:00"/>
    <s v="화"/>
    <s v="B106"/>
    <x v="2"/>
    <n v="1.5"/>
    <x v="1"/>
    <m/>
    <m/>
    <s v="완료"/>
    <n v="20000"/>
    <n v="20000"/>
  </r>
  <r>
    <d v="2026-04-07T00:00:00"/>
    <s v="화"/>
    <s v="B56"/>
    <x v="3"/>
    <n v="1.5"/>
    <x v="1"/>
    <m/>
    <m/>
    <s v="완료"/>
    <n v="20000"/>
    <n v="20000"/>
  </r>
  <r>
    <d v="2026-04-07T00:00:00"/>
    <s v="화"/>
    <s v="D4"/>
    <x v="4"/>
    <n v="1"/>
    <x v="2"/>
    <m/>
    <m/>
    <s v="완료"/>
    <n v="18000"/>
    <n v="18000"/>
  </r>
  <r>
    <d v="2026-04-07T00:00:00"/>
    <s v="화"/>
    <s v="D8"/>
    <x v="5"/>
    <n v="1"/>
    <x v="2"/>
    <m/>
    <m/>
    <s v="완료"/>
    <n v="18000"/>
    <n v="18000"/>
  </r>
  <r>
    <d v="2026-04-07T00:00:00"/>
    <s v="화"/>
    <s v="T46"/>
    <x v="6"/>
    <n v="1.5"/>
    <x v="3"/>
    <m/>
    <m/>
    <s v="완료"/>
    <n v="20000"/>
    <n v="20000"/>
  </r>
  <r>
    <d v="2026-04-07T00:00:00"/>
    <s v="화"/>
    <s v="T66"/>
    <x v="7"/>
    <n v="1.5"/>
    <x v="3"/>
    <m/>
    <m/>
    <s v="완료"/>
    <n v="20000"/>
    <n v="20000"/>
  </r>
  <r>
    <d v="2026-04-07T00:00:00"/>
    <s v="화"/>
    <s v="L3"/>
    <x v="8"/>
    <n v="2"/>
    <x v="4"/>
    <m/>
    <m/>
    <s v="완료"/>
    <n v="23000"/>
    <n v="23000"/>
  </r>
  <r>
    <d v="2026-04-07T00:00:00"/>
    <s v="화"/>
    <s v="V13"/>
    <x v="9"/>
    <n v="1.5"/>
    <x v="5"/>
    <m/>
    <m/>
    <s v="완료"/>
    <n v="20000"/>
    <n v="20000"/>
  </r>
  <r>
    <d v="2026-04-07T00:00:00"/>
    <s v="화"/>
    <s v="C"/>
    <x v="10"/>
    <n v="0"/>
    <x v="1"/>
    <m/>
    <m/>
    <s v="완료"/>
    <n v="10000"/>
    <n v="10000"/>
  </r>
  <r>
    <d v="2026-04-08T00:00:00"/>
    <s v="수"/>
    <s v="D4"/>
    <x v="4"/>
    <n v="1"/>
    <x v="0"/>
    <m/>
    <m/>
    <s v="완료"/>
    <n v="18000"/>
    <n v="18000"/>
  </r>
  <r>
    <d v="2026-04-08T00:00:00"/>
    <s v="수"/>
    <s v="D6"/>
    <x v="11"/>
    <n v="1"/>
    <x v="0"/>
    <m/>
    <m/>
    <s v="완료"/>
    <n v="18000"/>
    <n v="18000"/>
  </r>
  <r>
    <d v="2026-04-08T00:00:00"/>
    <s v="수"/>
    <s v="B91"/>
    <x v="12"/>
    <n v="1"/>
    <x v="1"/>
    <m/>
    <m/>
    <s v="완료"/>
    <n v="18000"/>
    <n v="18000"/>
  </r>
  <r>
    <d v="2026-04-08T00:00:00"/>
    <s v="수"/>
    <s v="E3"/>
    <x v="13"/>
    <n v="1"/>
    <x v="1"/>
    <m/>
    <m/>
    <s v="완료"/>
    <n v="18000"/>
    <n v="18000"/>
  </r>
  <r>
    <d v="2026-04-08T00:00:00"/>
    <s v="수"/>
    <s v="E5"/>
    <x v="14"/>
    <s v="복"/>
    <x v="3"/>
    <m/>
    <m/>
    <s v="완료"/>
    <n v="20000"/>
    <n v="20000"/>
  </r>
  <r>
    <d v="2026-04-08T00:00:00"/>
    <s v="수"/>
    <s v="L5"/>
    <x v="15"/>
    <n v="2"/>
    <x v="4"/>
    <m/>
    <m/>
    <s v="완료"/>
    <n v="23000"/>
    <n v="23000"/>
  </r>
  <r>
    <d v="2026-04-08T00:00:00"/>
    <s v="수"/>
    <s v="U51"/>
    <x v="16"/>
    <n v="2"/>
    <x v="2"/>
    <m/>
    <m/>
    <s v="완료"/>
    <n v="23000"/>
    <n v="23000"/>
  </r>
  <r>
    <d v="2026-04-08T00:00:00"/>
    <s v="수"/>
    <s v="C"/>
    <x v="10"/>
    <n v="0"/>
    <x v="1"/>
    <m/>
    <m/>
    <s v="완료"/>
    <n v="10000"/>
    <n v="10000"/>
  </r>
  <r>
    <d v="2026-04-09T00:00:00"/>
    <s v="목"/>
    <s v="A62"/>
    <x v="17"/>
    <n v="1"/>
    <x v="0"/>
    <m/>
    <m/>
    <s v="완료"/>
    <n v="18000"/>
    <n v="18000"/>
  </r>
  <r>
    <d v="2026-04-09T00:00:00"/>
    <s v="목"/>
    <s v="U24"/>
    <x v="18"/>
    <n v="2"/>
    <x v="0"/>
    <s v="장기숙박"/>
    <m/>
    <s v="완료"/>
    <n v="28000"/>
    <n v="23000"/>
  </r>
  <r>
    <d v="2026-04-09T00:00:00"/>
    <s v="목"/>
    <s v="B105"/>
    <x v="19"/>
    <n v="1"/>
    <x v="1"/>
    <s v="1604 이불"/>
    <m/>
    <s v="완료"/>
    <n v="23000"/>
    <n v="18000"/>
  </r>
  <r>
    <d v="2026-04-09T00:00:00"/>
    <s v="목"/>
    <s v="B106"/>
    <x v="2"/>
    <n v="1.5"/>
    <x v="1"/>
    <m/>
    <m/>
    <s v="완료"/>
    <n v="20000"/>
    <n v="20000"/>
  </r>
  <r>
    <d v="2026-04-09T00:00:00"/>
    <s v="목"/>
    <s v="B22"/>
    <x v="20"/>
    <n v="1"/>
    <x v="1"/>
    <m/>
    <m/>
    <s v="완료"/>
    <n v="18000"/>
    <n v="18000"/>
  </r>
  <r>
    <d v="2026-04-09T00:00:00"/>
    <s v="목"/>
    <s v="D4"/>
    <x v="4"/>
    <n v="1"/>
    <x v="6"/>
    <m/>
    <m/>
    <s v="완료"/>
    <n v="18000"/>
    <n v="18000"/>
  </r>
  <r>
    <d v="2026-04-09T00:00:00"/>
    <s v="목"/>
    <s v="D8"/>
    <x v="5"/>
    <n v="1"/>
    <x v="6"/>
    <m/>
    <m/>
    <s v="완료"/>
    <n v="18000"/>
    <n v="18000"/>
  </r>
  <r>
    <d v="2026-04-09T00:00:00"/>
    <s v="목"/>
    <s v="E3"/>
    <x v="13"/>
    <n v="1"/>
    <x v="6"/>
    <m/>
    <m/>
    <s v="완료"/>
    <n v="18000"/>
    <n v="18000"/>
  </r>
  <r>
    <d v="2026-04-09T00:00:00"/>
    <s v="목"/>
    <s v="E5"/>
    <x v="14"/>
    <s v="복"/>
    <x v="6"/>
    <m/>
    <m/>
    <s v="완료"/>
    <n v="20000"/>
    <n v="20000"/>
  </r>
  <r>
    <d v="2026-04-09T00:00:00"/>
    <s v="목"/>
    <s v="T51"/>
    <x v="21"/>
    <n v="1.5"/>
    <x v="2"/>
    <m/>
    <m/>
    <s v="완료"/>
    <n v="20000"/>
    <n v="20000"/>
  </r>
  <r>
    <d v="2026-04-09T00:00:00"/>
    <s v="목"/>
    <s v="B56"/>
    <x v="3"/>
    <n v="1.5"/>
    <x v="2"/>
    <s v="더러움"/>
    <m/>
    <s v="완료"/>
    <n v="25000"/>
    <n v="20000"/>
  </r>
  <r>
    <d v="2026-04-09T00:00:00"/>
    <s v="목"/>
    <s v="B91"/>
    <x v="12"/>
    <n v="1"/>
    <x v="2"/>
    <m/>
    <m/>
    <s v="완료"/>
    <n v="18000"/>
    <n v="18000"/>
  </r>
  <r>
    <d v="2026-04-09T00:00:00"/>
    <s v="목"/>
    <s v="F2"/>
    <x v="22"/>
    <n v="1"/>
    <x v="2"/>
    <m/>
    <m/>
    <s v="완료"/>
    <n v="18000"/>
    <n v="18000"/>
  </r>
  <r>
    <d v="2026-04-09T00:00:00"/>
    <s v="목"/>
    <s v="V11"/>
    <x v="23"/>
    <n v="2"/>
    <x v="5"/>
    <m/>
    <m/>
    <s v="완료"/>
    <n v="27000"/>
    <n v="23000"/>
  </r>
  <r>
    <d v="2026-04-09T00:00:00"/>
    <s v="목"/>
    <s v="C"/>
    <x v="10"/>
    <n v="0"/>
    <x v="1"/>
    <m/>
    <m/>
    <s v="완료"/>
    <n v="10000"/>
    <n v="10000"/>
  </r>
  <r>
    <d v="2026-04-10T00:00:00"/>
    <s v="금"/>
    <s v="B105"/>
    <x v="19"/>
    <n v="1"/>
    <x v="3"/>
    <s v="기상악화"/>
    <m/>
    <s v="완료"/>
    <n v="23000"/>
    <n v="18000"/>
  </r>
  <r>
    <d v="2026-04-10T00:00:00"/>
    <s v="금"/>
    <s v="B25"/>
    <x v="24"/>
    <n v="1"/>
    <x v="3"/>
    <m/>
    <m/>
    <s v="완료"/>
    <n v="18000"/>
    <n v="18000"/>
  </r>
  <r>
    <d v="2026-04-10T00:00:00"/>
    <s v="금"/>
    <s v="B56"/>
    <x v="3"/>
    <n v="1.5"/>
    <x v="1"/>
    <s v="기상악화"/>
    <m/>
    <s v="완료"/>
    <n v="25000"/>
    <n v="20000"/>
  </r>
  <r>
    <d v="2026-04-10T00:00:00"/>
    <s v="금"/>
    <s v="B91"/>
    <x v="12"/>
    <n v="1"/>
    <x v="1"/>
    <m/>
    <m/>
    <s v="완료"/>
    <n v="18000"/>
    <n v="18000"/>
  </r>
  <r>
    <d v="2026-04-10T00:00:00"/>
    <s v="금"/>
    <s v="D6"/>
    <x v="11"/>
    <n v="1"/>
    <x v="0"/>
    <s v="기상악화"/>
    <m/>
    <s v="완료"/>
    <n v="23000"/>
    <n v="18000"/>
  </r>
  <r>
    <d v="2026-04-10T00:00:00"/>
    <s v="금"/>
    <s v="U34"/>
    <x v="25"/>
    <n v="2"/>
    <x v="0"/>
    <m/>
    <m/>
    <s v="완료"/>
    <n v="23000"/>
    <n v="23000"/>
  </r>
  <r>
    <d v="2026-04-10T00:00:00"/>
    <s v="금"/>
    <s v="T51"/>
    <x v="21"/>
    <n v="1.5"/>
    <x v="1"/>
    <m/>
    <m/>
    <s v="완료"/>
    <n v="20000"/>
    <n v="20000"/>
  </r>
  <r>
    <d v="2026-04-10T00:00:00"/>
    <s v="금"/>
    <s v="G3"/>
    <x v="26"/>
    <n v="1"/>
    <x v="2"/>
    <s v="기상악화"/>
    <m/>
    <s v="완료"/>
    <n v="25000"/>
    <n v="20000"/>
  </r>
  <r>
    <d v="2026-04-10T00:00:00"/>
    <s v="금"/>
    <s v="H25"/>
    <x v="27"/>
    <n v="1"/>
    <x v="6"/>
    <s v="기상악화, 헛걸음"/>
    <m/>
    <s v="완료"/>
    <n v="29000"/>
    <n v="18000"/>
  </r>
  <r>
    <d v="2026-04-10T00:00:00"/>
    <s v="금"/>
    <s v="L5"/>
    <x v="15"/>
    <n v="2"/>
    <x v="4"/>
    <s v="기상악화"/>
    <m/>
    <s v="완료"/>
    <n v="28000"/>
    <n v="23000"/>
  </r>
  <r>
    <d v="2026-04-10T00:00:00"/>
    <s v="금"/>
    <s v="V11"/>
    <x v="23"/>
    <n v="2"/>
    <x v="5"/>
    <s v="기상악화"/>
    <m/>
    <s v="완료"/>
    <n v="28000"/>
    <n v="23000"/>
  </r>
  <r>
    <d v="2026-04-10T00:00:00"/>
    <s v="금"/>
    <s v="C"/>
    <x v="10"/>
    <n v="0"/>
    <x v="1"/>
    <m/>
    <m/>
    <s v="완료"/>
    <n v="10000"/>
    <n v="10000"/>
  </r>
  <r>
    <d v="2026-04-11T00:00:00"/>
    <s v="토"/>
    <s v="A62"/>
    <x v="17"/>
    <n v="1"/>
    <x v="1"/>
    <m/>
    <m/>
    <s v="완료"/>
    <n v="18000"/>
    <n v="18000"/>
  </r>
  <r>
    <d v="2026-04-11T00:00:00"/>
    <s v="토"/>
    <s v="D1"/>
    <x v="28"/>
    <n v="1"/>
    <x v="7"/>
    <m/>
    <m/>
    <s v="완료"/>
    <n v="18000"/>
    <n v="18000"/>
  </r>
  <r>
    <d v="2026-04-11T00:00:00"/>
    <s v="토"/>
    <s v="E4"/>
    <x v="29"/>
    <n v="1"/>
    <x v="2"/>
    <m/>
    <m/>
    <s v="완료"/>
    <n v="18000"/>
    <n v="18000"/>
  </r>
  <r>
    <d v="2026-04-11T00:00:00"/>
    <s v="토"/>
    <s v="H25"/>
    <x v="27"/>
    <n v="1"/>
    <x v="6"/>
    <m/>
    <m/>
    <s v="완료"/>
    <n v="18000"/>
    <n v="18000"/>
  </r>
  <r>
    <d v="2026-04-11T00:00:00"/>
    <s v="토"/>
    <s v="L5"/>
    <x v="15"/>
    <n v="2"/>
    <x v="4"/>
    <m/>
    <m/>
    <s v="완료"/>
    <n v="23000"/>
    <n v="23000"/>
  </r>
  <r>
    <d v="2026-04-11T00:00:00"/>
    <s v="토"/>
    <s v="T66"/>
    <x v="7"/>
    <n v="1.5"/>
    <x v="0"/>
    <m/>
    <m/>
    <s v="완료"/>
    <n v="20000"/>
    <n v="20000"/>
  </r>
  <r>
    <d v="2026-04-11T00:00:00"/>
    <s v="토"/>
    <s v="U42"/>
    <x v="30"/>
    <n v="3"/>
    <x v="3"/>
    <m/>
    <m/>
    <s v="완료"/>
    <n v="30000"/>
    <n v="30000"/>
  </r>
  <r>
    <d v="2026-04-11T00:00:00"/>
    <s v="토"/>
    <s v="V11"/>
    <x v="23"/>
    <n v="2"/>
    <x v="5"/>
    <m/>
    <m/>
    <s v="완료"/>
    <n v="27000"/>
    <n v="23000"/>
  </r>
  <r>
    <d v="2026-04-11T00:00:00"/>
    <s v="토"/>
    <s v="V12"/>
    <x v="31"/>
    <n v="1"/>
    <x v="5"/>
    <m/>
    <m/>
    <s v="완료"/>
    <n v="18000"/>
    <n v="18000"/>
  </r>
  <r>
    <d v="2026-04-11T00:00:00"/>
    <s v="토"/>
    <s v="C"/>
    <x v="10"/>
    <n v="0"/>
    <x v="1"/>
    <m/>
    <m/>
    <s v="완료"/>
    <n v="10000"/>
    <n v="10000"/>
  </r>
  <r>
    <d v="2026-04-12T00:00:00"/>
    <s v="일"/>
    <s v="A33"/>
    <x v="32"/>
    <n v="2"/>
    <x v="3"/>
    <m/>
    <m/>
    <s v="완료"/>
    <n v="23000"/>
    <n v="23000"/>
  </r>
  <r>
    <d v="2026-04-12T00:00:00"/>
    <s v="일"/>
    <s v="T51"/>
    <x v="21"/>
    <n v="1.5"/>
    <x v="0"/>
    <m/>
    <m/>
    <s v="완료"/>
    <n v="20000"/>
    <n v="20000"/>
  </r>
  <r>
    <d v="2026-04-12T00:00:00"/>
    <s v="일"/>
    <s v="U34"/>
    <x v="25"/>
    <n v="2"/>
    <x v="0"/>
    <m/>
    <m/>
    <s v="완료"/>
    <n v="23000"/>
    <n v="23000"/>
  </r>
  <r>
    <d v="2026-04-12T00:00:00"/>
    <s v="일"/>
    <s v="U42"/>
    <x v="30"/>
    <n v="3"/>
    <x v="0"/>
    <m/>
    <m/>
    <s v="완료"/>
    <n v="30000"/>
    <n v="30000"/>
  </r>
  <r>
    <d v="2026-04-12T00:00:00"/>
    <s v="일"/>
    <s v="D1"/>
    <x v="28"/>
    <n v="1"/>
    <x v="6"/>
    <m/>
    <m/>
    <s v="완료"/>
    <n v="18000"/>
    <n v="18000"/>
  </r>
  <r>
    <d v="2026-04-12T00:00:00"/>
    <s v="일"/>
    <s v="E1"/>
    <x v="33"/>
    <s v="복"/>
    <x v="6"/>
    <m/>
    <m/>
    <s v="완료"/>
    <n v="20000"/>
    <n v="20000"/>
  </r>
  <r>
    <d v="2026-04-12T00:00:00"/>
    <s v="일"/>
    <s v="B103"/>
    <x v="34"/>
    <n v="1"/>
    <x v="2"/>
    <m/>
    <m/>
    <s v="완료"/>
    <n v="18000"/>
    <n v="18000"/>
  </r>
  <r>
    <d v="2026-04-12T00:00:00"/>
    <s v="일"/>
    <s v="B104"/>
    <x v="35"/>
    <n v="1"/>
    <x v="2"/>
    <m/>
    <m/>
    <s v="완료"/>
    <n v="18000"/>
    <n v="18000"/>
  </r>
  <r>
    <d v="2026-04-12T00:00:00"/>
    <s v="일"/>
    <s v="B105"/>
    <x v="19"/>
    <n v="1"/>
    <x v="2"/>
    <m/>
    <m/>
    <s v="완료"/>
    <n v="18000"/>
    <n v="18000"/>
  </r>
  <r>
    <d v="2026-04-12T00:00:00"/>
    <s v="일"/>
    <s v="B93"/>
    <x v="36"/>
    <n v="1"/>
    <x v="2"/>
    <m/>
    <m/>
    <s v="완료"/>
    <n v="18000"/>
    <n v="18000"/>
  </r>
  <r>
    <d v="2026-04-12T00:00:00"/>
    <s v="일"/>
    <s v="L5"/>
    <x v="15"/>
    <n v="2"/>
    <x v="4"/>
    <m/>
    <m/>
    <s v="완료"/>
    <n v="23000"/>
    <n v="23000"/>
  </r>
  <r>
    <d v="2026-04-12T00:00:00"/>
    <s v="일"/>
    <s v="V12"/>
    <x v="31"/>
    <n v="1"/>
    <x v="5"/>
    <m/>
    <m/>
    <s v="완료"/>
    <n v="18000"/>
    <n v="18000"/>
  </r>
  <r>
    <d v="2026-04-12T00:00:00"/>
    <s v="일"/>
    <s v="C"/>
    <x v="10"/>
    <n v="0"/>
    <x v="2"/>
    <m/>
    <m/>
    <s v="완료"/>
    <n v="5000"/>
    <n v="10000"/>
  </r>
  <r>
    <d v="2026-04-12T00:00:00"/>
    <s v="일"/>
    <s v="C"/>
    <x v="10"/>
    <n v="0"/>
    <x v="0"/>
    <m/>
    <m/>
    <s v="완료"/>
    <n v="5000"/>
    <n v="10000"/>
  </r>
  <r>
    <d v="2026-04-13T00:00:00"/>
    <s v="월"/>
    <s v="B22"/>
    <x v="20"/>
    <n v="1"/>
    <x v="3"/>
    <m/>
    <m/>
    <s v="완료"/>
    <n v="18000"/>
    <n v="18000"/>
  </r>
  <r>
    <d v="2026-04-13T00:00:00"/>
    <s v="월"/>
    <s v="D4"/>
    <x v="4"/>
    <n v="1"/>
    <x v="6"/>
    <m/>
    <m/>
    <s v="완료"/>
    <n v="18000"/>
    <n v="18000"/>
  </r>
  <r>
    <d v="2026-04-13T00:00:00"/>
    <s v="월"/>
    <s v="D6"/>
    <x v="11"/>
    <n v="1"/>
    <x v="6"/>
    <m/>
    <m/>
    <s v="완료"/>
    <n v="18000"/>
    <n v="18000"/>
  </r>
  <r>
    <d v="2026-04-13T00:00:00"/>
    <s v="월"/>
    <s v="D8"/>
    <x v="5"/>
    <n v="1"/>
    <x v="0"/>
    <m/>
    <m/>
    <s v="완료"/>
    <n v="18000"/>
    <n v="18000"/>
  </r>
  <r>
    <d v="2026-04-13T00:00:00"/>
    <s v="월"/>
    <s v="E4"/>
    <x v="29"/>
    <n v="1"/>
    <x v="0"/>
    <m/>
    <m/>
    <s v="완료"/>
    <n v="18000"/>
    <n v="18000"/>
  </r>
  <r>
    <d v="2026-04-13T00:00:00"/>
    <s v="월"/>
    <s v="U34"/>
    <x v="25"/>
    <n v="2"/>
    <x v="2"/>
    <m/>
    <m/>
    <s v="완료"/>
    <n v="23000"/>
    <n v="23000"/>
  </r>
  <r>
    <d v="2026-04-13T00:00:00"/>
    <s v="월"/>
    <s v="V11"/>
    <x v="23"/>
    <n v="2"/>
    <x v="5"/>
    <m/>
    <m/>
    <s v="완료"/>
    <n v="23000"/>
    <n v="23000"/>
  </r>
  <r>
    <d v="2026-04-13T00:00:00"/>
    <s v="월"/>
    <s v="C"/>
    <x v="10"/>
    <n v="0"/>
    <x v="2"/>
    <m/>
    <m/>
    <s v="완료"/>
    <n v="10000"/>
    <n v="1000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d v="2026-04-14T00:00:00"/>
    <s v="화"/>
    <s v="A92"/>
    <s v="예건 902"/>
    <n v="1"/>
    <x v="0"/>
    <m/>
    <m/>
    <s v="완료"/>
    <n v="18000"/>
  </r>
  <r>
    <d v="2026-04-14T00:00:00"/>
    <s v="화"/>
    <s v="B35"/>
    <s v="더하임 305"/>
    <n v="1"/>
    <x v="0"/>
    <m/>
    <m/>
    <s v="완료"/>
    <n v="18000"/>
  </r>
  <r>
    <d v="2026-04-14T00:00:00"/>
    <s v="화"/>
    <s v="D8"/>
    <s v="강동QV 1604"/>
    <n v="1"/>
    <x v="1"/>
    <m/>
    <m/>
    <s v="완료"/>
    <n v="18000"/>
  </r>
  <r>
    <d v="2026-04-14T00:00:00"/>
    <s v="화"/>
    <s v="E3"/>
    <s v="렘브 204"/>
    <n v="1"/>
    <x v="1"/>
    <m/>
    <m/>
    <s v="완료"/>
    <n v="18000"/>
  </r>
  <r>
    <d v="2026-04-14T00:00:00"/>
    <s v="화"/>
    <s v="C6"/>
    <s v="청광1차 1303"/>
    <n v="1"/>
    <x v="2"/>
    <m/>
    <m/>
    <s v="완료"/>
    <n v="18000"/>
  </r>
  <r>
    <d v="2026-04-14T00:00:00"/>
    <s v="화"/>
    <s v="F1"/>
    <s v="한양립스 503"/>
    <n v="1"/>
    <x v="2"/>
    <m/>
    <m/>
    <s v="완료"/>
    <n v="18000"/>
  </r>
  <r>
    <d v="2026-04-14T00:00:00"/>
    <s v="화"/>
    <s v="T46"/>
    <s v="센텀 2차 406"/>
    <n v="1.5"/>
    <x v="3"/>
    <m/>
    <m/>
    <s v="완료"/>
    <n v="20000"/>
  </r>
  <r>
    <d v="2026-04-14T00:00:00"/>
    <s v="화"/>
    <s v="T51"/>
    <s v="센텀 2차 501"/>
    <n v="1.5"/>
    <x v="3"/>
    <m/>
    <m/>
    <s v="완료"/>
    <n v="20000"/>
  </r>
  <r>
    <d v="2026-04-14T00:00:00"/>
    <s v="화"/>
    <s v="U24"/>
    <s v="성우 204"/>
    <n v="2"/>
    <x v="4"/>
    <m/>
    <m/>
    <s v="완료"/>
    <n v="23000"/>
  </r>
  <r>
    <d v="2026-04-14T00:00:00"/>
    <s v="화"/>
    <s v="U34"/>
    <s v="성우 304"/>
    <n v="2"/>
    <x v="4"/>
    <m/>
    <m/>
    <s v="완료"/>
    <n v="23000"/>
  </r>
  <r>
    <d v="2026-04-14T00:00:00"/>
    <s v="화"/>
    <s v="V13"/>
    <s v="대치동 103호"/>
    <n v="1.5"/>
    <x v="5"/>
    <m/>
    <m/>
    <s v="완료"/>
    <n v="20000"/>
  </r>
  <r>
    <d v="2026-04-14T00:00:00"/>
    <s v="화"/>
    <s v="C"/>
    <s v="청광1차 207"/>
    <n v="0"/>
    <x v="2"/>
    <m/>
    <m/>
    <s v="완료"/>
    <n v="10000"/>
  </r>
  <r>
    <d v="2026-04-15T00:00:00"/>
    <s v="수"/>
    <s v="A22"/>
    <s v="예건 202"/>
    <n v="1"/>
    <x v="0"/>
    <m/>
    <m/>
    <s v="완료"/>
    <n v="18000"/>
  </r>
  <r>
    <d v="2026-04-15T00:00:00"/>
    <s v="수"/>
    <s v="A25"/>
    <s v="예건 205"/>
    <n v="1"/>
    <x v="0"/>
    <m/>
    <m/>
    <s v="완료"/>
    <n v="18000"/>
  </r>
  <r>
    <d v="2026-04-15T00:00:00"/>
    <s v="수"/>
    <s v="D4"/>
    <s v="청광3차 806"/>
    <n v="1"/>
    <x v="4"/>
    <m/>
    <m/>
    <s v="완료"/>
    <n v="18000"/>
  </r>
  <r>
    <d v="2026-04-15T00:00:00"/>
    <s v="수"/>
    <s v="D8"/>
    <s v="강동QV 1604"/>
    <n v="1"/>
    <x v="4"/>
    <m/>
    <m/>
    <s v="완료"/>
    <n v="18000"/>
  </r>
  <r>
    <d v="2026-04-15T00:00:00"/>
    <s v="수"/>
    <s v="F1"/>
    <s v="한양립스 503"/>
    <n v="1"/>
    <x v="6"/>
    <m/>
    <m/>
    <s v="완료"/>
    <n v="18000"/>
  </r>
  <r>
    <d v="2026-04-15T00:00:00"/>
    <s v="수"/>
    <s v="F2"/>
    <s v="오앤 401"/>
    <n v="1"/>
    <x v="6"/>
    <m/>
    <m/>
    <s v="완료"/>
    <n v="18000"/>
  </r>
  <r>
    <d v="2026-04-15T00:00:00"/>
    <s v="수"/>
    <s v="E3"/>
    <s v="렘브 204"/>
    <n v="1"/>
    <x v="2"/>
    <m/>
    <m/>
    <s v="완료"/>
    <n v="18000"/>
  </r>
  <r>
    <d v="2026-04-15T00:00:00"/>
    <s v="수"/>
    <s v="T46"/>
    <s v="센텀 2차 406"/>
    <n v="1.5"/>
    <x v="2"/>
    <m/>
    <m/>
    <s v="완료"/>
    <n v="20000"/>
  </r>
  <r>
    <d v="2026-04-15T00:00:00"/>
    <s v="수"/>
    <s v="V12"/>
    <s v="대치동 102호"/>
    <n v="1"/>
    <x v="5"/>
    <m/>
    <m/>
    <s v="완료"/>
    <n v="18000"/>
  </r>
  <r>
    <d v="2026-04-15T00:00:00"/>
    <s v="수"/>
    <s v="V13"/>
    <s v="대치동 103호"/>
    <n v="1.5"/>
    <x v="5"/>
    <s v="변기 수리"/>
    <m/>
    <s v="완료"/>
    <n v="30000"/>
  </r>
  <r>
    <d v="2026-04-15T00:00:00"/>
    <s v="수"/>
    <s v="L4"/>
    <s v="하람휴 901"/>
    <n v="2"/>
    <x v="7"/>
    <s v="블라인드 수리"/>
    <m/>
    <s v="완료"/>
    <n v="33000"/>
  </r>
  <r>
    <d v="2026-04-15T00:00:00"/>
    <s v="수"/>
    <s v="L5"/>
    <s v="하람휴 1001"/>
    <n v="2"/>
    <x v="7"/>
    <m/>
    <m/>
    <s v="완료"/>
    <n v="23000"/>
  </r>
  <r>
    <d v="2026-04-15T00:00:00"/>
    <s v="수"/>
    <s v="C"/>
    <s v="청광1차 207"/>
    <n v="0"/>
    <x v="0"/>
    <m/>
    <m/>
    <s v="완료"/>
    <n v="5000"/>
  </r>
  <r>
    <d v="2026-04-15T00:00:00"/>
    <s v="수"/>
    <s v="C"/>
    <s v="청광1차 207"/>
    <n v="0"/>
    <x v="6"/>
    <m/>
    <m/>
    <s v="완료"/>
    <n v="5000"/>
  </r>
  <r>
    <d v="2026-04-16T00:00:00"/>
    <s v="목"/>
    <s v="A24"/>
    <s v="예건 204"/>
    <n v="1"/>
    <x v="2"/>
    <m/>
    <m/>
    <s v="완료"/>
    <n v="18000"/>
  </r>
  <r>
    <d v="2026-04-16T00:00:00"/>
    <s v="목"/>
    <s v="D6"/>
    <s v="청광3차 1412"/>
    <n v="1"/>
    <x v="3"/>
    <m/>
    <m/>
    <s v="완료"/>
    <n v="18000"/>
  </r>
  <r>
    <d v="2026-04-16T00:00:00"/>
    <s v="목"/>
    <s v="F2"/>
    <s v="오앤 401"/>
    <n v="1"/>
    <x v="6"/>
    <m/>
    <m/>
    <s v="완료"/>
    <n v="18000"/>
  </r>
  <r>
    <d v="2026-04-16T00:00:00"/>
    <s v="목"/>
    <s v="L3"/>
    <s v="하람휴 1102"/>
    <n v="2"/>
    <x v="7"/>
    <m/>
    <m/>
    <s v="완료"/>
    <n v="23000"/>
  </r>
  <r>
    <d v="2026-04-16T00:00:00"/>
    <s v="목"/>
    <s v="L5"/>
    <s v="하람휴 1001"/>
    <n v="2"/>
    <x v="7"/>
    <m/>
    <m/>
    <s v="완료"/>
    <n v="23000"/>
  </r>
  <r>
    <d v="2026-04-16T00:00:00"/>
    <s v="목"/>
    <s v="T46"/>
    <s v="센텀 2차 406"/>
    <n v="1.5"/>
    <x v="1"/>
    <m/>
    <m/>
    <s v="완료"/>
    <n v="20000"/>
  </r>
  <r>
    <d v="2026-04-16T00:00:00"/>
    <s v="목"/>
    <s v="J2"/>
    <s v="은성 603"/>
    <n v="1"/>
    <x v="1"/>
    <m/>
    <m/>
    <s v="완료"/>
    <n v="18000"/>
  </r>
  <r>
    <d v="2026-04-16T00:00:00"/>
    <s v="목"/>
    <s v="H23"/>
    <s v="오금스타 203"/>
    <n v="1"/>
    <x v="1"/>
    <m/>
    <m/>
    <s v="완료"/>
    <n v="18000"/>
  </r>
  <r>
    <d v="2026-04-16T00:00:00"/>
    <s v="목"/>
    <s v="C"/>
    <s v="청광1차 207"/>
    <n v="0"/>
    <x v="6"/>
    <m/>
    <m/>
    <s v="완료"/>
    <n v="10000"/>
  </r>
  <r>
    <d v="2026-04-17T00:00:00"/>
    <s v="금"/>
    <s v="A22"/>
    <s v="예건 202"/>
    <n v="1"/>
    <x v="4"/>
    <m/>
    <m/>
    <s v="완료"/>
    <n v="18000"/>
  </r>
  <r>
    <d v="2026-04-17T00:00:00"/>
    <s v="금"/>
    <s v="U51"/>
    <s v="성우 501"/>
    <n v="2"/>
    <x v="4"/>
    <m/>
    <m/>
    <s v="완료"/>
    <n v="23000"/>
  </r>
  <r>
    <d v="2026-04-17T00:00:00"/>
    <s v="금"/>
    <s v="B106"/>
    <s v="더하임 1006"/>
    <n v="1.5"/>
    <x v="2"/>
    <m/>
    <m/>
    <s v="완료"/>
    <n v="20000"/>
  </r>
  <r>
    <d v="2026-04-17T00:00:00"/>
    <s v="금"/>
    <s v="B35"/>
    <s v="더하임 305"/>
    <n v="1"/>
    <x v="2"/>
    <m/>
    <m/>
    <s v="완료"/>
    <n v="18000"/>
  </r>
  <r>
    <d v="2026-04-17T00:00:00"/>
    <s v="금"/>
    <s v="D6"/>
    <s v="청광3차 1412"/>
    <n v="1"/>
    <x v="1"/>
    <m/>
    <m/>
    <s v="완료"/>
    <n v="18000"/>
  </r>
  <r>
    <d v="2026-04-17T00:00:00"/>
    <s v="금"/>
    <s v="E3"/>
    <s v="렘브 204"/>
    <n v="1"/>
    <x v="1"/>
    <m/>
    <m/>
    <s v="완료"/>
    <n v="18000"/>
  </r>
  <r>
    <d v="2026-04-17T00:00:00"/>
    <s v="금"/>
    <s v="T46"/>
    <s v="센텀 2차 406"/>
    <n v="1.5"/>
    <x v="3"/>
    <m/>
    <m/>
    <s v="완료"/>
    <n v="20000"/>
  </r>
  <r>
    <d v="2026-04-17T00:00:00"/>
    <s v="금"/>
    <s v="T51"/>
    <s v="센텀 2차 501"/>
    <n v="1.5"/>
    <x v="6"/>
    <m/>
    <m/>
    <s v="완료"/>
    <n v="20000"/>
  </r>
  <r>
    <d v="2026-04-17T00:00:00"/>
    <s v="금"/>
    <s v="F2"/>
    <s v="오앤 401"/>
    <n v="1"/>
    <x v="6"/>
    <m/>
    <m/>
    <s v="완료"/>
    <n v="18000"/>
  </r>
  <r>
    <d v="2026-04-17T00:00:00"/>
    <s v="금"/>
    <s v="L5"/>
    <s v="하람휴 1001"/>
    <n v="2"/>
    <x v="7"/>
    <m/>
    <m/>
    <s v="완료"/>
    <n v="23000"/>
  </r>
  <r>
    <d v="2026-04-17T00:00:00"/>
    <s v="금"/>
    <s v="V13"/>
    <s v="대치동 103호"/>
    <n v="1.5"/>
    <x v="5"/>
    <m/>
    <m/>
    <s v="완료"/>
    <n v="20000"/>
  </r>
  <r>
    <d v="2026-04-17T00:00:00"/>
    <s v="금"/>
    <s v="C"/>
    <s v="청광1차 207"/>
    <n v="0"/>
    <x v="6"/>
    <m/>
    <m/>
    <s v="완료"/>
    <n v="10000"/>
  </r>
  <r>
    <d v="2026-04-18T00:00:00"/>
    <s v="토"/>
    <s v="A22"/>
    <s v="예건 202"/>
    <n v="1"/>
    <x v="4"/>
    <m/>
    <m/>
    <s v="완료"/>
    <n v="18000"/>
  </r>
  <r>
    <d v="2026-04-18T00:00:00"/>
    <s v="토"/>
    <s v="A25"/>
    <s v="예건 205"/>
    <n v="1"/>
    <x v="4"/>
    <m/>
    <m/>
    <s v="완료"/>
    <n v="18000"/>
  </r>
  <r>
    <d v="2026-04-18T00:00:00"/>
    <s v="토"/>
    <s v="A33"/>
    <s v="예건 303"/>
    <n v="2"/>
    <x v="4"/>
    <m/>
    <m/>
    <s v="완료"/>
    <n v="23000"/>
  </r>
  <r>
    <d v="2026-04-18T00:00:00"/>
    <s v="토"/>
    <s v="B102"/>
    <s v="더하임 1002"/>
    <n v="1"/>
    <x v="0"/>
    <m/>
    <m/>
    <s v="완료"/>
    <n v="18000"/>
  </r>
  <r>
    <d v="2026-04-18T00:00:00"/>
    <s v="토"/>
    <s v="B103"/>
    <s v="더하임 1003"/>
    <n v="1"/>
    <x v="0"/>
    <m/>
    <m/>
    <s v="완료"/>
    <n v="18000"/>
  </r>
  <r>
    <d v="2026-04-18T00:00:00"/>
    <s v="토"/>
    <s v="B104"/>
    <s v="더하임 1004"/>
    <n v="1"/>
    <x v="0"/>
    <m/>
    <m/>
    <s v="완료"/>
    <n v="18000"/>
  </r>
  <r>
    <d v="2026-04-18T00:00:00"/>
    <s v="토"/>
    <s v="B105"/>
    <s v="더하임 1005"/>
    <n v="1"/>
    <x v="6"/>
    <m/>
    <m/>
    <s v="완료"/>
    <n v="18000"/>
  </r>
  <r>
    <d v="2026-04-18T00:00:00"/>
    <s v="토"/>
    <s v="B23"/>
    <s v="더하임 203"/>
    <n v="1"/>
    <x v="6"/>
    <m/>
    <m/>
    <s v="완료"/>
    <n v="18000"/>
  </r>
  <r>
    <d v="2026-04-18T00:00:00"/>
    <s v="토"/>
    <s v="B34"/>
    <s v="더하임 304"/>
    <n v="1"/>
    <x v="6"/>
    <m/>
    <m/>
    <s v="완료"/>
    <n v="18000"/>
  </r>
  <r>
    <d v="2026-04-18T00:00:00"/>
    <s v="토"/>
    <s v="C6"/>
    <s v="청광1차 1303"/>
    <n v="1"/>
    <x v="1"/>
    <m/>
    <m/>
    <s v="완료"/>
    <n v="18000"/>
  </r>
  <r>
    <d v="2026-04-18T00:00:00"/>
    <s v="토"/>
    <s v="D1"/>
    <s v="청광3차 1416"/>
    <n v="1"/>
    <x v="1"/>
    <m/>
    <m/>
    <s v="완료"/>
    <n v="18000"/>
  </r>
  <r>
    <d v="2026-04-18T00:00:00"/>
    <s v="토"/>
    <s v="D6"/>
    <s v="청광3차 1412"/>
    <n v="1"/>
    <x v="1"/>
    <m/>
    <m/>
    <s v="완료"/>
    <n v="18000"/>
  </r>
  <r>
    <d v="2026-04-18T00:00:00"/>
    <s v="토"/>
    <s v="E1"/>
    <s v="르센티 1801"/>
    <s v="복"/>
    <x v="8"/>
    <m/>
    <m/>
    <s v="완료"/>
    <n v="20000"/>
  </r>
  <r>
    <d v="2026-04-18T00:00:00"/>
    <s v="토"/>
    <s v="E3"/>
    <s v="렘브 204"/>
    <n v="1"/>
    <x v="8"/>
    <m/>
    <m/>
    <s v="완료"/>
    <n v="18000"/>
  </r>
  <r>
    <d v="2026-04-18T00:00:00"/>
    <s v="토"/>
    <s v="E5"/>
    <s v="동구햇살 1203"/>
    <s v="복"/>
    <x v="8"/>
    <m/>
    <m/>
    <s v="완료"/>
    <n v="20000"/>
  </r>
  <r>
    <d v="2026-04-18T00:00:00"/>
    <s v="토"/>
    <s v="T46"/>
    <s v="센텀 2차 406"/>
    <n v="1.5"/>
    <x v="6"/>
    <m/>
    <m/>
    <s v="완료"/>
    <n v="20000"/>
  </r>
  <r>
    <d v="2026-04-18T00:00:00"/>
    <s v="토"/>
    <s v="U34"/>
    <s v="성우 304"/>
    <n v="2"/>
    <x v="3"/>
    <m/>
    <m/>
    <s v="완료"/>
    <n v="23000"/>
  </r>
  <r>
    <d v="2026-04-18T00:00:00"/>
    <s v="토"/>
    <s v="U83"/>
    <s v="성우 803"/>
    <n v="3"/>
    <x v="3"/>
    <m/>
    <m/>
    <s v="완료"/>
    <n v="30000"/>
  </r>
  <r>
    <d v="2026-04-18T00:00:00"/>
    <s v="토"/>
    <s v="H25"/>
    <s v="오금스타 205"/>
    <n v="1"/>
    <x v="9"/>
    <m/>
    <m/>
    <s v="완료"/>
    <n v="20000"/>
  </r>
  <r>
    <d v="2026-04-18T00:00:00"/>
    <s v="토"/>
    <s v="L5"/>
    <s v="하람휴 1001"/>
    <n v="2"/>
    <x v="7"/>
    <m/>
    <m/>
    <s v="완료"/>
    <n v="23000"/>
  </r>
  <r>
    <d v="2026-04-18T00:00:00"/>
    <s v="토"/>
    <s v="V11"/>
    <s v="대치동 101호"/>
    <n v="2"/>
    <x v="5"/>
    <m/>
    <m/>
    <s v="완료"/>
    <n v="23000"/>
  </r>
  <r>
    <d v="2026-04-18T00:00:00"/>
    <s v="토"/>
    <s v="V13"/>
    <s v="대치동 103호"/>
    <n v="1.5"/>
    <x v="5"/>
    <m/>
    <m/>
    <s v="완료"/>
    <n v="24000"/>
  </r>
  <r>
    <d v="2026-04-18T00:00:00"/>
    <s v="토"/>
    <s v="A72"/>
    <s v="예건 702"/>
    <n v="1"/>
    <x v="3"/>
    <m/>
    <m/>
    <s v="완료"/>
    <n v="18000"/>
  </r>
  <r>
    <d v="2026-04-18T00:00:00"/>
    <s v="토"/>
    <s v="C"/>
    <s v="청광1차 207"/>
    <n v="0"/>
    <x v="6"/>
    <m/>
    <m/>
    <s v="완료"/>
    <n v="10000"/>
  </r>
  <r>
    <d v="2026-04-19T00:00:00"/>
    <s v="일"/>
    <s v="J2"/>
    <s v="은성 603"/>
    <n v="1"/>
    <x v="6"/>
    <m/>
    <m/>
    <s v="완료"/>
    <n v="18000"/>
  </r>
  <r>
    <d v="2026-04-19T00:00:00"/>
    <s v="일"/>
    <s v="A25"/>
    <s v="예건 205"/>
    <n v="1"/>
    <x v="6"/>
    <m/>
    <m/>
    <s v="완료"/>
    <n v="18000"/>
  </r>
  <r>
    <d v="2026-04-19T00:00:00"/>
    <s v="일"/>
    <s v="A33"/>
    <s v="예건 303"/>
    <n v="2"/>
    <x v="6"/>
    <m/>
    <m/>
    <s v="완료"/>
    <n v="23000"/>
  </r>
  <r>
    <d v="2026-04-19T00:00:00"/>
    <s v="일"/>
    <s v="U24"/>
    <s v="성우 204"/>
    <n v="2"/>
    <x v="4"/>
    <m/>
    <m/>
    <s v="완료"/>
    <n v="23000"/>
  </r>
  <r>
    <d v="2026-04-19T00:00:00"/>
    <s v="일"/>
    <s v="U34"/>
    <s v="성우 304"/>
    <n v="2"/>
    <x v="4"/>
    <m/>
    <m/>
    <s v="완료"/>
    <n v="23000"/>
  </r>
  <r>
    <d v="2026-04-19T00:00:00"/>
    <s v="일"/>
    <s v="U83"/>
    <s v="성우 803"/>
    <n v="3"/>
    <x v="4"/>
    <m/>
    <m/>
    <s v="완료"/>
    <n v="30000"/>
  </r>
  <r>
    <d v="2026-04-19T00:00:00"/>
    <s v="일"/>
    <s v="C6"/>
    <s v="청광1차 1303"/>
    <n v="1"/>
    <x v="1"/>
    <m/>
    <m/>
    <s v="완료"/>
    <n v="18000"/>
  </r>
  <r>
    <d v="2026-04-19T00:00:00"/>
    <s v="일"/>
    <s v="B103"/>
    <s v="더하임 1003"/>
    <n v="1"/>
    <x v="1"/>
    <m/>
    <m/>
    <s v="완료"/>
    <n v="18000"/>
  </r>
  <r>
    <d v="2026-04-19T00:00:00"/>
    <s v="일"/>
    <s v="B105"/>
    <s v="더하임 1005"/>
    <n v="1"/>
    <x v="1"/>
    <m/>
    <m/>
    <s v="완료"/>
    <n v="18000"/>
  </r>
  <r>
    <d v="2026-04-19T00:00:00"/>
    <s v="일"/>
    <s v="T46"/>
    <s v="센텀 2차 406"/>
    <n v="1.5"/>
    <x v="0"/>
    <m/>
    <m/>
    <s v="완료"/>
    <n v="20000"/>
  </r>
  <r>
    <d v="2026-04-19T00:00:00"/>
    <s v="일"/>
    <s v="E3"/>
    <s v="렘브 204"/>
    <n v="1"/>
    <x v="0"/>
    <m/>
    <m/>
    <s v="완료"/>
    <n v="18000"/>
  </r>
  <r>
    <d v="2026-04-19T00:00:00"/>
    <s v="일"/>
    <s v="E5"/>
    <s v="동구햇살 1203"/>
    <s v="복"/>
    <x v="0"/>
    <m/>
    <m/>
    <s v="완료"/>
    <n v="20000"/>
  </r>
  <r>
    <d v="2026-04-19T00:00:00"/>
    <s v="일"/>
    <s v="B24"/>
    <s v="더하임 204"/>
    <n v="1"/>
    <x v="0"/>
    <m/>
    <m/>
    <s v="완료"/>
    <n v="18000"/>
  </r>
  <r>
    <d v="2026-04-19T00:00:00"/>
    <s v="일"/>
    <s v="B34"/>
    <s v="더하임 304"/>
    <n v="1"/>
    <x v="0"/>
    <m/>
    <m/>
    <s v="완료"/>
    <n v="18000"/>
  </r>
  <r>
    <d v="2026-04-19T00:00:00"/>
    <s v="일"/>
    <s v="D1"/>
    <s v="청광3차 1416"/>
    <n v="1"/>
    <x v="3"/>
    <m/>
    <m/>
    <s v="완료"/>
    <n v="18000"/>
  </r>
  <r>
    <d v="2026-04-19T00:00:00"/>
    <s v="일"/>
    <s v="D4"/>
    <s v="청광3차 806"/>
    <n v="1"/>
    <x v="3"/>
    <m/>
    <m/>
    <s v="완료"/>
    <n v="18000"/>
  </r>
  <r>
    <d v="2026-04-19T00:00:00"/>
    <s v="일"/>
    <s v="D6"/>
    <s v="청광3차 1412"/>
    <n v="1"/>
    <x v="3"/>
    <m/>
    <m/>
    <s v="완료"/>
    <n v="18000"/>
  </r>
  <r>
    <d v="2026-04-19T00:00:00"/>
    <s v="일"/>
    <s v="H25"/>
    <s v="오금스타 205"/>
    <n v="1"/>
    <x v="9"/>
    <m/>
    <m/>
    <s v="완료"/>
    <n v="20000"/>
  </r>
  <r>
    <d v="2026-04-19T00:00:00"/>
    <s v="일"/>
    <s v="L5"/>
    <s v="하람휴 1001"/>
    <n v="2"/>
    <x v="7"/>
    <m/>
    <m/>
    <s v="완료"/>
    <n v="23000"/>
  </r>
  <r>
    <d v="2026-04-19T00:00:00"/>
    <s v="일"/>
    <s v="V11"/>
    <s v="대치동 101호"/>
    <n v="2"/>
    <x v="5"/>
    <m/>
    <m/>
    <s v="완료"/>
    <n v="27000"/>
  </r>
  <r>
    <d v="2026-04-19T00:00:00"/>
    <s v="일"/>
    <s v="V12"/>
    <s v="대치동 102호"/>
    <n v="1"/>
    <x v="5"/>
    <m/>
    <m/>
    <s v="완료"/>
    <n v="18000"/>
  </r>
  <r>
    <d v="2026-04-19T00:00:00"/>
    <s v="일"/>
    <s v="V13"/>
    <s v="대치동 103호"/>
    <n v="1.5"/>
    <x v="5"/>
    <m/>
    <m/>
    <s v="완료"/>
    <n v="20000"/>
  </r>
  <r>
    <d v="2026-04-19T00:00:00"/>
    <s v="일"/>
    <s v="C"/>
    <s v="청광1차 207"/>
    <n v="0"/>
    <x v="6"/>
    <m/>
    <m/>
    <s v="완료"/>
    <n v="10000"/>
  </r>
  <r>
    <d v="2026-04-20T00:00:00"/>
    <s v="월"/>
    <s v="U83"/>
    <s v="성우 803"/>
    <n v="3"/>
    <x v="3"/>
    <s v="기상악화"/>
    <m/>
    <s v="완료"/>
    <n v="35000"/>
  </r>
  <r>
    <d v="2026-04-20T00:00:00"/>
    <s v="월"/>
    <s v="A22"/>
    <s v="예건 202"/>
    <n v="1"/>
    <x v="3"/>
    <m/>
    <m/>
    <s v="완료"/>
    <n v="18000"/>
  </r>
  <r>
    <d v="2026-04-20T00:00:00"/>
    <s v="월"/>
    <s v="A72"/>
    <s v="예건 702"/>
    <n v="1"/>
    <x v="3"/>
    <m/>
    <m/>
    <s v="완료"/>
    <n v="18000"/>
  </r>
  <r>
    <d v="2026-04-20T00:00:00"/>
    <s v="월"/>
    <s v="B103"/>
    <s v="더하임 1003"/>
    <n v="1"/>
    <x v="6"/>
    <s v="기상악화"/>
    <m/>
    <s v="완료"/>
    <n v="23000"/>
  </r>
  <r>
    <d v="2026-04-20T00:00:00"/>
    <s v="월"/>
    <s v="B104"/>
    <s v="더하임 1004"/>
    <n v="1"/>
    <x v="6"/>
    <m/>
    <m/>
    <s v="완료"/>
    <n v="18000"/>
  </r>
  <r>
    <d v="2026-04-20T00:00:00"/>
    <s v="월"/>
    <s v="B24"/>
    <s v="더하임 204"/>
    <n v="1"/>
    <x v="6"/>
    <m/>
    <m/>
    <s v="완료"/>
    <n v="18000"/>
  </r>
  <r>
    <d v="2026-04-20T00:00:00"/>
    <s v="월"/>
    <s v="B35"/>
    <s v="더하임 305"/>
    <n v="1"/>
    <x v="6"/>
    <m/>
    <m/>
    <s v="완료"/>
    <n v="18000"/>
  </r>
  <r>
    <d v="2026-04-20T00:00:00"/>
    <s v="월"/>
    <s v="B91"/>
    <s v="더하임 901"/>
    <n v="1"/>
    <x v="6"/>
    <m/>
    <m/>
    <s v="완료"/>
    <n v="18000"/>
  </r>
  <r>
    <d v="2026-04-20T00:00:00"/>
    <s v="월"/>
    <s v="C6"/>
    <s v="청광1차 1303"/>
    <n v="1"/>
    <x v="2"/>
    <s v="기상악화"/>
    <m/>
    <s v="완료"/>
    <n v="23000"/>
  </r>
  <r>
    <d v="2026-04-20T00:00:00"/>
    <s v="월"/>
    <s v="D6"/>
    <s v="청광3차 1412"/>
    <n v="1"/>
    <x v="2"/>
    <m/>
    <m/>
    <s v="완료"/>
    <n v="18000"/>
  </r>
  <r>
    <d v="2026-04-20T00:00:00"/>
    <s v="월"/>
    <s v="E1"/>
    <s v="르센티 1801"/>
    <s v="복"/>
    <x v="4"/>
    <s v="기상악화"/>
    <m/>
    <s v="완료"/>
    <n v="25000"/>
  </r>
  <r>
    <d v="2026-04-20T00:00:00"/>
    <s v="월"/>
    <s v="J2"/>
    <s v="은성 603"/>
    <n v="1"/>
    <x v="4"/>
    <m/>
    <m/>
    <s v="완료"/>
    <n v="18000"/>
  </r>
  <r>
    <d v="2026-04-20T00:00:00"/>
    <s v="월"/>
    <s v="E3"/>
    <s v="렘브 204"/>
    <n v="1"/>
    <x v="4"/>
    <m/>
    <m/>
    <s v="완료"/>
    <n v="18000"/>
  </r>
  <r>
    <d v="2026-04-20T00:00:00"/>
    <s v="월"/>
    <s v="E5"/>
    <s v="동구햇살 1203"/>
    <s v="복"/>
    <x v="4"/>
    <m/>
    <m/>
    <s v="완료"/>
    <n v="20000"/>
  </r>
  <r>
    <d v="2026-04-20T00:00:00"/>
    <s v="월"/>
    <s v="C"/>
    <s v="청광1차 207"/>
    <n v="0"/>
    <x v="6"/>
    <m/>
    <m/>
    <s v="완료"/>
    <n v="1000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d v="2026-04-21T00:00:00"/>
    <s v="화"/>
    <s v="B104"/>
    <s v="더하임 1004"/>
    <n v="1"/>
    <x v="0"/>
    <m/>
    <m/>
    <s v="완료"/>
    <n v="18000"/>
  </r>
  <r>
    <d v="2026-04-21T00:00:00"/>
    <s v="화"/>
    <s v="E5"/>
    <s v="동구햇살 1203"/>
    <s v="복"/>
    <x v="1"/>
    <m/>
    <m/>
    <s v="완료"/>
    <n v="20000"/>
  </r>
  <r>
    <d v="2026-04-21T00:00:00"/>
    <s v="화"/>
    <s v="T46"/>
    <s v="센텀 2차 406"/>
    <n v="1.5"/>
    <x v="2"/>
    <m/>
    <m/>
    <s v="완료"/>
    <n v="20000"/>
  </r>
  <r>
    <d v="2026-04-21T00:00:00"/>
    <s v="화"/>
    <s v="H21"/>
    <s v="오금스타 201"/>
    <n v="1"/>
    <x v="2"/>
    <s v="긴급"/>
    <m/>
    <s v="완료"/>
    <n v="30000"/>
  </r>
  <r>
    <d v="2026-04-21T00:00:00"/>
    <s v="화"/>
    <s v="D1"/>
    <s v="청광3차 1416"/>
    <n v="1"/>
    <x v="3"/>
    <s v="기다림"/>
    <m/>
    <s v="완료"/>
    <n v="23000"/>
  </r>
  <r>
    <d v="2026-04-21T00:00:00"/>
    <s v="화"/>
    <s v="B91"/>
    <s v="더하임 901"/>
    <n v="1"/>
    <x v="0"/>
    <m/>
    <m/>
    <s v="완료"/>
    <n v="18000"/>
  </r>
  <r>
    <d v="2026-04-21T00:00:00"/>
    <s v="화"/>
    <s v="T51"/>
    <s v="센텀 2차 501"/>
    <n v="1.5"/>
    <x v="2"/>
    <m/>
    <m/>
    <s v="완료"/>
    <n v="20000"/>
  </r>
  <r>
    <d v="2026-04-21T00:00:00"/>
    <s v="화"/>
    <s v="C"/>
    <s v="청광1차 207"/>
    <n v="0"/>
    <x v="0"/>
    <m/>
    <m/>
    <s v="완료"/>
    <n v="10000"/>
  </r>
  <r>
    <d v="2026-04-22T00:00:00"/>
    <s v="수"/>
    <s v="B105"/>
    <s v="더하임 1005"/>
    <n v="1"/>
    <x v="2"/>
    <m/>
    <m/>
    <s v="완료"/>
    <n v="18000"/>
  </r>
  <r>
    <d v="2026-04-22T00:00:00"/>
    <s v="수"/>
    <s v="B23"/>
    <s v="더하임 203"/>
    <n v="1"/>
    <x v="2"/>
    <m/>
    <m/>
    <s v="완료"/>
    <n v="18000"/>
  </r>
  <r>
    <d v="2026-04-22T00:00:00"/>
    <s v="수"/>
    <s v="B91"/>
    <s v="더하임 901"/>
    <n v="1"/>
    <x v="4"/>
    <m/>
    <m/>
    <s v="완료"/>
    <n v="18000"/>
  </r>
  <r>
    <d v="2026-04-22T00:00:00"/>
    <s v="수"/>
    <s v="B94"/>
    <s v="더하임 904"/>
    <n v="1"/>
    <x v="1"/>
    <m/>
    <m/>
    <s v="완료"/>
    <n v="18000"/>
  </r>
  <r>
    <d v="2026-04-22T00:00:00"/>
    <s v="수"/>
    <s v="E5"/>
    <s v="동구햇살 1203"/>
    <s v="복"/>
    <x v="0"/>
    <m/>
    <m/>
    <s v="완료"/>
    <n v="20000"/>
  </r>
  <r>
    <d v="2026-04-22T00:00:00"/>
    <s v="수"/>
    <s v="L5"/>
    <s v="하람휴 1001"/>
    <n v="2"/>
    <x v="5"/>
    <m/>
    <m/>
    <s v="완료"/>
    <n v="23000"/>
  </r>
  <r>
    <d v="2026-04-22T00:00:00"/>
    <s v="수"/>
    <s v="V11"/>
    <s v="대치동 101호"/>
    <n v="2"/>
    <x v="6"/>
    <m/>
    <m/>
    <s v="완료"/>
    <n v="23000"/>
  </r>
  <r>
    <d v="2026-04-22T00:00:00"/>
    <s v="수"/>
    <s v="V13"/>
    <s v="대치동 103호"/>
    <n v="1.5"/>
    <x v="6"/>
    <m/>
    <m/>
    <s v="완료"/>
    <n v="20000"/>
  </r>
  <r>
    <d v="2026-04-22T00:00:00"/>
    <s v="수"/>
    <s v="C"/>
    <s v="청광1차 207"/>
    <n v="0"/>
    <x v="0"/>
    <m/>
    <m/>
    <s v="완료"/>
    <n v="10000"/>
  </r>
  <r>
    <d v="2026-04-23T00:00:00"/>
    <s v="목"/>
    <s v="A24"/>
    <s v="예건 204"/>
    <n v="1"/>
    <x v="2"/>
    <m/>
    <m/>
    <s v="완료"/>
    <n v="18000"/>
  </r>
  <r>
    <d v="2026-04-23T00:00:00"/>
    <s v="목"/>
    <s v="B105"/>
    <s v="더하임 1005"/>
    <n v="1"/>
    <x v="2"/>
    <m/>
    <m/>
    <s v="완료"/>
    <n v="18000"/>
  </r>
  <r>
    <d v="2026-04-23T00:00:00"/>
    <s v="목"/>
    <s v="E5"/>
    <s v="동구햇살 1203"/>
    <s v="복"/>
    <x v="1"/>
    <m/>
    <m/>
    <s v="완료"/>
    <n v="20000"/>
  </r>
  <r>
    <d v="2026-04-23T00:00:00"/>
    <s v="목"/>
    <s v="D4"/>
    <s v="청광3차 806"/>
    <n v="1"/>
    <x v="0"/>
    <m/>
    <m/>
    <s v="완료"/>
    <n v="18000"/>
  </r>
  <r>
    <d v="2026-04-23T00:00:00"/>
    <s v="목"/>
    <s v="F2"/>
    <s v="오앤 401"/>
    <n v="1"/>
    <x v="0"/>
    <m/>
    <m/>
    <s v="완료"/>
    <n v="18000"/>
  </r>
  <r>
    <d v="2026-04-23T00:00:00"/>
    <s v="목"/>
    <s v="T46"/>
    <s v="센텀 2차 406"/>
    <n v="1.5"/>
    <x v="4"/>
    <m/>
    <m/>
    <s v="완료"/>
    <n v="20000"/>
  </r>
  <r>
    <d v="2026-04-23T00:00:00"/>
    <s v="목"/>
    <s v="V13"/>
    <s v="대치동 103호"/>
    <n v="1.5"/>
    <x v="6"/>
    <m/>
    <m/>
    <s v="완료"/>
    <n v="20000"/>
  </r>
  <r>
    <d v="2026-04-23T00:00:00"/>
    <s v="목"/>
    <s v="C"/>
    <s v="청광1차 207"/>
    <n v="0"/>
    <x v="0"/>
    <m/>
    <m/>
    <s v="완료"/>
    <n v="10000"/>
  </r>
  <r>
    <d v="2026-04-24T00:00:00"/>
    <s v="금"/>
    <s v="B103"/>
    <s v="더하임 1003"/>
    <n v="1"/>
    <x v="3"/>
    <m/>
    <m/>
    <s v="완료"/>
    <n v="18000"/>
  </r>
  <r>
    <d v="2026-04-24T00:00:00"/>
    <s v="금"/>
    <s v="B104"/>
    <s v="더하임 1004"/>
    <n v="1"/>
    <x v="3"/>
    <m/>
    <m/>
    <s v="완료"/>
    <n v="18000"/>
  </r>
  <r>
    <d v="2026-04-24T00:00:00"/>
    <s v="금"/>
    <s v="B23"/>
    <s v="더하임 203"/>
    <n v="1"/>
    <x v="2"/>
    <m/>
    <m/>
    <s v="완료"/>
    <n v="18000"/>
  </r>
  <r>
    <d v="2026-04-24T00:00:00"/>
    <s v="금"/>
    <s v="E3"/>
    <s v="렘브 204"/>
    <n v="1"/>
    <x v="7"/>
    <m/>
    <m/>
    <s v="완료"/>
    <n v="18000"/>
  </r>
  <r>
    <d v="2026-04-24T00:00:00"/>
    <s v="금"/>
    <s v="E5"/>
    <s v="동구햇살 1203"/>
    <s v="복"/>
    <x v="8"/>
    <m/>
    <m/>
    <s v="완료"/>
    <n v="20000"/>
  </r>
  <r>
    <d v="2026-04-24T00:00:00"/>
    <s v="금"/>
    <s v="J2"/>
    <s v="은성 603"/>
    <n v="1"/>
    <x v="1"/>
    <m/>
    <m/>
    <s v="완료"/>
    <n v="18000"/>
  </r>
  <r>
    <d v="2026-04-24T00:00:00"/>
    <s v="금"/>
    <s v="U34"/>
    <s v="성우 304"/>
    <n v="2"/>
    <x v="1"/>
    <m/>
    <m/>
    <s v="완료"/>
    <n v="23000"/>
  </r>
  <r>
    <d v="2026-04-24T00:00:00"/>
    <s v="금"/>
    <s v="D4"/>
    <s v="청광3차 806"/>
    <n v="1"/>
    <x v="9"/>
    <m/>
    <m/>
    <s v="완료"/>
    <n v="18000"/>
  </r>
  <r>
    <d v="2026-04-24T00:00:00"/>
    <s v="금"/>
    <s v="H25"/>
    <s v="오금스타 205"/>
    <n v="1"/>
    <x v="10"/>
    <m/>
    <m/>
    <s v="완료"/>
    <n v="18000"/>
  </r>
  <r>
    <d v="2026-04-24T00:00:00"/>
    <s v="금"/>
    <s v="T46"/>
    <s v="센텀 2차 406"/>
    <n v="1.5"/>
    <x v="0"/>
    <m/>
    <m/>
    <s v="완료"/>
    <n v="20000"/>
  </r>
  <r>
    <d v="2026-04-24T00:00:00"/>
    <s v="금"/>
    <s v="T51"/>
    <s v="센텀 2차 501"/>
    <n v="1.5"/>
    <x v="0"/>
    <m/>
    <m/>
    <s v="완료"/>
    <n v="20000"/>
  </r>
  <r>
    <d v="2026-04-24T00:00:00"/>
    <s v="금"/>
    <s v="K1"/>
    <s v="선일 101"/>
    <n v="2"/>
    <x v="0"/>
    <s v="긴급"/>
    <m/>
    <s v="완료"/>
    <n v="35000"/>
  </r>
  <r>
    <d v="2026-04-24T00:00:00"/>
    <s v="금"/>
    <s v="F1"/>
    <s v="한양립스 503"/>
    <n v="1"/>
    <x v="4"/>
    <m/>
    <m/>
    <s v="완료"/>
    <n v="18000"/>
  </r>
  <r>
    <d v="2026-04-24T00:00:00"/>
    <s v="금"/>
    <s v="F2"/>
    <s v="오앤 401"/>
    <n v="1"/>
    <x v="4"/>
    <m/>
    <m/>
    <s v="완료"/>
    <n v="18000"/>
  </r>
  <r>
    <d v="2026-04-24T00:00:00"/>
    <s v="금"/>
    <s v="U51"/>
    <s v="성우 501"/>
    <n v="2"/>
    <x v="3"/>
    <m/>
    <m/>
    <s v="완료"/>
    <n v="23000"/>
  </r>
  <r>
    <d v="2026-04-24T00:00:00"/>
    <s v="금"/>
    <s v="U83"/>
    <s v="성우 803"/>
    <n v="3"/>
    <x v="3"/>
    <m/>
    <m/>
    <s v="완료"/>
    <n v="30000"/>
  </r>
  <r>
    <d v="2026-04-24T00:00:00"/>
    <s v="금"/>
    <s v="V13"/>
    <s v="대치동 103호"/>
    <n v="1.5"/>
    <x v="6"/>
    <m/>
    <m/>
    <s v="완료"/>
    <n v="20000"/>
  </r>
  <r>
    <d v="2026-04-24T00:00:00"/>
    <s v="금"/>
    <s v="B34"/>
    <s v="더하임 304"/>
    <n v="1"/>
    <x v="1"/>
    <m/>
    <m/>
    <s v="완료"/>
    <n v="18000"/>
  </r>
  <r>
    <d v="2026-04-24T00:00:00"/>
    <s v="금"/>
    <s v="C"/>
    <s v="청광1차 207"/>
    <n v="0"/>
    <x v="0"/>
    <m/>
    <m/>
    <s v="완료"/>
    <n v="10000"/>
  </r>
  <r>
    <d v="2026-04-25T00:00:00"/>
    <s v="토"/>
    <s v="T46"/>
    <s v="센텀 2차 406"/>
    <n v="1.5"/>
    <x v="1"/>
    <m/>
    <m/>
    <s v="완료"/>
    <n v="20000"/>
  </r>
  <r>
    <d v="2026-04-25T00:00:00"/>
    <s v="토"/>
    <s v="A24"/>
    <s v="예건 204"/>
    <n v="1"/>
    <x v="1"/>
    <m/>
    <m/>
    <s v="완료"/>
    <n v="18000"/>
  </r>
  <r>
    <d v="2026-04-25T00:00:00"/>
    <s v="토"/>
    <s v="A25"/>
    <s v="예건 205"/>
    <n v="1"/>
    <x v="1"/>
    <m/>
    <m/>
    <s v="완료"/>
    <n v="18000"/>
  </r>
  <r>
    <d v="2026-04-25T00:00:00"/>
    <s v="토"/>
    <s v="B103"/>
    <s v="더하임 1003"/>
    <n v="1"/>
    <x v="7"/>
    <m/>
    <m/>
    <s v="완료"/>
    <n v="18000"/>
  </r>
  <r>
    <d v="2026-04-25T00:00:00"/>
    <s v="토"/>
    <s v="B105"/>
    <s v="더하임 1005"/>
    <n v="1"/>
    <x v="8"/>
    <m/>
    <m/>
    <s v="완료"/>
    <n v="18000"/>
  </r>
  <r>
    <d v="2026-04-25T00:00:00"/>
    <s v="토"/>
    <s v="B24"/>
    <s v="더하임 204"/>
    <n v="1"/>
    <x v="9"/>
    <m/>
    <m/>
    <s v="완료"/>
    <n v="18000"/>
  </r>
  <r>
    <d v="2026-04-25T00:00:00"/>
    <s v="토"/>
    <s v="B34"/>
    <s v="더하임 304"/>
    <n v="1"/>
    <x v="11"/>
    <m/>
    <m/>
    <s v="완료"/>
    <n v="18000"/>
  </r>
  <r>
    <d v="2026-04-25T00:00:00"/>
    <s v="토"/>
    <s v="B94"/>
    <s v="더하임 904"/>
    <n v="1"/>
    <x v="11"/>
    <m/>
    <m/>
    <s v="완료"/>
    <n v="18000"/>
  </r>
  <r>
    <d v="2026-04-25T00:00:00"/>
    <s v="토"/>
    <s v="D4"/>
    <s v="청광3차 806"/>
    <n v="1"/>
    <x v="11"/>
    <m/>
    <m/>
    <s v="완료"/>
    <n v="18000"/>
  </r>
  <r>
    <d v="2026-04-25T00:00:00"/>
    <s v="토"/>
    <s v="E5"/>
    <s v="동구햇살 1203"/>
    <s v="복"/>
    <x v="0"/>
    <m/>
    <m/>
    <s v="완료"/>
    <n v="20000"/>
  </r>
  <r>
    <d v="2026-04-25T00:00:00"/>
    <s v="토"/>
    <s v="F1"/>
    <s v="한양립스 503"/>
    <n v="1"/>
    <x v="0"/>
    <m/>
    <m/>
    <s v="완료"/>
    <n v="18000"/>
  </r>
  <r>
    <d v="2026-04-25T00:00:00"/>
    <s v="토"/>
    <s v="F2"/>
    <s v="오앤 401"/>
    <n v="1"/>
    <x v="0"/>
    <m/>
    <m/>
    <s v="완료"/>
    <n v="18000"/>
  </r>
  <r>
    <d v="2026-04-25T00:00:00"/>
    <s v="토"/>
    <s v="L5"/>
    <s v="하람휴 1001"/>
    <n v="2"/>
    <x v="5"/>
    <m/>
    <m/>
    <s v="완료"/>
    <n v="23000"/>
  </r>
  <r>
    <d v="2026-04-25T00:00:00"/>
    <s v="토"/>
    <s v="J2"/>
    <s v="은성 603"/>
    <n v="1"/>
    <x v="3"/>
    <m/>
    <m/>
    <s v="완료"/>
    <n v="18000"/>
  </r>
  <r>
    <d v="2026-04-25T00:00:00"/>
    <s v="토"/>
    <s v="U83"/>
    <s v="성우 803"/>
    <n v="3"/>
    <x v="3"/>
    <m/>
    <m/>
    <s v="완료"/>
    <n v="30000"/>
  </r>
  <r>
    <d v="2026-04-25T00:00:00"/>
    <s v="토"/>
    <s v="V13"/>
    <s v="대치동 103호"/>
    <n v="1.5"/>
    <x v="6"/>
    <m/>
    <m/>
    <s v="완료"/>
    <n v="20000"/>
  </r>
  <r>
    <d v="2026-04-25T00:00:00"/>
    <s v="토"/>
    <s v="A22"/>
    <s v="예건 202"/>
    <n v="1"/>
    <x v="0"/>
    <m/>
    <m/>
    <s v="완료"/>
    <n v="18000"/>
  </r>
  <r>
    <d v="2026-04-25T00:00:00"/>
    <s v="토"/>
    <s v="C"/>
    <s v="청광1차 207"/>
    <n v="0"/>
    <x v="0"/>
    <m/>
    <m/>
    <s v="완료"/>
    <n v="10000"/>
  </r>
  <r>
    <d v="2026-04-26T00:00:00"/>
    <s v="일"/>
    <s v="A25"/>
    <s v="예건 205"/>
    <n v="1"/>
    <x v="3"/>
    <m/>
    <m/>
    <s v="완료"/>
    <n v="18000"/>
  </r>
  <r>
    <d v="2026-04-26T00:00:00"/>
    <s v="일"/>
    <s v="U24"/>
    <s v="성우 204"/>
    <n v="2"/>
    <x v="3"/>
    <m/>
    <m/>
    <s v="완료"/>
    <n v="23000"/>
  </r>
  <r>
    <d v="2026-04-26T00:00:00"/>
    <s v="일"/>
    <s v="U34"/>
    <s v="성우 304"/>
    <n v="2"/>
    <x v="3"/>
    <m/>
    <m/>
    <s v="완료"/>
    <n v="23000"/>
  </r>
  <r>
    <d v="2026-04-26T00:00:00"/>
    <s v="일"/>
    <s v="U51"/>
    <s v="성우 501"/>
    <n v="2"/>
    <x v="3"/>
    <m/>
    <m/>
    <s v="완료"/>
    <n v="23000"/>
  </r>
  <r>
    <d v="2026-04-26T00:00:00"/>
    <s v="일"/>
    <s v="B103"/>
    <s v="더하임 1003"/>
    <n v="1"/>
    <x v="11"/>
    <m/>
    <m/>
    <s v="완료"/>
    <n v="18000"/>
  </r>
  <r>
    <d v="2026-04-26T00:00:00"/>
    <s v="일"/>
    <s v="B104"/>
    <s v="더하임 1004"/>
    <n v="1"/>
    <x v="11"/>
    <m/>
    <m/>
    <s v="완료"/>
    <n v="18000"/>
  </r>
  <r>
    <d v="2026-04-26T00:00:00"/>
    <s v="일"/>
    <s v="B24"/>
    <s v="더하임 204"/>
    <n v="1"/>
    <x v="11"/>
    <m/>
    <m/>
    <s v="완료"/>
    <n v="18000"/>
  </r>
  <r>
    <d v="2026-04-26T00:00:00"/>
    <s v="일"/>
    <s v="B34"/>
    <s v="더하임 304"/>
    <n v="1"/>
    <x v="11"/>
    <m/>
    <m/>
    <s v="완료"/>
    <n v="18000"/>
  </r>
  <r>
    <d v="2026-04-26T00:00:00"/>
    <s v="일"/>
    <s v="B35"/>
    <s v="더하임 305"/>
    <n v="1"/>
    <x v="11"/>
    <m/>
    <m/>
    <s v="완료"/>
    <n v="18000"/>
  </r>
  <r>
    <d v="2026-04-26T00:00:00"/>
    <s v="일"/>
    <s v="J2"/>
    <s v="은성 603"/>
    <n v="1"/>
    <x v="1"/>
    <m/>
    <m/>
    <s v="완료"/>
    <n v="18000"/>
  </r>
  <r>
    <d v="2026-04-26T00:00:00"/>
    <s v="일"/>
    <s v="D4"/>
    <s v="청광3차 806"/>
    <n v="1"/>
    <x v="1"/>
    <m/>
    <m/>
    <s v="완료"/>
    <n v="18000"/>
  </r>
  <r>
    <d v="2026-04-26T00:00:00"/>
    <s v="일"/>
    <s v="E3"/>
    <s v="렘브 204"/>
    <n v="1"/>
    <x v="1"/>
    <m/>
    <m/>
    <s v="완료"/>
    <n v="18000"/>
  </r>
  <r>
    <d v="2026-04-26T00:00:00"/>
    <s v="일"/>
    <s v="E5"/>
    <s v="동구햇살 1203"/>
    <s v="복"/>
    <x v="1"/>
    <m/>
    <m/>
    <s v="완료"/>
    <n v="20000"/>
  </r>
  <r>
    <d v="2026-04-26T00:00:00"/>
    <s v="일"/>
    <s v="B94"/>
    <s v="더하임 904"/>
    <n v="1"/>
    <x v="0"/>
    <m/>
    <m/>
    <s v="완료"/>
    <n v="18000"/>
  </r>
  <r>
    <d v="2026-04-26T00:00:00"/>
    <s v="일"/>
    <s v="B95"/>
    <s v="더하임 905"/>
    <n v="1"/>
    <x v="0"/>
    <m/>
    <m/>
    <s v="완료"/>
    <n v="18000"/>
  </r>
  <r>
    <d v="2026-04-26T00:00:00"/>
    <s v="일"/>
    <s v="F1"/>
    <s v="한양립스 503"/>
    <n v="1"/>
    <x v="0"/>
    <m/>
    <m/>
    <s v="완료"/>
    <n v="18000"/>
  </r>
  <r>
    <d v="2026-04-26T00:00:00"/>
    <s v="일"/>
    <s v="F2"/>
    <s v="오앤 401"/>
    <n v="1"/>
    <x v="0"/>
    <m/>
    <m/>
    <s v="완료"/>
    <n v="18000"/>
  </r>
  <r>
    <d v="2026-04-26T00:00:00"/>
    <s v="일"/>
    <s v="T46"/>
    <s v="센텀 2차 406"/>
    <n v="1.5"/>
    <x v="0"/>
    <m/>
    <m/>
    <s v="완료"/>
    <n v="20000"/>
  </r>
  <r>
    <d v="2026-04-26T00:00:00"/>
    <s v="일"/>
    <s v="T51"/>
    <s v="센텀 2차 501"/>
    <n v="1.5"/>
    <x v="3"/>
    <m/>
    <m/>
    <s v="완료"/>
    <n v="20000"/>
  </r>
  <r>
    <d v="2026-04-26T00:00:00"/>
    <s v="일"/>
    <s v="V11"/>
    <s v="대치동 101호"/>
    <n v="2"/>
    <x v="6"/>
    <m/>
    <m/>
    <s v="완료"/>
    <n v="23000"/>
  </r>
  <r>
    <d v="2026-04-26T00:00:00"/>
    <s v="일"/>
    <s v="V13"/>
    <s v="대치동 103호"/>
    <n v="1.5"/>
    <x v="6"/>
    <m/>
    <m/>
    <s v="완료"/>
    <n v="24000"/>
  </r>
  <r>
    <d v="2026-04-26T00:00:00"/>
    <s v="일"/>
    <s v="C"/>
    <s v="청광1차 207"/>
    <n v="0"/>
    <x v="0"/>
    <m/>
    <m/>
    <s v="완료"/>
    <n v="10000"/>
  </r>
  <r>
    <d v="2026-04-27T00:00:00"/>
    <s v="월"/>
    <s v="A92"/>
    <s v="예건 902"/>
    <n v="1"/>
    <x v="1"/>
    <m/>
    <m/>
    <m/>
    <n v="18000"/>
  </r>
  <r>
    <d v="2026-04-27T00:00:00"/>
    <s v="월"/>
    <s v="B24"/>
    <s v="더하임 204"/>
    <n v="1"/>
    <x v="2"/>
    <m/>
    <m/>
    <m/>
    <n v="18000"/>
  </r>
  <r>
    <d v="2026-04-27T00:00:00"/>
    <s v="월"/>
    <s v="B35"/>
    <s v="더하임 305"/>
    <n v="1"/>
    <x v="2"/>
    <m/>
    <m/>
    <m/>
    <n v="18000"/>
  </r>
  <r>
    <d v="2026-04-27T00:00:00"/>
    <s v="월"/>
    <s v="T51"/>
    <s v="센텀 2차 501"/>
    <n v="1.5"/>
    <x v="3"/>
    <m/>
    <m/>
    <m/>
    <n v="20000"/>
  </r>
  <r>
    <d v="2026-04-27T00:00:00"/>
    <s v="월"/>
    <s v="C7"/>
    <s v="길동다성 506"/>
    <n v="1"/>
    <x v="3"/>
    <s v="장기"/>
    <m/>
    <m/>
    <n v="23000"/>
  </r>
  <r>
    <d v="2026-04-27T00:00:00"/>
    <s v="월"/>
    <s v="E1"/>
    <s v="르센티 1801"/>
    <s v="복"/>
    <x v="9"/>
    <m/>
    <m/>
    <m/>
    <n v="20000"/>
  </r>
  <r>
    <d v="2026-04-27T00:00:00"/>
    <s v="월"/>
    <s v="D4"/>
    <s v="청광3차 806"/>
    <n v="1"/>
    <x v="8"/>
    <m/>
    <m/>
    <m/>
    <n v="18000"/>
  </r>
  <r>
    <d v="2026-04-27T00:00:00"/>
    <s v="월"/>
    <s v="D1"/>
    <s v="청광3차 1416"/>
    <n v="1"/>
    <x v="0"/>
    <m/>
    <m/>
    <m/>
    <n v="18000"/>
  </r>
  <r>
    <d v="2026-04-27T00:00:00"/>
    <s v="월"/>
    <s v="F2"/>
    <s v="오앤 401"/>
    <n v="1"/>
    <x v="4"/>
    <m/>
    <m/>
    <m/>
    <n v="18000"/>
  </r>
  <r>
    <d v="2026-04-27T00:00:00"/>
    <s v="월"/>
    <s v="H25"/>
    <s v="오금스타 205"/>
    <n v="1"/>
    <x v="10"/>
    <m/>
    <m/>
    <m/>
    <n v="18000"/>
  </r>
  <r>
    <d v="2026-04-27T00:00:00"/>
    <s v="월"/>
    <s v="C"/>
    <s v="청광1차 207"/>
    <n v="0"/>
    <x v="0"/>
    <m/>
    <m/>
    <m/>
    <n v="1000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d v="2026-04-28T00:00:00"/>
    <s v="화"/>
    <s v="B106"/>
    <s v="더하임 1006"/>
    <n v="1.5"/>
    <x v="0"/>
    <m/>
    <m/>
    <s v="완료"/>
    <n v="20000"/>
  </r>
  <r>
    <d v="2026-04-29T00:00:00"/>
    <s v="수"/>
    <s v="B104"/>
    <s v="더하임 1004"/>
    <n v="1"/>
    <x v="0"/>
    <m/>
    <m/>
    <s v="완료"/>
    <n v="18000"/>
  </r>
  <r>
    <d v="2026-04-29T00:00:00"/>
    <s v="수"/>
    <s v="B105"/>
    <s v="더하임 1005"/>
    <n v="1"/>
    <x v="0"/>
    <m/>
    <m/>
    <s v="완료"/>
    <n v="18000"/>
  </r>
  <r>
    <d v="2026-04-29T00:00:00"/>
    <s v="수"/>
    <s v="S1"/>
    <s v="미사아름채 1310호"/>
    <n v="1.5"/>
    <x v="0"/>
    <m/>
    <m/>
    <s v="완료"/>
    <n v="20000"/>
  </r>
  <r>
    <d v="2026-04-29T00:00:00"/>
    <s v="수"/>
    <s v="B91"/>
    <s v="더하임 901"/>
    <n v="1"/>
    <x v="1"/>
    <m/>
    <m/>
    <s v="완료"/>
    <n v="18000"/>
  </r>
  <r>
    <d v="2026-04-29T00:00:00"/>
    <s v="수"/>
    <s v="B95"/>
    <s v="더하임 905"/>
    <n v="1"/>
    <x v="2"/>
    <m/>
    <m/>
    <s v="완료"/>
    <n v="18000"/>
  </r>
  <r>
    <d v="2026-04-29T00:00:00"/>
    <s v="수"/>
    <s v="D1"/>
    <s v="청광3차 1416"/>
    <n v="1"/>
    <x v="3"/>
    <m/>
    <m/>
    <s v="완료"/>
    <n v="18000"/>
  </r>
  <r>
    <d v="2026-04-29T00:00:00"/>
    <s v="수"/>
    <s v="G2"/>
    <s v="si 502"/>
    <n v="1"/>
    <x v="4"/>
    <m/>
    <m/>
    <s v="완료"/>
    <n v="25000"/>
  </r>
  <r>
    <d v="2026-04-29T00:00:00"/>
    <s v="수"/>
    <s v="F2"/>
    <s v="오앤 401"/>
    <n v="1"/>
    <x v="4"/>
    <m/>
    <m/>
    <s v="완료"/>
    <n v="18000"/>
  </r>
  <r>
    <d v="2026-04-29T00:00:00"/>
    <s v="수"/>
    <s v="J2"/>
    <s v="은성 603"/>
    <n v="1"/>
    <x v="5"/>
    <m/>
    <m/>
    <s v="완료"/>
    <n v="18000"/>
  </r>
  <r>
    <d v="2026-04-29T00:00:00"/>
    <s v="수"/>
    <s v="L3"/>
    <s v="하람휴 1102"/>
    <n v="2"/>
    <x v="6"/>
    <m/>
    <m/>
    <s v="완료"/>
    <n v="23000"/>
  </r>
  <r>
    <d v="2026-04-29T00:00:00"/>
    <s v="수"/>
    <s v="V13"/>
    <s v="대치동 103호"/>
    <n v="1.5"/>
    <x v="7"/>
    <m/>
    <m/>
    <s v="완료"/>
    <n v="20000"/>
  </r>
  <r>
    <d v="2026-04-29T00:00:00"/>
    <s v="수"/>
    <s v="C"/>
    <s v="청광1차 207"/>
    <n v="0"/>
    <x v="0"/>
    <m/>
    <m/>
    <s v="완료"/>
    <n v="10000"/>
  </r>
  <r>
    <d v="2026-04-30T00:00:00"/>
    <s v="목"/>
    <s v="A22"/>
    <s v="예건 202"/>
    <n v="1"/>
    <x v="1"/>
    <m/>
    <m/>
    <s v="완료"/>
    <n v="18000"/>
  </r>
  <r>
    <d v="2026-04-30T00:00:00"/>
    <s v="목"/>
    <s v="B103"/>
    <s v="더하임 1003"/>
    <n v="1"/>
    <x v="0"/>
    <m/>
    <m/>
    <s v="완료"/>
    <n v="18000"/>
  </r>
  <r>
    <d v="2026-04-30T00:00:00"/>
    <s v="목"/>
    <s v="B23"/>
    <s v="더하임 203"/>
    <n v="1"/>
    <x v="0"/>
    <m/>
    <m/>
    <s v="완료"/>
    <n v="18000"/>
  </r>
  <r>
    <d v="2026-04-30T00:00:00"/>
    <s v="목"/>
    <s v="B24"/>
    <s v="더하임 204"/>
    <n v="1"/>
    <x v="0"/>
    <m/>
    <m/>
    <s v="완료"/>
    <n v="18000"/>
  </r>
  <r>
    <d v="2026-04-30T00:00:00"/>
    <s v="목"/>
    <s v="F2"/>
    <s v="오앤 401"/>
    <n v="1"/>
    <x v="0"/>
    <m/>
    <m/>
    <s v="완료"/>
    <n v="18000"/>
  </r>
  <r>
    <d v="2026-04-30T00:00:00"/>
    <s v="목"/>
    <s v="T46"/>
    <s v="센텀 2차 406"/>
    <n v="1.5"/>
    <x v="3"/>
    <m/>
    <m/>
    <s v="완료"/>
    <n v="20000"/>
  </r>
  <r>
    <d v="2026-04-30T00:00:00"/>
    <s v="목"/>
    <s v="D6"/>
    <s v="청광3차 1412"/>
    <n v="1"/>
    <x v="1"/>
    <m/>
    <m/>
    <s v="완료"/>
    <n v="28000"/>
  </r>
  <r>
    <d v="2026-04-30T00:00:00"/>
    <s v="목"/>
    <s v="G2"/>
    <s v="si 502"/>
    <n v="1"/>
    <x v="2"/>
    <m/>
    <m/>
    <s v="완료"/>
    <n v="20000"/>
  </r>
  <r>
    <d v="2026-04-30T00:00:00"/>
    <s v="목"/>
    <s v="V12"/>
    <s v="대치동 102호"/>
    <n v="1"/>
    <x v="7"/>
    <m/>
    <m/>
    <s v="완료"/>
    <n v="26500"/>
  </r>
  <r>
    <d v="2026-04-30T00:00:00"/>
    <s v="목"/>
    <s v="C"/>
    <s v="청광1차 207"/>
    <n v="0"/>
    <x v="0"/>
    <m/>
    <m/>
    <s v="완료"/>
    <n v="10000"/>
  </r>
  <r>
    <d v="2026-05-01T00:00:00"/>
    <s v="금"/>
    <s v="B91"/>
    <s v="더하임 901"/>
    <n v="1"/>
    <x v="2"/>
    <m/>
    <m/>
    <s v="완료"/>
    <n v="18000"/>
  </r>
  <r>
    <d v="2026-05-01T00:00:00"/>
    <s v="금"/>
    <s v="B103"/>
    <s v="더하임 1003"/>
    <n v="1"/>
    <x v="8"/>
    <m/>
    <m/>
    <s v="완료"/>
    <n v="18000"/>
  </r>
  <r>
    <d v="2026-05-01T00:00:00"/>
    <s v="금"/>
    <s v="B104"/>
    <s v="더하임 1004"/>
    <n v="1"/>
    <x v="8"/>
    <m/>
    <m/>
    <s v="완료"/>
    <n v="18000"/>
  </r>
  <r>
    <d v="2026-05-01T00:00:00"/>
    <s v="금"/>
    <s v="B105"/>
    <s v="더하임 1005"/>
    <n v="1"/>
    <x v="1"/>
    <m/>
    <m/>
    <s v="완료"/>
    <n v="18000"/>
  </r>
  <r>
    <d v="2026-05-01T00:00:00"/>
    <s v="금"/>
    <s v="B23"/>
    <s v="더하임 203"/>
    <n v="1"/>
    <x v="1"/>
    <m/>
    <m/>
    <s v="완료"/>
    <n v="18000"/>
  </r>
  <r>
    <d v="2026-05-01T00:00:00"/>
    <s v="금"/>
    <s v="B24"/>
    <s v="더하임 204"/>
    <n v="1"/>
    <x v="1"/>
    <m/>
    <m/>
    <s v="완료"/>
    <n v="18000"/>
  </r>
  <r>
    <d v="2026-05-01T00:00:00"/>
    <s v="금"/>
    <s v="D4"/>
    <s v="청광3차 806"/>
    <n v="1"/>
    <x v="3"/>
    <m/>
    <m/>
    <s v="완료"/>
    <n v="18000"/>
  </r>
  <r>
    <d v="2026-05-01T00:00:00"/>
    <s v="금"/>
    <s v="E1"/>
    <s v="르센티 1801"/>
    <s v="복"/>
    <x v="3"/>
    <m/>
    <m/>
    <s v="완료"/>
    <n v="20000"/>
  </r>
  <r>
    <d v="2026-05-01T00:00:00"/>
    <s v="금"/>
    <s v="F2"/>
    <s v="오앤 401"/>
    <n v="1"/>
    <x v="3"/>
    <m/>
    <m/>
    <s v="완료"/>
    <n v="18000"/>
  </r>
  <r>
    <d v="2026-05-01T00:00:00"/>
    <s v="금"/>
    <s v="H25"/>
    <s v="오금스타 205"/>
    <n v="1"/>
    <x v="4"/>
    <m/>
    <m/>
    <s v="완료"/>
    <n v="30000"/>
  </r>
  <r>
    <d v="2026-05-01T00:00:00"/>
    <s v="금"/>
    <s v="H33"/>
    <s v="오금스타 303"/>
    <n v="1"/>
    <x v="4"/>
    <m/>
    <m/>
    <s v="완료"/>
    <n v="30000"/>
  </r>
  <r>
    <d v="2026-05-01T00:00:00"/>
    <s v="금"/>
    <s v="J2"/>
    <s v="은성 603"/>
    <n v="1"/>
    <x v="5"/>
    <m/>
    <m/>
    <s v="완료"/>
    <n v="18000"/>
  </r>
  <r>
    <d v="2026-05-01T00:00:00"/>
    <s v="금"/>
    <s v="U24"/>
    <s v="성우 204"/>
    <n v="2"/>
    <x v="5"/>
    <m/>
    <m/>
    <s v="완료"/>
    <n v="23000"/>
  </r>
  <r>
    <d v="2026-05-01T00:00:00"/>
    <s v="금"/>
    <s v="U51"/>
    <s v="성우 501"/>
    <n v="2"/>
    <x v="5"/>
    <m/>
    <m/>
    <s v="완료"/>
    <n v="23000"/>
  </r>
  <r>
    <d v="2026-05-01T00:00:00"/>
    <s v="금"/>
    <s v="S1"/>
    <s v="미사아름채 1310호"/>
    <n v="1.5"/>
    <x v="5"/>
    <m/>
    <m/>
    <s v="완료"/>
    <n v="20000"/>
  </r>
  <r>
    <d v="2026-05-01T00:00:00"/>
    <s v="금"/>
    <s v="V13"/>
    <s v="대치동 103호"/>
    <n v="1.5"/>
    <x v="7"/>
    <m/>
    <m/>
    <s v="완료"/>
    <n v="20000"/>
  </r>
  <r>
    <d v="2026-05-01T00:00:00"/>
    <s v="금"/>
    <s v="C"/>
    <s v="청광1차 207"/>
    <n v="0"/>
    <x v="4"/>
    <m/>
    <m/>
    <s v="완료"/>
    <n v="5000"/>
  </r>
  <r>
    <d v="2026-05-01T00:00:00"/>
    <s v="금"/>
    <s v="C"/>
    <s v="청광1차 207"/>
    <n v="0"/>
    <x v="3"/>
    <m/>
    <m/>
    <s v="완료"/>
    <n v="5000"/>
  </r>
  <r>
    <d v="2026-05-01T00:00:00"/>
    <s v="금"/>
    <s v="B76"/>
    <s v="더하임 706"/>
    <n v="1.5"/>
    <x v="2"/>
    <m/>
    <m/>
    <s v="완료"/>
    <n v="20000"/>
  </r>
  <r>
    <d v="2026-05-02T00:00:00"/>
    <s v="토"/>
    <s v="A24"/>
    <s v="예건 204"/>
    <n v="1"/>
    <x v="5"/>
    <m/>
    <m/>
    <s v="완료"/>
    <n v="18000"/>
  </r>
  <r>
    <d v="2026-05-02T00:00:00"/>
    <s v="토"/>
    <s v="U51"/>
    <s v="성우 501"/>
    <n v="2"/>
    <x v="5"/>
    <m/>
    <m/>
    <s v="완료"/>
    <n v="23000"/>
  </r>
  <r>
    <d v="2026-05-02T00:00:00"/>
    <s v="토"/>
    <s v="D6"/>
    <s v="청광3차 1412"/>
    <n v="1"/>
    <x v="5"/>
    <m/>
    <m/>
    <s v="완료"/>
    <n v="18000"/>
  </r>
  <r>
    <d v="2026-05-02T00:00:00"/>
    <s v="토"/>
    <s v="B105"/>
    <s v="더하임 1005"/>
    <n v="1"/>
    <x v="3"/>
    <m/>
    <m/>
    <s v="완료"/>
    <n v="18000"/>
  </r>
  <r>
    <d v="2026-05-02T00:00:00"/>
    <s v="토"/>
    <s v="B23"/>
    <s v="더하임 203"/>
    <n v="1"/>
    <x v="4"/>
    <m/>
    <m/>
    <s v="완료"/>
    <n v="18000"/>
  </r>
  <r>
    <d v="2026-05-02T00:00:00"/>
    <s v="토"/>
    <s v="B24"/>
    <s v="더하임 204"/>
    <n v="1"/>
    <x v="3"/>
    <m/>
    <m/>
    <s v="완료"/>
    <n v="18000"/>
  </r>
  <r>
    <d v="2026-05-02T00:00:00"/>
    <s v="토"/>
    <s v="B94"/>
    <s v="더하임 904"/>
    <n v="1"/>
    <x v="3"/>
    <m/>
    <m/>
    <s v="완료"/>
    <n v="18000"/>
  </r>
  <r>
    <d v="2026-05-02T00:00:00"/>
    <s v="토"/>
    <s v="F2"/>
    <s v="오앤 401"/>
    <n v="1"/>
    <x v="0"/>
    <m/>
    <m/>
    <s v="완료"/>
    <n v="18000"/>
  </r>
  <r>
    <d v="2026-05-02T00:00:00"/>
    <s v="토"/>
    <s v="F3"/>
    <s v="태상 501"/>
    <n v="2"/>
    <x v="0"/>
    <m/>
    <m/>
    <s v="완료"/>
    <n v="23000"/>
  </r>
  <r>
    <d v="2026-05-02T00:00:00"/>
    <s v="토"/>
    <s v="U24"/>
    <s v="성우 204"/>
    <n v="2"/>
    <x v="2"/>
    <m/>
    <m/>
    <s v="완료"/>
    <n v="23000"/>
  </r>
  <r>
    <d v="2026-05-02T00:00:00"/>
    <s v="토"/>
    <s v="U42"/>
    <s v="성우 402"/>
    <n v="3"/>
    <x v="2"/>
    <m/>
    <m/>
    <s v="완료"/>
    <n v="30000"/>
  </r>
  <r>
    <d v="2026-05-02T00:00:00"/>
    <s v="토"/>
    <s v="C"/>
    <s v="청광1차 207"/>
    <n v="0"/>
    <x v="0"/>
    <m/>
    <m/>
    <s v="완료"/>
    <n v="10000"/>
  </r>
  <r>
    <d v="2026-05-03T00:00:00"/>
    <s v="일"/>
    <s v="B103"/>
    <s v="더하임 1003"/>
    <n v="1"/>
    <x v="1"/>
    <m/>
    <m/>
    <s v="완료"/>
    <n v="18000"/>
  </r>
  <r>
    <d v="2026-05-03T00:00:00"/>
    <s v="일"/>
    <s v="B105"/>
    <s v="더하임 1005"/>
    <n v="1"/>
    <x v="1"/>
    <m/>
    <m/>
    <s v="완료"/>
    <n v="18000"/>
  </r>
  <r>
    <d v="2026-05-03T00:00:00"/>
    <s v="일"/>
    <s v="B23"/>
    <s v="더하임 203"/>
    <n v="1"/>
    <x v="0"/>
    <m/>
    <m/>
    <s v="완료"/>
    <n v="18000"/>
  </r>
  <r>
    <d v="2026-05-03T00:00:00"/>
    <s v="일"/>
    <s v="B76"/>
    <s v="더하임 706"/>
    <n v="1.5"/>
    <x v="0"/>
    <m/>
    <m/>
    <s v="완료"/>
    <n v="20000"/>
  </r>
  <r>
    <d v="2026-05-03T00:00:00"/>
    <s v="일"/>
    <s v="C6"/>
    <s v="청광1차 1303"/>
    <n v="1"/>
    <x v="0"/>
    <m/>
    <m/>
    <s v="완료"/>
    <n v="18000"/>
  </r>
  <r>
    <d v="2026-05-03T00:00:00"/>
    <s v="일"/>
    <s v="E1"/>
    <s v="르센티 1801"/>
    <s v="복"/>
    <x v="0"/>
    <m/>
    <m/>
    <s v="완료"/>
    <n v="20000"/>
  </r>
  <r>
    <d v="2026-05-03T00:00:00"/>
    <s v="일"/>
    <s v="D1"/>
    <s v="청광3차 1416"/>
    <n v="1"/>
    <x v="3"/>
    <m/>
    <m/>
    <s v="완료"/>
    <n v="18000"/>
  </r>
  <r>
    <d v="2026-05-03T00:00:00"/>
    <s v="일"/>
    <s v="D4"/>
    <s v="청광3차 806"/>
    <n v="1"/>
    <x v="3"/>
    <m/>
    <m/>
    <s v="완료"/>
    <n v="18000"/>
  </r>
  <r>
    <d v="2026-05-03T00:00:00"/>
    <s v="일"/>
    <s v="E3"/>
    <s v="렘브 204"/>
    <n v="1"/>
    <x v="3"/>
    <m/>
    <m/>
    <s v="완료"/>
    <n v="18000"/>
  </r>
  <r>
    <d v="2026-05-03T00:00:00"/>
    <s v="일"/>
    <s v="F2"/>
    <s v="오앤 401"/>
    <n v="1"/>
    <x v="4"/>
    <m/>
    <m/>
    <s v="완료"/>
    <n v="18000"/>
  </r>
  <r>
    <d v="2026-05-03T00:00:00"/>
    <s v="일"/>
    <s v="H25"/>
    <s v="오금스타 205"/>
    <n v="1"/>
    <x v="9"/>
    <m/>
    <m/>
    <s v="완료"/>
    <n v="30000"/>
  </r>
  <r>
    <d v="2026-05-03T00:00:00"/>
    <s v="일"/>
    <s v="H42"/>
    <s v="오금스타 402"/>
    <n v="1"/>
    <x v="9"/>
    <m/>
    <m/>
    <s v="완료"/>
    <n v="30000"/>
  </r>
  <r>
    <d v="2026-05-03T00:00:00"/>
    <s v="일"/>
    <s v="L4"/>
    <s v="하람휴 901"/>
    <n v="2"/>
    <x v="6"/>
    <m/>
    <m/>
    <s v="완료"/>
    <n v="23000"/>
  </r>
  <r>
    <d v="2026-05-03T00:00:00"/>
    <s v="일"/>
    <s v="U24"/>
    <s v="성우 204"/>
    <n v="2"/>
    <x v="5"/>
    <m/>
    <m/>
    <s v="완료"/>
    <n v="23000"/>
  </r>
  <r>
    <d v="2026-05-03T00:00:00"/>
    <s v="일"/>
    <s v="U42"/>
    <s v="성우 402"/>
    <n v="3"/>
    <x v="5"/>
    <m/>
    <m/>
    <s v="완료"/>
    <n v="30000"/>
  </r>
  <r>
    <d v="2026-05-03T00:00:00"/>
    <s v="일"/>
    <s v="U51"/>
    <s v="성우 501"/>
    <n v="2"/>
    <x v="5"/>
    <m/>
    <m/>
    <s v="완료"/>
    <n v="23000"/>
  </r>
  <r>
    <d v="2026-05-03T00:00:00"/>
    <s v="일"/>
    <s v="V13"/>
    <s v="대치동 103호"/>
    <n v="1.5"/>
    <x v="7"/>
    <m/>
    <m/>
    <s v="완료"/>
    <n v="20000"/>
  </r>
  <r>
    <d v="2026-05-03T00:00:00"/>
    <s v="일"/>
    <s v="C"/>
    <s v="청광1차 207"/>
    <n v="0"/>
    <x v="0"/>
    <m/>
    <m/>
    <s v="완료"/>
    <n v="10000"/>
  </r>
  <r>
    <d v="2026-05-04T00:00:00"/>
    <s v="월"/>
    <s v="C6"/>
    <s v="청광1차 1303"/>
    <n v="1"/>
    <x v="3"/>
    <m/>
    <m/>
    <m/>
    <n v="18000"/>
  </r>
  <r>
    <d v="2026-05-04T00:00:00"/>
    <s v="월"/>
    <s v="C7"/>
    <s v="길동다성 506"/>
    <n v="1"/>
    <x v="0"/>
    <m/>
    <m/>
    <m/>
    <n v="18000"/>
  </r>
  <r>
    <d v="2026-05-04T00:00:00"/>
    <s v="월"/>
    <s v="A25"/>
    <s v="예건 205"/>
    <n v="1"/>
    <x v="3"/>
    <m/>
    <m/>
    <m/>
    <n v="18000"/>
  </r>
  <r>
    <d v="2026-05-04T00:00:00"/>
    <s v="월"/>
    <s v="A92"/>
    <s v="예건 902"/>
    <n v="1"/>
    <x v="3"/>
    <m/>
    <m/>
    <m/>
    <n v="18000"/>
  </r>
  <r>
    <d v="2026-05-04T00:00:00"/>
    <s v="월"/>
    <s v="B24"/>
    <s v="더하임 204"/>
    <n v="1"/>
    <x v="2"/>
    <m/>
    <m/>
    <m/>
    <n v="18000"/>
  </r>
  <r>
    <d v="2026-05-04T00:00:00"/>
    <s v="월"/>
    <s v="B76"/>
    <s v="더하임 706"/>
    <n v="1.5"/>
    <x v="2"/>
    <m/>
    <m/>
    <m/>
    <n v="20000"/>
  </r>
  <r>
    <d v="2026-05-04T00:00:00"/>
    <s v="월"/>
    <s v="B91"/>
    <s v="더하임 901"/>
    <n v="1"/>
    <x v="1"/>
    <m/>
    <m/>
    <m/>
    <n v="18000"/>
  </r>
  <r>
    <d v="2026-05-04T00:00:00"/>
    <s v="월"/>
    <s v="B94"/>
    <s v="더하임 904"/>
    <n v="1"/>
    <x v="1"/>
    <m/>
    <m/>
    <m/>
    <n v="18000"/>
  </r>
  <r>
    <d v="2026-05-04T00:00:00"/>
    <s v="월"/>
    <s v="S1"/>
    <s v="미사아름채 1310호"/>
    <n v="1.5"/>
    <x v="1"/>
    <m/>
    <m/>
    <m/>
    <n v="20000"/>
  </r>
  <r>
    <d v="2026-05-04T00:00:00"/>
    <s v="월"/>
    <s v="D4"/>
    <s v="청광3차 806"/>
    <n v="1"/>
    <x v="0"/>
    <m/>
    <m/>
    <m/>
    <n v="18000"/>
  </r>
  <r>
    <d v="2026-05-04T00:00:00"/>
    <s v="월"/>
    <s v="D6"/>
    <s v="청광3차 1412"/>
    <n v="1"/>
    <x v="0"/>
    <m/>
    <m/>
    <m/>
    <n v="18000"/>
  </r>
  <r>
    <d v="2026-05-04T00:00:00"/>
    <s v="월"/>
    <s v="F1"/>
    <s v="한양립스 503"/>
    <n v="1"/>
    <x v="0"/>
    <m/>
    <m/>
    <m/>
    <n v="18000"/>
  </r>
  <r>
    <d v="2026-05-04T00:00:00"/>
    <s v="월"/>
    <s v="F2"/>
    <s v="오앤 401"/>
    <n v="1"/>
    <x v="0"/>
    <m/>
    <m/>
    <m/>
    <n v="18000"/>
  </r>
  <r>
    <d v="2026-05-04T00:00:00"/>
    <s v="월"/>
    <s v="J2"/>
    <s v="은성 603"/>
    <n v="1"/>
    <x v="5"/>
    <m/>
    <m/>
    <m/>
    <n v="18000"/>
  </r>
  <r>
    <d v="2026-05-04T00:00:00"/>
    <s v="월"/>
    <s v="U42"/>
    <s v="성우 402"/>
    <n v="3"/>
    <x v="5"/>
    <m/>
    <m/>
    <m/>
    <n v="30000"/>
  </r>
  <r>
    <d v="2026-05-04T00:00:00"/>
    <s v="월"/>
    <s v="U51"/>
    <s v="성우 501"/>
    <n v="2"/>
    <x v="5"/>
    <m/>
    <m/>
    <m/>
    <n v="23000"/>
  </r>
  <r>
    <d v="2026-05-04T00:00:00"/>
    <s v="월"/>
    <s v="T32"/>
    <s v="센텀 2차 302"/>
    <n v="1.5"/>
    <x v="4"/>
    <m/>
    <m/>
    <m/>
    <n v="15000"/>
  </r>
  <r>
    <d v="2026-05-04T00:00:00"/>
    <s v="월"/>
    <s v="C"/>
    <s v="청광1차 207"/>
    <n v="0"/>
    <x v="0"/>
    <m/>
    <m/>
    <m/>
    <n v="10000"/>
  </r>
  <r>
    <d v="2026-05-04T00:00:00"/>
    <s v="월"/>
    <s v="T32"/>
    <s v="센텀 2차 302"/>
    <n v="1.5"/>
    <x v="3"/>
    <m/>
    <m/>
    <m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E8370-B7DE-4D89-8CEE-BEA3885822EC}" name="피벗 테이블6" cacheId="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D20:E32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2">
        <item x="1"/>
        <item x="9"/>
        <item x="4"/>
        <item x="0"/>
        <item x="7"/>
        <item x="2"/>
        <item x="5"/>
        <item x="3"/>
        <item x="8"/>
        <item x="6"/>
        <item x="10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합계 : 총 금액(B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E480F-7ECB-4F93-96F8-C4D3FCFB7198}" name="피벗 테이블11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G40:H51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1">
        <item x="9"/>
        <item x="2"/>
        <item x="5"/>
        <item x="3"/>
        <item x="0"/>
        <item x="8"/>
        <item x="4"/>
        <item x="6"/>
        <item x="1"/>
        <item x="7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19089-CD90-48F2-ADC1-F59F5F07B384}" name="피벗 테이블9" cacheId="7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>
  <location ref="J20:K32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2">
        <item x="9"/>
        <item x="0"/>
        <item x="5"/>
        <item x="8"/>
        <item x="3"/>
        <item x="6"/>
        <item x="7"/>
        <item x="1"/>
        <item x="2"/>
        <item x="4"/>
        <item x="10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39081-84E7-4AFD-B0DD-337514FC85F3}" name="피벗 테이블12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J40:K53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3">
        <item x="4"/>
        <item x="6"/>
        <item x="1"/>
        <item x="2"/>
        <item x="11"/>
        <item x="3"/>
        <item x="7"/>
        <item x="0"/>
        <item x="8"/>
        <item x="10"/>
        <item x="5"/>
        <item x="9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5481F-5155-4437-97E4-960487E697E2}" name="피벗 테이블5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0:B31" firstHeaderRow="1" firstDataRow="1" firstDataCol="1"/>
  <pivotFields count="12">
    <pivotField numFmtId="177" showAll="0"/>
    <pivotField showAll="0"/>
    <pivotField showAll="0"/>
    <pivotField showAll="0"/>
    <pivotField showAll="0"/>
    <pivotField axis="axisRow" showAll="0">
      <items count="11">
        <item x="1"/>
        <item x="8"/>
        <item x="3"/>
        <item x="4"/>
        <item x="5"/>
        <item x="7"/>
        <item x="0"/>
        <item x="2"/>
        <item x="9"/>
        <item x="6"/>
        <item t="default"/>
      </items>
    </pivotField>
    <pivotField showAll="0"/>
    <pivotField showAll="0"/>
    <pivotField showAll="0"/>
    <pivotField dataField="1" numFmtId="41"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7FCCF-C2DE-41E5-BC3E-84589D8F2A2B}" name="피벗 테이블8" cacheId="8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40:B50" firstHeaderRow="1" firstDataRow="1" firstDataCol="1"/>
  <pivotFields count="12">
    <pivotField numFmtId="177" showAll="0"/>
    <pivotField showAll="0"/>
    <pivotField showAll="0"/>
    <pivotField showAll="0"/>
    <pivotField showAll="0"/>
    <pivotField axis="axisRow" showAll="0">
      <items count="10">
        <item x="3"/>
        <item x="6"/>
        <item x="7"/>
        <item x="2"/>
        <item x="1"/>
        <item x="8"/>
        <item x="0"/>
        <item x="4"/>
        <item x="5"/>
        <item t="default"/>
      </items>
    </pivotField>
    <pivotField showAll="0"/>
    <pivotField showAll="0"/>
    <pivotField showAll="0"/>
    <pivotField dataField="1" numFmtId="41"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합계 : 총 금액(B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12077-FA91-4589-B053-AE12B5E9BA06}" name="피벗 테이블10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D40:E49" firstHeaderRow="1" firstDataRow="1" firstDataCol="1"/>
  <pivotFields count="11">
    <pivotField numFmtId="177" showAll="0"/>
    <pivotField showAll="0"/>
    <pivotField showAll="0"/>
    <pivotField showAll="0">
      <items count="38">
        <item x="26"/>
        <item x="5"/>
        <item x="23"/>
        <item x="31"/>
        <item x="9"/>
        <item x="34"/>
        <item x="35"/>
        <item x="19"/>
        <item x="2"/>
        <item x="20"/>
        <item x="24"/>
        <item x="3"/>
        <item x="12"/>
        <item x="36"/>
        <item x="14"/>
        <item x="13"/>
        <item x="29"/>
        <item x="33"/>
        <item x="18"/>
        <item x="25"/>
        <item x="30"/>
        <item x="16"/>
        <item x="6"/>
        <item x="21"/>
        <item x="7"/>
        <item x="0"/>
        <item x="32"/>
        <item x="17"/>
        <item x="1"/>
        <item x="27"/>
        <item x="22"/>
        <item x="10"/>
        <item x="11"/>
        <item x="28"/>
        <item x="4"/>
        <item x="15"/>
        <item x="8"/>
        <item t="default"/>
      </items>
    </pivotField>
    <pivotField showAll="0"/>
    <pivotField axis="axisRow" showAll="0">
      <items count="9">
        <item x="2"/>
        <item x="5"/>
        <item x="0"/>
        <item x="7"/>
        <item x="3"/>
        <item x="1"/>
        <item x="6"/>
        <item x="4"/>
        <item t="default"/>
      </items>
    </pivotField>
    <pivotField showAll="0"/>
    <pivotField showAll="0"/>
    <pivotField showAll="0"/>
    <pivotField dataField="1" numFmtId="41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17909-9B60-4673-ADA3-A96FAD15EA4D}" name="피벗 테이블7" cacheId="6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G20:H31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1">
        <item x="9"/>
        <item x="2"/>
        <item x="8"/>
        <item x="6"/>
        <item x="4"/>
        <item x="5"/>
        <item x="3"/>
        <item x="0"/>
        <item x="1"/>
        <item x="7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총 금액(B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43A30-01E8-436A-BC9C-5087ED1F4132}" name="피벗 테이블13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58:B69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1">
        <item x="4"/>
        <item x="7"/>
        <item x="8"/>
        <item x="3"/>
        <item x="9"/>
        <item x="5"/>
        <item x="0"/>
        <item x="1"/>
        <item x="6"/>
        <item x="2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D9160-CFA0-4A79-B4CD-BCB11E38FD92}" name="피벗 테이블4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D3:E14" firstHeaderRow="1" firstDataRow="1" firstDataCol="1"/>
  <pivotFields count="18">
    <pivotField numFmtId="177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0"/>
        <item x="8"/>
        <item x="5"/>
        <item x="1"/>
        <item x="3"/>
        <item x="2"/>
        <item x="4"/>
        <item x="7"/>
        <item x="9"/>
        <item t="default"/>
      </items>
    </pivotField>
    <pivotField showAll="0"/>
    <pivotField showAll="0"/>
    <pivotField showAll="0"/>
    <pivotField dataField="1" numFmtId="41"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총 금액(B)" fld="12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87F49-F3D6-435A-985E-14BDCDC1DEA7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>
  <location ref="A3:B15" firstHeaderRow="1" firstDataRow="1" firstDataCol="1"/>
  <pivotFields count="17">
    <pivotField numFmtId="177" showAll="0"/>
    <pivotField showAll="0"/>
    <pivotField showAll="0">
      <items count="34">
        <item x="27"/>
        <item x="2"/>
        <item x="20"/>
        <item x="30"/>
        <item x="13"/>
        <item x="3"/>
        <item x="17"/>
        <item x="4"/>
        <item x="5"/>
        <item x="6"/>
        <item x="11"/>
        <item x="7"/>
        <item x="14"/>
        <item x="8"/>
        <item x="15"/>
        <item x="9"/>
        <item x="28"/>
        <item x="19"/>
        <item x="10"/>
        <item x="22"/>
        <item x="29"/>
        <item x="23"/>
        <item x="31"/>
        <item x="21"/>
        <item x="24"/>
        <item x="25"/>
        <item x="0"/>
        <item x="12"/>
        <item x="26"/>
        <item x="1"/>
        <item x="18"/>
        <item x="16"/>
        <item x="32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2">
        <item x="0"/>
        <item x="10"/>
        <item x="1"/>
        <item x="7"/>
        <item x="2"/>
        <item x="3"/>
        <item x="4"/>
        <item x="6"/>
        <item x="5"/>
        <item x="8"/>
        <item x="9"/>
        <item t="default"/>
      </items>
    </pivotField>
    <pivotField showAll="0"/>
    <pivotField showAll="0"/>
    <pivotField showAll="0"/>
    <pivotField dataField="1" numFmtId="41" showAll="0"/>
    <pivotField showAll="0"/>
    <pivotField showAll="0"/>
    <pivotField showAll="0"/>
    <pivotField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합계 : 총 금액(B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E095E-5C57-4642-88CA-027D3C945A52}" name="피벗 테이블2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J3:K14" firstHeaderRow="1" firstDataRow="1" firstDataCol="1"/>
  <pivotFields count="10">
    <pivotField numFmtId="177" showAll="0"/>
    <pivotField showAll="0"/>
    <pivotField showAll="0"/>
    <pivotField showAll="0"/>
    <pivotField showAll="0"/>
    <pivotField axis="axisRow" showAll="0">
      <items count="11">
        <item x="9"/>
        <item x="2"/>
        <item x="6"/>
        <item x="3"/>
        <item x="7"/>
        <item x="0"/>
        <item x="1"/>
        <item x="4"/>
        <item x="5"/>
        <item x="8"/>
        <item t="default"/>
      </items>
    </pivotField>
    <pivotField showAll="0"/>
    <pivotField showAll="0"/>
    <pivotField showAll="0"/>
    <pivotField dataField="1" numFmtId="4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합계 : 총 금액(B)" fld="9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9DAFD-6D04-426F-A008-C34948EAAF7C}" name="피벗 테이블3" cacheId="2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G3:H16" firstHeaderRow="1" firstDataRow="1" firstDataCol="1"/>
  <pivotFields count="13">
    <pivotField numFmtId="177" showAll="0"/>
    <pivotField showAll="0"/>
    <pivotField showAll="0"/>
    <pivotField showAll="0"/>
    <pivotField showAll="0"/>
    <pivotField axis="axisRow" showAll="0">
      <items count="14">
        <item x="6"/>
        <item x="7"/>
        <item x="3"/>
        <item x="1"/>
        <item x="0"/>
        <item m="1" x="12"/>
        <item x="2"/>
        <item x="4"/>
        <item x="9"/>
        <item x="10"/>
        <item x="5"/>
        <item x="11"/>
        <item x="8"/>
        <item t="default"/>
      </items>
    </pivotField>
    <pivotField showAll="0"/>
    <pivotField showAll="0"/>
    <pivotField showAll="0"/>
    <pivotField dataField="1" numFmtId="41"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합계 : 총 금액(B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opLeftCell="B1" workbookViewId="0">
      <pane ySplit="2" topLeftCell="A3" activePane="bottomLeft" state="frozen"/>
      <selection pane="bottomLeft" activeCell="AC57" sqref="AC57"/>
    </sheetView>
  </sheetViews>
  <sheetFormatPr defaultColWidth="12.5703125" defaultRowHeight="15" customHeight="1"/>
  <cols>
    <col min="1" max="1" width="9.140625" customWidth="1"/>
    <col min="2" max="2" width="24.140625" customWidth="1"/>
    <col min="3" max="3" width="9.140625" customWidth="1"/>
    <col min="4" max="4" width="12.85546875" customWidth="1"/>
    <col min="5" max="5" width="6" customWidth="1"/>
    <col min="6" max="6" width="12.85546875" customWidth="1"/>
    <col min="7" max="7" width="9.140625" customWidth="1"/>
    <col min="8" max="9" width="8.5703125" customWidth="1"/>
    <col min="10" max="11" width="10.7109375" customWidth="1"/>
    <col min="12" max="12" width="9.140625" customWidth="1"/>
    <col min="13" max="13" width="8" customWidth="1"/>
    <col min="14" max="14" width="6" customWidth="1"/>
    <col min="15" max="15" width="17.85546875" bestFit="1" customWidth="1"/>
    <col min="16" max="22" width="4.140625" customWidth="1"/>
    <col min="23" max="24" width="6" customWidth="1"/>
    <col min="25" max="25" width="8" customWidth="1"/>
    <col min="26" max="26" width="10.7109375" customWidth="1"/>
    <col min="27" max="27" width="16.7109375" customWidth="1"/>
    <col min="28" max="28" width="8" customWidth="1"/>
    <col min="29" max="29" width="20.5703125" customWidth="1"/>
    <col min="30" max="30" width="51" customWidth="1"/>
    <col min="31" max="35" width="9.140625" customWidth="1"/>
  </cols>
  <sheetData>
    <row r="1" spans="1:35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</row>
    <row r="2" spans="1:35" ht="12.75" customHeight="1">
      <c r="A2" s="1"/>
      <c r="B2" s="1"/>
      <c r="C2" s="1"/>
      <c r="D2" s="3" t="s">
        <v>0</v>
      </c>
      <c r="E2" s="3" t="s">
        <v>1</v>
      </c>
      <c r="F2" s="3" t="s">
        <v>2</v>
      </c>
      <c r="G2" s="1"/>
      <c r="H2" s="1" t="s">
        <v>3</v>
      </c>
      <c r="I2" s="1" t="s">
        <v>4</v>
      </c>
      <c r="J2" s="1" t="s">
        <v>5</v>
      </c>
      <c r="K2" s="1"/>
      <c r="L2" s="1"/>
      <c r="M2" s="3" t="s">
        <v>6</v>
      </c>
      <c r="N2" s="3" t="s">
        <v>1</v>
      </c>
      <c r="O2" s="3" t="s">
        <v>0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15</v>
      </c>
      <c r="Y2" s="3" t="s">
        <v>16</v>
      </c>
      <c r="Z2" s="3" t="s">
        <v>17</v>
      </c>
      <c r="AA2" s="1" t="s">
        <v>18</v>
      </c>
      <c r="AB2" s="1" t="s">
        <v>19</v>
      </c>
      <c r="AC2" s="1" t="s">
        <v>20</v>
      </c>
      <c r="AD2" s="2"/>
      <c r="AE2" s="2"/>
      <c r="AF2" s="2"/>
      <c r="AG2" s="2"/>
      <c r="AH2" s="2"/>
      <c r="AI2" s="2"/>
    </row>
    <row r="3" spans="1:35" ht="12.75" customHeight="1">
      <c r="A3" s="1"/>
      <c r="B3" s="1" t="s">
        <v>21</v>
      </c>
      <c r="C3" s="1"/>
      <c r="D3" s="1" t="s">
        <v>22</v>
      </c>
      <c r="E3" s="1" t="s">
        <v>23</v>
      </c>
      <c r="F3" s="1" t="s">
        <v>24</v>
      </c>
      <c r="G3" s="1"/>
      <c r="H3" s="1" t="s">
        <v>25</v>
      </c>
      <c r="I3" s="1" t="s">
        <v>25</v>
      </c>
      <c r="J3" s="1" t="s">
        <v>26</v>
      </c>
      <c r="K3" s="1"/>
      <c r="L3" s="1"/>
      <c r="M3" s="1" t="s">
        <v>27</v>
      </c>
      <c r="N3" s="1" t="s">
        <v>23</v>
      </c>
      <c r="O3" s="1" t="s">
        <v>22</v>
      </c>
      <c r="P3" s="1" t="s">
        <v>7</v>
      </c>
      <c r="Q3" s="1" t="s">
        <v>8</v>
      </c>
      <c r="R3" s="1" t="s">
        <v>9</v>
      </c>
      <c r="S3" s="1"/>
      <c r="T3" s="1" t="s">
        <v>11</v>
      </c>
      <c r="U3" s="1" t="s">
        <v>12</v>
      </c>
      <c r="V3" s="1" t="s">
        <v>13</v>
      </c>
      <c r="W3" s="1" t="s">
        <v>28</v>
      </c>
      <c r="X3" s="1"/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2"/>
      <c r="AE3" s="2"/>
      <c r="AF3" s="2"/>
      <c r="AG3" s="2"/>
      <c r="AH3" s="2"/>
      <c r="AI3" s="2"/>
    </row>
    <row r="4" spans="1:35" ht="12.75" customHeight="1">
      <c r="A4" s="1"/>
      <c r="B4" s="1" t="s">
        <v>34</v>
      </c>
      <c r="C4" s="1"/>
      <c r="D4" s="1"/>
      <c r="E4" s="1"/>
      <c r="F4" s="1" t="s">
        <v>35</v>
      </c>
      <c r="G4" s="1"/>
      <c r="H4" s="1" t="s">
        <v>25</v>
      </c>
      <c r="I4" s="1" t="s">
        <v>25</v>
      </c>
      <c r="J4" s="1" t="s">
        <v>24</v>
      </c>
      <c r="K4" s="1"/>
      <c r="L4" s="1"/>
      <c r="M4" s="1"/>
      <c r="N4" s="1" t="s">
        <v>36</v>
      </c>
      <c r="O4" s="1" t="s">
        <v>37</v>
      </c>
      <c r="P4" s="1" t="s">
        <v>7</v>
      </c>
      <c r="Q4" s="1" t="s">
        <v>8</v>
      </c>
      <c r="R4" s="1" t="s">
        <v>9</v>
      </c>
      <c r="S4" s="1"/>
      <c r="T4" s="1" t="s">
        <v>11</v>
      </c>
      <c r="U4" s="1" t="s">
        <v>12</v>
      </c>
      <c r="V4" s="1" t="s">
        <v>13</v>
      </c>
      <c r="W4" s="1" t="s">
        <v>28</v>
      </c>
      <c r="X4" s="1"/>
      <c r="Y4" s="1" t="s">
        <v>29</v>
      </c>
      <c r="Z4" s="1" t="s">
        <v>30</v>
      </c>
      <c r="AA4" s="1"/>
      <c r="AB4" s="1"/>
      <c r="AC4" s="1"/>
      <c r="AD4" s="2"/>
      <c r="AE4" s="2"/>
      <c r="AF4" s="2"/>
      <c r="AG4" s="2"/>
      <c r="AH4" s="2"/>
      <c r="AI4" s="2"/>
    </row>
    <row r="5" spans="1:35" ht="12.75" customHeight="1">
      <c r="A5" s="1"/>
      <c r="B5" s="1" t="s">
        <v>38</v>
      </c>
      <c r="C5" s="1"/>
      <c r="D5" s="1" t="s">
        <v>37</v>
      </c>
      <c r="E5" s="1" t="s">
        <v>36</v>
      </c>
      <c r="F5" s="1" t="s">
        <v>39</v>
      </c>
      <c r="G5" s="1"/>
      <c r="H5" s="1" t="s">
        <v>25</v>
      </c>
      <c r="I5" s="1" t="s">
        <v>25</v>
      </c>
      <c r="J5" s="1" t="s">
        <v>40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  <c r="AF5" s="2"/>
      <c r="AG5" s="2"/>
      <c r="AH5" s="2"/>
      <c r="AI5" s="2"/>
    </row>
    <row r="6" spans="1:35" ht="12.75" customHeight="1">
      <c r="A6" s="1"/>
      <c r="B6" s="1" t="s">
        <v>41</v>
      </c>
      <c r="C6" s="1"/>
      <c r="D6" s="1"/>
      <c r="E6" s="1"/>
      <c r="F6" s="1" t="s">
        <v>42</v>
      </c>
      <c r="G6" s="1"/>
      <c r="H6" s="1" t="s">
        <v>25</v>
      </c>
      <c r="I6" s="1" t="s">
        <v>25</v>
      </c>
      <c r="J6" s="1" t="s">
        <v>43</v>
      </c>
      <c r="K6" s="1"/>
      <c r="L6" s="1"/>
      <c r="M6" s="1" t="s">
        <v>44</v>
      </c>
      <c r="N6" s="1" t="s">
        <v>23</v>
      </c>
      <c r="O6" s="1" t="s">
        <v>22</v>
      </c>
      <c r="P6" s="1" t="s">
        <v>7</v>
      </c>
      <c r="Q6" s="1" t="s">
        <v>8</v>
      </c>
      <c r="R6" s="1" t="s">
        <v>9</v>
      </c>
      <c r="S6" s="1" t="s">
        <v>10</v>
      </c>
      <c r="T6" s="1" t="s">
        <v>11</v>
      </c>
      <c r="U6" s="1" t="s">
        <v>12</v>
      </c>
      <c r="V6" s="1" t="s">
        <v>13</v>
      </c>
      <c r="W6" s="1" t="s">
        <v>28</v>
      </c>
      <c r="X6" s="1" t="s">
        <v>28</v>
      </c>
      <c r="Y6" s="1" t="s">
        <v>29</v>
      </c>
      <c r="Z6" s="1"/>
      <c r="AA6" s="1" t="s">
        <v>45</v>
      </c>
      <c r="AB6" s="1" t="s">
        <v>427</v>
      </c>
      <c r="AC6" s="1" t="s">
        <v>428</v>
      </c>
      <c r="AD6" s="2"/>
      <c r="AE6" s="2"/>
      <c r="AF6" s="2"/>
      <c r="AG6" s="2"/>
      <c r="AH6" s="2"/>
      <c r="AI6" s="2"/>
    </row>
    <row r="7" spans="1:35" ht="12.75" customHeight="1">
      <c r="A7" s="1"/>
      <c r="B7" s="1" t="s">
        <v>47</v>
      </c>
      <c r="C7" s="1"/>
      <c r="D7" s="1" t="s">
        <v>48</v>
      </c>
      <c r="E7" s="1" t="s">
        <v>49</v>
      </c>
      <c r="F7" s="1" t="s">
        <v>50</v>
      </c>
      <c r="G7" s="1"/>
      <c r="H7" s="1" t="s">
        <v>25</v>
      </c>
      <c r="I7" s="1" t="s">
        <v>25</v>
      </c>
      <c r="J7" s="1" t="s">
        <v>26</v>
      </c>
      <c r="K7" s="1"/>
      <c r="L7" s="1"/>
      <c r="M7" s="1"/>
      <c r="N7" s="1" t="s">
        <v>49</v>
      </c>
      <c r="O7" s="1" t="s">
        <v>48</v>
      </c>
      <c r="P7" s="1" t="s">
        <v>7</v>
      </c>
      <c r="Q7" s="1" t="s">
        <v>8</v>
      </c>
      <c r="R7" s="1" t="s">
        <v>9</v>
      </c>
      <c r="S7" s="1" t="s">
        <v>10</v>
      </c>
      <c r="T7" s="1" t="s">
        <v>11</v>
      </c>
      <c r="U7" s="1" t="s">
        <v>12</v>
      </c>
      <c r="V7" s="1" t="s">
        <v>13</v>
      </c>
      <c r="W7" s="1" t="s">
        <v>28</v>
      </c>
      <c r="X7" s="1" t="s">
        <v>28</v>
      </c>
      <c r="Y7" s="1" t="s">
        <v>29</v>
      </c>
      <c r="Z7" s="1"/>
      <c r="AA7" s="1"/>
      <c r="AB7" s="1"/>
      <c r="AC7" s="1"/>
      <c r="AD7" s="2"/>
      <c r="AE7" s="2"/>
      <c r="AF7" s="2"/>
      <c r="AG7" s="2"/>
      <c r="AH7" s="2"/>
      <c r="AI7" s="2"/>
    </row>
    <row r="8" spans="1:35" ht="12.75" customHeight="1">
      <c r="A8" s="1"/>
      <c r="B8" s="1" t="s">
        <v>51</v>
      </c>
      <c r="C8" s="1"/>
      <c r="D8" s="1"/>
      <c r="E8" s="1"/>
      <c r="F8" s="1" t="s">
        <v>52</v>
      </c>
      <c r="G8" s="1"/>
      <c r="H8" s="1" t="s">
        <v>25</v>
      </c>
      <c r="I8" s="1" t="s">
        <v>25</v>
      </c>
      <c r="J8" s="1" t="s">
        <v>53</v>
      </c>
      <c r="K8" s="1"/>
      <c r="L8" s="1"/>
      <c r="M8" s="1"/>
      <c r="N8" s="1" t="s">
        <v>56</v>
      </c>
      <c r="O8" s="1" t="s">
        <v>55</v>
      </c>
      <c r="P8" s="1" t="s">
        <v>7</v>
      </c>
      <c r="Q8" s="1" t="s">
        <v>8</v>
      </c>
      <c r="R8" s="1" t="s">
        <v>9</v>
      </c>
      <c r="S8" s="1" t="s">
        <v>10</v>
      </c>
      <c r="T8" s="1" t="s">
        <v>11</v>
      </c>
      <c r="U8" s="1" t="s">
        <v>12</v>
      </c>
      <c r="V8" s="1" t="s">
        <v>13</v>
      </c>
      <c r="W8" s="1" t="s">
        <v>28</v>
      </c>
      <c r="X8" s="1" t="s">
        <v>28</v>
      </c>
      <c r="Y8" s="1" t="s">
        <v>29</v>
      </c>
      <c r="Z8" s="1"/>
      <c r="AA8" s="1"/>
      <c r="AB8" s="1"/>
      <c r="AC8" s="1"/>
      <c r="AD8" s="2"/>
      <c r="AE8" s="2"/>
      <c r="AF8" s="2"/>
      <c r="AG8" s="2"/>
      <c r="AH8" s="2"/>
      <c r="AI8" s="2"/>
    </row>
    <row r="9" spans="1:35" ht="12.75" customHeight="1">
      <c r="A9" s="1"/>
      <c r="B9" s="1" t="s">
        <v>54</v>
      </c>
      <c r="C9" s="1"/>
      <c r="D9" s="1" t="s">
        <v>55</v>
      </c>
      <c r="E9" s="1" t="s">
        <v>56</v>
      </c>
      <c r="F9" s="1" t="s">
        <v>57</v>
      </c>
      <c r="G9" s="1"/>
      <c r="H9" s="1" t="s">
        <v>25</v>
      </c>
      <c r="I9" s="1" t="s">
        <v>25</v>
      </c>
      <c r="J9" s="1"/>
      <c r="K9" s="1"/>
      <c r="L9" s="1"/>
      <c r="M9" s="1"/>
      <c r="N9" s="1" t="s">
        <v>60</v>
      </c>
      <c r="O9" s="1" t="s">
        <v>61</v>
      </c>
      <c r="P9" s="1" t="s">
        <v>7</v>
      </c>
      <c r="Q9" s="1" t="s">
        <v>8</v>
      </c>
      <c r="R9" s="1" t="s">
        <v>9</v>
      </c>
      <c r="S9" s="1" t="s">
        <v>10</v>
      </c>
      <c r="T9" s="1" t="s">
        <v>11</v>
      </c>
      <c r="U9" s="1" t="s">
        <v>12</v>
      </c>
      <c r="V9" s="1" t="s">
        <v>13</v>
      </c>
      <c r="W9" s="1" t="s">
        <v>28</v>
      </c>
      <c r="X9" s="1" t="s">
        <v>28</v>
      </c>
      <c r="Y9" s="1" t="s">
        <v>29</v>
      </c>
      <c r="Z9" s="1"/>
      <c r="AA9" s="1"/>
      <c r="AB9" s="1"/>
      <c r="AC9" s="1"/>
      <c r="AD9" s="2"/>
      <c r="AE9" s="2"/>
      <c r="AF9" s="2"/>
      <c r="AG9" s="2"/>
      <c r="AH9" s="2"/>
      <c r="AI9" s="2"/>
    </row>
    <row r="10" spans="1:35" ht="12.75" customHeight="1">
      <c r="A10" s="1"/>
      <c r="B10" s="1" t="s">
        <v>58</v>
      </c>
      <c r="C10" s="1"/>
      <c r="D10" s="1"/>
      <c r="E10" s="1"/>
      <c r="F10" s="1" t="s">
        <v>59</v>
      </c>
      <c r="G10" s="1"/>
      <c r="H10" s="1" t="s">
        <v>25</v>
      </c>
      <c r="I10" s="1" t="s">
        <v>25</v>
      </c>
      <c r="J10" s="1"/>
      <c r="K10" s="1"/>
      <c r="L10" s="1"/>
      <c r="M10" s="1"/>
      <c r="N10" s="1" t="s">
        <v>64</v>
      </c>
      <c r="O10" s="1" t="s">
        <v>61</v>
      </c>
      <c r="P10" s="1" t="s">
        <v>7</v>
      </c>
      <c r="Q10" s="1" t="s">
        <v>8</v>
      </c>
      <c r="R10" s="1" t="s">
        <v>9</v>
      </c>
      <c r="S10" s="1" t="s">
        <v>10</v>
      </c>
      <c r="T10" s="1" t="s">
        <v>11</v>
      </c>
      <c r="U10" s="1" t="s">
        <v>12</v>
      </c>
      <c r="V10" s="1" t="s">
        <v>13</v>
      </c>
      <c r="W10" s="1" t="s">
        <v>28</v>
      </c>
      <c r="X10" s="1" t="s">
        <v>28</v>
      </c>
      <c r="Y10" s="1" t="s">
        <v>29</v>
      </c>
      <c r="Z10" s="1"/>
      <c r="AA10" s="1"/>
      <c r="AB10" s="1"/>
      <c r="AC10" s="1"/>
      <c r="AD10" s="2"/>
      <c r="AE10" s="2"/>
      <c r="AF10" s="2"/>
      <c r="AG10" s="2"/>
      <c r="AH10" s="2"/>
      <c r="AI10" s="2"/>
    </row>
    <row r="11" spans="1:35" ht="12.75" customHeight="1">
      <c r="A11" s="1"/>
      <c r="B11" s="1" t="s">
        <v>62</v>
      </c>
      <c r="C11" s="1"/>
      <c r="D11" s="1" t="s">
        <v>61</v>
      </c>
      <c r="E11" s="1" t="s">
        <v>60</v>
      </c>
      <c r="F11" s="1" t="s">
        <v>63</v>
      </c>
      <c r="G11" s="1"/>
      <c r="H11" s="1" t="s">
        <v>25</v>
      </c>
      <c r="I11" s="1" t="s">
        <v>25</v>
      </c>
      <c r="J11" s="1"/>
      <c r="K11" s="1"/>
      <c r="L11" s="1"/>
      <c r="M11" s="1"/>
      <c r="Z11" s="1"/>
      <c r="AA11" s="1"/>
      <c r="AB11" s="1"/>
      <c r="AC11" s="1"/>
      <c r="AD11" s="2"/>
      <c r="AE11" s="2"/>
      <c r="AF11" s="2"/>
      <c r="AG11" s="2"/>
      <c r="AH11" s="2"/>
      <c r="AI11" s="2"/>
    </row>
    <row r="12" spans="1:35" ht="12.75" customHeight="1">
      <c r="A12" s="1"/>
      <c r="B12" s="1" t="s">
        <v>65</v>
      </c>
      <c r="C12" s="1"/>
      <c r="D12" s="1"/>
      <c r="E12" s="1"/>
      <c r="F12" s="1" t="s">
        <v>66</v>
      </c>
      <c r="G12" s="1"/>
      <c r="H12" s="1" t="s">
        <v>25</v>
      </c>
      <c r="I12" s="1" t="s">
        <v>25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"/>
      <c r="AE12" s="2"/>
      <c r="AF12" s="2"/>
      <c r="AG12" s="2"/>
      <c r="AH12" s="2"/>
      <c r="AI12" s="2"/>
    </row>
    <row r="13" spans="1:35" ht="12.75" customHeight="1">
      <c r="A13" s="1"/>
      <c r="B13" s="1"/>
      <c r="C13" s="1"/>
      <c r="D13" s="1"/>
      <c r="E13" s="1"/>
      <c r="F13" s="1" t="s">
        <v>67</v>
      </c>
      <c r="G13" s="1"/>
      <c r="H13" s="1" t="s">
        <v>25</v>
      </c>
      <c r="I13" s="1" t="s">
        <v>25</v>
      </c>
      <c r="J13" s="1"/>
      <c r="K13" s="1"/>
      <c r="L13" s="1"/>
      <c r="M13" s="1" t="s">
        <v>68</v>
      </c>
      <c r="N13" s="1" t="s">
        <v>49</v>
      </c>
      <c r="O13" s="1" t="s">
        <v>48</v>
      </c>
      <c r="P13" s="1" t="s">
        <v>7</v>
      </c>
      <c r="Q13" s="1" t="s">
        <v>8</v>
      </c>
      <c r="R13" s="1" t="s">
        <v>9</v>
      </c>
      <c r="S13" s="1" t="s">
        <v>10</v>
      </c>
      <c r="T13" s="1" t="s">
        <v>11</v>
      </c>
      <c r="U13" s="1"/>
      <c r="V13" s="1"/>
      <c r="W13" s="1" t="s">
        <v>28</v>
      </c>
      <c r="X13" s="1" t="s">
        <v>28</v>
      </c>
      <c r="Y13" s="1" t="s">
        <v>29</v>
      </c>
      <c r="Z13" s="1" t="s">
        <v>69</v>
      </c>
      <c r="AA13" s="1" t="s">
        <v>70</v>
      </c>
      <c r="AB13" s="1" t="s">
        <v>345</v>
      </c>
      <c r="AC13" s="1" t="s">
        <v>346</v>
      </c>
      <c r="AD13" s="2"/>
      <c r="AE13" s="2"/>
      <c r="AF13" s="2"/>
      <c r="AG13" s="2"/>
      <c r="AH13" s="2"/>
      <c r="AI13" s="2"/>
    </row>
    <row r="14" spans="1:35" ht="12.75" customHeight="1">
      <c r="A14" s="1"/>
      <c r="B14" s="1" t="s">
        <v>72</v>
      </c>
      <c r="C14" s="1"/>
      <c r="D14" s="1"/>
      <c r="E14" s="1"/>
      <c r="F14" s="1" t="s">
        <v>73</v>
      </c>
      <c r="G14" s="1"/>
      <c r="H14" s="1" t="s">
        <v>25</v>
      </c>
      <c r="I14" s="1" t="s">
        <v>25</v>
      </c>
      <c r="J14" s="1"/>
      <c r="K14" s="1"/>
      <c r="L14" s="1"/>
      <c r="M14" s="1"/>
      <c r="N14" s="1" t="s">
        <v>56</v>
      </c>
      <c r="O14" s="1" t="s">
        <v>55</v>
      </c>
      <c r="P14" s="1" t="s">
        <v>7</v>
      </c>
      <c r="Q14" s="1" t="s">
        <v>8</v>
      </c>
      <c r="R14" s="1" t="s">
        <v>9</v>
      </c>
      <c r="S14" s="1" t="s">
        <v>10</v>
      </c>
      <c r="T14" s="1" t="s">
        <v>11</v>
      </c>
      <c r="U14" s="1"/>
      <c r="V14" s="1"/>
      <c r="W14" s="1" t="s">
        <v>28</v>
      </c>
      <c r="X14" s="1" t="s">
        <v>28</v>
      </c>
      <c r="Y14" s="1" t="s">
        <v>29</v>
      </c>
      <c r="Z14" s="1" t="s">
        <v>69</v>
      </c>
      <c r="AA14" s="1"/>
      <c r="AB14" s="1"/>
      <c r="AC14" s="1"/>
      <c r="AD14" s="2"/>
      <c r="AE14" s="2"/>
      <c r="AF14" s="2"/>
      <c r="AG14" s="2"/>
      <c r="AH14" s="2"/>
      <c r="AI14" s="2"/>
    </row>
    <row r="15" spans="1:35" ht="12.75" customHeight="1">
      <c r="A15" s="1"/>
      <c r="B15" s="2"/>
      <c r="C15" s="1"/>
      <c r="D15" s="1" t="s">
        <v>61</v>
      </c>
      <c r="E15" s="1" t="s">
        <v>64</v>
      </c>
      <c r="F15" s="1" t="s">
        <v>74</v>
      </c>
      <c r="G15" s="1"/>
      <c r="H15" s="1" t="s">
        <v>25</v>
      </c>
      <c r="I15" s="1" t="s">
        <v>25</v>
      </c>
      <c r="J15" s="1"/>
      <c r="K15" s="1"/>
      <c r="L15" s="1"/>
      <c r="M15" s="1"/>
      <c r="N15" s="1" t="s">
        <v>60</v>
      </c>
      <c r="O15" s="1" t="s">
        <v>61</v>
      </c>
      <c r="P15" s="1" t="s">
        <v>7</v>
      </c>
      <c r="Q15" s="1" t="s">
        <v>8</v>
      </c>
      <c r="R15" s="1" t="s">
        <v>9</v>
      </c>
      <c r="S15" s="1" t="s">
        <v>10</v>
      </c>
      <c r="T15" s="1" t="s">
        <v>11</v>
      </c>
      <c r="U15" s="1"/>
      <c r="V15" s="1"/>
      <c r="W15" s="1" t="s">
        <v>28</v>
      </c>
      <c r="X15" s="1" t="s">
        <v>28</v>
      </c>
      <c r="Y15" s="1" t="s">
        <v>29</v>
      </c>
      <c r="Z15" s="1" t="s">
        <v>69</v>
      </c>
      <c r="AA15" s="1"/>
      <c r="AB15" s="1"/>
      <c r="AC15" s="1"/>
      <c r="AD15" s="2"/>
      <c r="AE15" s="2"/>
      <c r="AF15" s="2"/>
      <c r="AG15" s="2"/>
      <c r="AH15" s="2"/>
      <c r="AI15" s="2"/>
    </row>
    <row r="16" spans="1:35" ht="12.75" customHeight="1">
      <c r="A16" s="1"/>
      <c r="B16" s="2"/>
      <c r="C16" s="1"/>
      <c r="D16" s="1"/>
      <c r="E16" s="1"/>
      <c r="F16" s="1" t="s">
        <v>75</v>
      </c>
      <c r="G16" s="1"/>
      <c r="H16" s="1" t="s">
        <v>25</v>
      </c>
      <c r="I16" s="1" t="s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  <c r="AE16" s="2"/>
      <c r="AF16" s="2"/>
      <c r="AG16" s="2"/>
      <c r="AH16" s="2"/>
      <c r="AI16" s="2"/>
    </row>
    <row r="17" spans="1:35" ht="12.75" customHeight="1">
      <c r="A17" s="1"/>
      <c r="B17" s="1"/>
      <c r="C17" s="1"/>
      <c r="D17" s="2"/>
      <c r="E17" s="2"/>
      <c r="F17" s="2" t="s">
        <v>76</v>
      </c>
      <c r="G17" s="2"/>
      <c r="H17" s="2"/>
      <c r="I17" s="2"/>
      <c r="J17" s="2"/>
      <c r="K17" s="2"/>
      <c r="L17" s="1"/>
      <c r="M17" s="1" t="s">
        <v>77</v>
      </c>
      <c r="N17" s="1"/>
      <c r="O17" s="1" t="s">
        <v>78</v>
      </c>
      <c r="P17" s="1" t="s">
        <v>7</v>
      </c>
      <c r="Q17" s="1" t="s">
        <v>8</v>
      </c>
      <c r="R17" s="1" t="s">
        <v>9</v>
      </c>
      <c r="S17" s="1" t="s">
        <v>10</v>
      </c>
      <c r="T17" s="1" t="s">
        <v>11</v>
      </c>
      <c r="U17" s="1" t="s">
        <v>12</v>
      </c>
      <c r="V17" s="1" t="s">
        <v>13</v>
      </c>
      <c r="W17" s="1" t="s">
        <v>28</v>
      </c>
      <c r="X17" s="1" t="s">
        <v>28</v>
      </c>
      <c r="Y17" s="1" t="s">
        <v>79</v>
      </c>
      <c r="Z17" s="1" t="s">
        <v>80</v>
      </c>
      <c r="AA17" s="1" t="s">
        <v>81</v>
      </c>
      <c r="AB17" s="1" t="s">
        <v>436</v>
      </c>
      <c r="AC17" s="1" t="s">
        <v>83</v>
      </c>
      <c r="AD17" s="2"/>
      <c r="AE17" s="2"/>
      <c r="AF17" s="2"/>
      <c r="AG17" s="2"/>
      <c r="AH17" s="2"/>
      <c r="AI17" s="2"/>
    </row>
    <row r="18" spans="1:35" ht="12.75" customHeight="1">
      <c r="A18" s="1"/>
      <c r="B18" s="1"/>
      <c r="C18" s="1"/>
      <c r="D18" s="1" t="s">
        <v>84</v>
      </c>
      <c r="E18" s="1" t="s">
        <v>85</v>
      </c>
      <c r="F18" s="1" t="s">
        <v>86</v>
      </c>
      <c r="G18" s="1"/>
      <c r="H18" s="1" t="s">
        <v>25</v>
      </c>
      <c r="I18" s="1" t="s">
        <v>25</v>
      </c>
      <c r="J18" s="1" t="s">
        <v>26</v>
      </c>
      <c r="K18" s="1"/>
      <c r="L18" s="1"/>
      <c r="M18" s="1"/>
      <c r="N18" s="1" t="s">
        <v>85</v>
      </c>
      <c r="O18" s="1" t="s">
        <v>84</v>
      </c>
      <c r="P18" s="1" t="s">
        <v>7</v>
      </c>
      <c r="Q18" s="1" t="s">
        <v>8</v>
      </c>
      <c r="R18" s="1" t="s">
        <v>9</v>
      </c>
      <c r="S18" s="1" t="s">
        <v>10</v>
      </c>
      <c r="T18" s="1" t="s">
        <v>11</v>
      </c>
      <c r="U18" s="1" t="s">
        <v>12</v>
      </c>
      <c r="V18" s="1" t="s">
        <v>13</v>
      </c>
      <c r="W18" s="1" t="s">
        <v>28</v>
      </c>
      <c r="X18" s="1" t="s">
        <v>28</v>
      </c>
      <c r="Y18" s="1" t="s">
        <v>79</v>
      </c>
      <c r="Z18" s="1" t="s">
        <v>80</v>
      </c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2.75" customHeight="1">
      <c r="A19" s="1"/>
      <c r="B19" s="1"/>
      <c r="C19" s="1"/>
      <c r="D19" s="1"/>
      <c r="E19" s="1"/>
      <c r="F19" s="1" t="s">
        <v>87</v>
      </c>
      <c r="G19" s="1"/>
      <c r="H19" s="1" t="s">
        <v>25</v>
      </c>
      <c r="I19" s="1" t="s">
        <v>25</v>
      </c>
      <c r="J19" s="1" t="s">
        <v>26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2.75" customHeight="1">
      <c r="A20" s="1"/>
      <c r="B20" s="1"/>
      <c r="C20" s="1"/>
      <c r="D20" s="1"/>
      <c r="E20" s="1"/>
      <c r="F20" s="1" t="s">
        <v>88</v>
      </c>
      <c r="G20" s="1"/>
      <c r="H20" s="1" t="s">
        <v>25</v>
      </c>
      <c r="I20" s="1" t="s">
        <v>25</v>
      </c>
      <c r="J20" s="1"/>
      <c r="K20" s="1"/>
      <c r="L20" s="1"/>
      <c r="M20" s="1" t="s">
        <v>89</v>
      </c>
      <c r="N20" s="1"/>
      <c r="O20" s="1" t="s">
        <v>78</v>
      </c>
      <c r="P20" s="1" t="s">
        <v>7</v>
      </c>
      <c r="Q20" s="1" t="s">
        <v>8</v>
      </c>
      <c r="R20" s="1" t="s">
        <v>9</v>
      </c>
      <c r="S20" s="1" t="s">
        <v>10</v>
      </c>
      <c r="T20" s="1" t="s">
        <v>11</v>
      </c>
      <c r="U20" s="1" t="s">
        <v>12</v>
      </c>
      <c r="V20" s="1" t="s">
        <v>13</v>
      </c>
      <c r="W20" s="1" t="s">
        <v>28</v>
      </c>
      <c r="X20" s="1" t="s">
        <v>28</v>
      </c>
      <c r="Y20" s="1" t="s">
        <v>90</v>
      </c>
      <c r="Z20" s="1"/>
      <c r="AA20" s="1" t="s">
        <v>91</v>
      </c>
      <c r="AB20" s="1" t="s">
        <v>71</v>
      </c>
      <c r="AC20" s="1" t="s">
        <v>92</v>
      </c>
      <c r="AD20" s="2"/>
      <c r="AE20" s="2"/>
      <c r="AF20" s="2"/>
      <c r="AG20" s="2"/>
      <c r="AH20" s="2"/>
      <c r="AI20" s="2"/>
    </row>
    <row r="21" spans="1:35" ht="12.75" customHeight="1">
      <c r="A21" s="1"/>
      <c r="B21" s="1"/>
      <c r="C21" s="1"/>
      <c r="D21" s="1" t="s">
        <v>93</v>
      </c>
      <c r="E21" s="1" t="s">
        <v>94</v>
      </c>
      <c r="F21" s="1" t="s">
        <v>95</v>
      </c>
      <c r="G21" s="1"/>
      <c r="H21" s="1" t="s">
        <v>25</v>
      </c>
      <c r="I21" s="1" t="s">
        <v>25</v>
      </c>
      <c r="J21" s="1" t="s">
        <v>26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  <c r="AE21" s="2"/>
      <c r="AF21" s="2"/>
      <c r="AG21" s="2"/>
      <c r="AH21" s="2"/>
      <c r="AI21" s="2"/>
    </row>
    <row r="22" spans="1:35" ht="12.75" customHeight="1">
      <c r="A22" s="1"/>
      <c r="B22" s="1"/>
      <c r="C22" s="1"/>
      <c r="D22" s="1" t="s">
        <v>96</v>
      </c>
      <c r="E22" s="1" t="s">
        <v>97</v>
      </c>
      <c r="F22" s="1" t="s">
        <v>98</v>
      </c>
      <c r="G22" s="1"/>
      <c r="H22" s="1" t="s">
        <v>99</v>
      </c>
      <c r="I22" s="1" t="s">
        <v>99</v>
      </c>
      <c r="J22" s="1" t="s">
        <v>99</v>
      </c>
      <c r="K22" s="1"/>
      <c r="L22" s="1"/>
      <c r="M22" s="1" t="s">
        <v>100</v>
      </c>
      <c r="N22" s="1" t="s">
        <v>49</v>
      </c>
      <c r="O22" s="1" t="s">
        <v>48</v>
      </c>
      <c r="P22" s="1" t="s">
        <v>7</v>
      </c>
      <c r="Q22" s="1" t="s">
        <v>8</v>
      </c>
      <c r="R22" s="1" t="s">
        <v>9</v>
      </c>
      <c r="S22" s="1" t="s">
        <v>10</v>
      </c>
      <c r="T22" s="1" t="s">
        <v>11</v>
      </c>
      <c r="U22" s="1" t="s">
        <v>12</v>
      </c>
      <c r="V22" s="1" t="s">
        <v>13</v>
      </c>
      <c r="W22" s="1" t="s">
        <v>28</v>
      </c>
      <c r="X22" s="1" t="s">
        <v>28</v>
      </c>
      <c r="Y22" s="1" t="s">
        <v>90</v>
      </c>
      <c r="Z22" s="1"/>
      <c r="AA22" s="1"/>
      <c r="AB22" s="1" t="s">
        <v>101</v>
      </c>
      <c r="AC22" s="1" t="s">
        <v>102</v>
      </c>
      <c r="AD22" s="2"/>
      <c r="AE22" s="2"/>
      <c r="AF22" s="2"/>
      <c r="AG22" s="2"/>
      <c r="AH22" s="2"/>
      <c r="AI22" s="2"/>
    </row>
    <row r="23" spans="1:35" ht="12.75" customHeight="1">
      <c r="A23" s="1"/>
      <c r="B23" s="1"/>
      <c r="C23" s="1"/>
      <c r="D23" s="1"/>
      <c r="E23" s="1"/>
      <c r="F23" s="1" t="s">
        <v>103</v>
      </c>
      <c r="G23" s="1"/>
      <c r="H23" s="1" t="s">
        <v>99</v>
      </c>
      <c r="I23" s="1" t="s">
        <v>99</v>
      </c>
      <c r="J23" s="1" t="s">
        <v>99</v>
      </c>
      <c r="K23" s="1"/>
      <c r="L23" s="1"/>
      <c r="M23" s="1"/>
      <c r="N23" s="1" t="s">
        <v>56</v>
      </c>
      <c r="O23" s="1" t="s">
        <v>55</v>
      </c>
      <c r="P23" s="1" t="s">
        <v>7</v>
      </c>
      <c r="Q23" s="1" t="s">
        <v>8</v>
      </c>
      <c r="R23" s="1" t="s">
        <v>9</v>
      </c>
      <c r="S23" s="1" t="s">
        <v>10</v>
      </c>
      <c r="T23" s="1" t="s">
        <v>11</v>
      </c>
      <c r="U23" s="1" t="s">
        <v>12</v>
      </c>
      <c r="V23" s="1" t="s">
        <v>13</v>
      </c>
      <c r="W23" s="1" t="s">
        <v>28</v>
      </c>
      <c r="X23" s="1" t="s">
        <v>28</v>
      </c>
      <c r="Y23" s="1" t="s">
        <v>90</v>
      </c>
      <c r="Z23" s="1"/>
      <c r="AA23" s="1"/>
      <c r="AB23" s="1"/>
      <c r="AC23" s="1"/>
      <c r="AD23" s="2"/>
      <c r="AE23" s="2"/>
      <c r="AF23" s="2"/>
      <c r="AG23" s="2"/>
      <c r="AH23" s="2"/>
      <c r="AI23" s="2"/>
    </row>
    <row r="24" spans="1:35" ht="12.75" customHeight="1">
      <c r="A24" s="1"/>
      <c r="B24" s="2"/>
      <c r="C24" s="1"/>
      <c r="D24" s="1"/>
      <c r="E24" s="1"/>
      <c r="F24" s="1" t="s">
        <v>104</v>
      </c>
      <c r="G24" s="1"/>
      <c r="H24" s="1" t="s">
        <v>99</v>
      </c>
      <c r="I24" s="1" t="s">
        <v>99</v>
      </c>
      <c r="J24" s="1" t="s">
        <v>99</v>
      </c>
      <c r="K24" s="1"/>
      <c r="L24" s="1"/>
      <c r="M24" s="1"/>
      <c r="N24" s="1" t="s">
        <v>60</v>
      </c>
      <c r="O24" s="1" t="s">
        <v>61</v>
      </c>
      <c r="P24" s="1" t="s">
        <v>7</v>
      </c>
      <c r="Q24" s="1" t="s">
        <v>8</v>
      </c>
      <c r="R24" s="1" t="s">
        <v>9</v>
      </c>
      <c r="S24" s="1" t="s">
        <v>10</v>
      </c>
      <c r="T24" s="1" t="s">
        <v>11</v>
      </c>
      <c r="U24" s="1" t="s">
        <v>12</v>
      </c>
      <c r="V24" s="1" t="s">
        <v>13</v>
      </c>
      <c r="W24" s="1" t="s">
        <v>28</v>
      </c>
      <c r="X24" s="1" t="s">
        <v>28</v>
      </c>
      <c r="Y24" s="1" t="s">
        <v>90</v>
      </c>
      <c r="Z24" s="1"/>
      <c r="AA24" s="1"/>
      <c r="AB24" s="1"/>
      <c r="AC24" s="1"/>
      <c r="AD24" s="2"/>
      <c r="AE24" s="2"/>
      <c r="AF24" s="2"/>
      <c r="AG24" s="2"/>
      <c r="AH24" s="2"/>
      <c r="AI24" s="2"/>
    </row>
    <row r="25" spans="1:35" ht="12.75" customHeight="1">
      <c r="A25" s="1"/>
      <c r="B25" s="1"/>
      <c r="C25" s="1"/>
      <c r="D25" s="1" t="s">
        <v>105</v>
      </c>
      <c r="E25" s="1" t="s">
        <v>106</v>
      </c>
      <c r="F25" s="1" t="s">
        <v>107</v>
      </c>
      <c r="G25" s="1"/>
      <c r="H25" s="2" t="s">
        <v>108</v>
      </c>
      <c r="I25" s="2" t="s">
        <v>108</v>
      </c>
      <c r="J25" s="2" t="s">
        <v>108</v>
      </c>
      <c r="K25" s="1"/>
      <c r="L25" s="1"/>
      <c r="M25" s="1"/>
      <c r="N25" s="1" t="s">
        <v>64</v>
      </c>
      <c r="O25" s="1" t="s">
        <v>61</v>
      </c>
      <c r="P25" s="1" t="s">
        <v>7</v>
      </c>
      <c r="Q25" s="1" t="s">
        <v>8</v>
      </c>
      <c r="R25" s="1" t="s">
        <v>9</v>
      </c>
      <c r="S25" s="1" t="s">
        <v>10</v>
      </c>
      <c r="T25" s="1" t="s">
        <v>11</v>
      </c>
      <c r="U25" s="1" t="s">
        <v>12</v>
      </c>
      <c r="V25" s="1" t="s">
        <v>13</v>
      </c>
      <c r="W25" s="1" t="s">
        <v>28</v>
      </c>
      <c r="X25" s="1" t="s">
        <v>28</v>
      </c>
      <c r="Y25" s="1" t="s">
        <v>90</v>
      </c>
      <c r="Z25" s="1"/>
      <c r="AA25" s="1"/>
      <c r="AB25" s="1"/>
      <c r="AC25" s="1"/>
      <c r="AD25" s="2"/>
      <c r="AE25" s="2"/>
      <c r="AF25" s="2"/>
      <c r="AG25" s="2"/>
      <c r="AH25" s="2"/>
      <c r="AI25" s="2"/>
    </row>
    <row r="26" spans="1:35" ht="12.75" customHeight="1">
      <c r="A26" s="1"/>
      <c r="B26" s="1"/>
      <c r="C26" s="1"/>
      <c r="D26" s="1" t="s">
        <v>109</v>
      </c>
      <c r="E26" s="1" t="s">
        <v>110</v>
      </c>
      <c r="F26" s="1" t="s">
        <v>111</v>
      </c>
      <c r="G26" s="1"/>
      <c r="H26" s="1" t="s">
        <v>112</v>
      </c>
      <c r="I26" s="1" t="s">
        <v>112</v>
      </c>
      <c r="J26" s="2" t="s">
        <v>108</v>
      </c>
      <c r="K26" s="1" t="s">
        <v>113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2"/>
      <c r="AF26" s="2"/>
      <c r="AG26" s="2"/>
      <c r="AH26" s="2"/>
      <c r="AI26" s="2"/>
    </row>
    <row r="27" spans="1:35" ht="12.75" customHeight="1">
      <c r="A27" s="1"/>
      <c r="B27" s="1"/>
      <c r="C27" s="1"/>
      <c r="D27" s="1"/>
      <c r="E27" s="1"/>
      <c r="F27" s="1" t="s">
        <v>114</v>
      </c>
      <c r="G27" s="1"/>
      <c r="H27" s="1" t="s">
        <v>25</v>
      </c>
      <c r="I27" s="1" t="s">
        <v>25</v>
      </c>
      <c r="J27" s="2"/>
      <c r="K27" s="1" t="s">
        <v>113</v>
      </c>
      <c r="L27" s="1"/>
      <c r="M27" s="1" t="s">
        <v>401</v>
      </c>
      <c r="N27" s="1"/>
      <c r="O27" s="1"/>
      <c r="P27" s="1" t="s">
        <v>7</v>
      </c>
      <c r="Q27" s="1" t="s">
        <v>8</v>
      </c>
      <c r="R27" s="1" t="s">
        <v>9</v>
      </c>
      <c r="S27" s="1" t="s">
        <v>10</v>
      </c>
      <c r="T27" s="1" t="s">
        <v>11</v>
      </c>
      <c r="U27" s="1" t="s">
        <v>12</v>
      </c>
      <c r="V27" s="1" t="s">
        <v>13</v>
      </c>
      <c r="W27" s="1" t="s">
        <v>28</v>
      </c>
      <c r="X27" s="1" t="s">
        <v>28</v>
      </c>
      <c r="Y27" s="1" t="s">
        <v>29</v>
      </c>
      <c r="Z27" s="1"/>
      <c r="AA27" s="1" t="s">
        <v>455</v>
      </c>
      <c r="AB27" s="1" t="s">
        <v>345</v>
      </c>
      <c r="AC27" s="1" t="s">
        <v>411</v>
      </c>
      <c r="AD27" s="2"/>
      <c r="AE27" s="2"/>
      <c r="AF27" s="2"/>
      <c r="AG27" s="2"/>
      <c r="AH27" s="2"/>
      <c r="AI27" s="2"/>
    </row>
    <row r="28" spans="1:35" ht="12.75" customHeight="1">
      <c r="A28" s="1"/>
      <c r="B28" s="1"/>
      <c r="C28" s="1"/>
      <c r="D28" s="1"/>
      <c r="E28" s="1"/>
      <c r="F28" s="1" t="s">
        <v>115</v>
      </c>
      <c r="G28" s="1"/>
      <c r="H28" s="1" t="s">
        <v>116</v>
      </c>
      <c r="I28" s="1" t="s">
        <v>116</v>
      </c>
      <c r="J28" s="2"/>
      <c r="K28" s="1" t="s">
        <v>113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  <c r="AE28" s="2"/>
      <c r="AF28" s="2"/>
      <c r="AG28" s="2"/>
      <c r="AH28" s="2"/>
      <c r="AI28" s="2"/>
    </row>
    <row r="29" spans="1:35" ht="12.75" customHeight="1">
      <c r="A29" s="1"/>
      <c r="B29" s="1"/>
      <c r="C29" s="1"/>
      <c r="D29" s="1" t="s">
        <v>117</v>
      </c>
      <c r="E29" s="1" t="s">
        <v>118</v>
      </c>
      <c r="F29" s="1" t="s">
        <v>119</v>
      </c>
      <c r="G29" s="1"/>
      <c r="H29" s="1" t="s">
        <v>25</v>
      </c>
      <c r="I29" s="1" t="s">
        <v>25</v>
      </c>
      <c r="J29" s="2"/>
      <c r="K29" s="1" t="s">
        <v>113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  <c r="AE29" s="2"/>
      <c r="AF29" s="2"/>
      <c r="AG29" s="2"/>
      <c r="AH29" s="2"/>
      <c r="AI29" s="2"/>
    </row>
    <row r="30" spans="1:35" ht="12.75" customHeight="1">
      <c r="A30" s="1"/>
      <c r="B30" s="2"/>
      <c r="C30" s="1"/>
      <c r="D30" s="1"/>
      <c r="E30" s="1"/>
      <c r="F30" s="1" t="s">
        <v>120</v>
      </c>
      <c r="G30" s="1"/>
      <c r="H30" s="1" t="s">
        <v>25</v>
      </c>
      <c r="I30" s="1" t="s">
        <v>25</v>
      </c>
      <c r="J30" s="1" t="s">
        <v>26</v>
      </c>
      <c r="K30" s="1" t="s">
        <v>113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2"/>
      <c r="AF30" s="2"/>
      <c r="AG30" s="2"/>
      <c r="AH30" s="2"/>
      <c r="AI30" s="2"/>
    </row>
    <row r="31" spans="1:35" ht="12.75" customHeight="1">
      <c r="A31" s="1"/>
      <c r="B31" s="1"/>
      <c r="C31" s="1"/>
      <c r="D31" s="1"/>
      <c r="E31" s="1"/>
      <c r="F31" s="1" t="s">
        <v>121</v>
      </c>
      <c r="G31" s="1"/>
      <c r="H31" s="1" t="s">
        <v>25</v>
      </c>
      <c r="I31" s="1" t="s">
        <v>25</v>
      </c>
      <c r="J31" s="1" t="s">
        <v>53</v>
      </c>
      <c r="K31" s="1"/>
      <c r="L31" s="1"/>
      <c r="AD31" s="2"/>
      <c r="AE31" s="2"/>
      <c r="AF31" s="2"/>
      <c r="AG31" s="2"/>
      <c r="AH31" s="2"/>
      <c r="AI31" s="2"/>
    </row>
    <row r="32" spans="1:35" ht="12.75" customHeight="1">
      <c r="A32" s="1"/>
      <c r="B32" s="1"/>
      <c r="C32" s="1"/>
      <c r="D32" s="1" t="s">
        <v>126</v>
      </c>
      <c r="E32" s="1" t="s">
        <v>127</v>
      </c>
      <c r="F32" s="1" t="s">
        <v>128</v>
      </c>
      <c r="G32" s="1"/>
      <c r="H32" s="1" t="s">
        <v>25</v>
      </c>
      <c r="I32" s="1" t="s">
        <v>25</v>
      </c>
      <c r="J32" s="1" t="s">
        <v>129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  <c r="AE32" s="2"/>
      <c r="AF32" s="2"/>
      <c r="AG32" s="2"/>
      <c r="AH32" s="2"/>
      <c r="AI32" s="2"/>
    </row>
    <row r="33" spans="1:35" ht="12.75" customHeight="1">
      <c r="A33" s="1"/>
      <c r="B33" s="1"/>
      <c r="C33" s="1"/>
      <c r="D33" s="1" t="s">
        <v>130</v>
      </c>
      <c r="E33" s="1" t="s">
        <v>131</v>
      </c>
      <c r="F33" s="1" t="s">
        <v>132</v>
      </c>
      <c r="G33" s="1"/>
      <c r="H33" s="1"/>
      <c r="I33" s="1"/>
      <c r="J33" s="1"/>
      <c r="K33" s="1"/>
      <c r="L33" s="1"/>
      <c r="M33" s="1" t="s">
        <v>122</v>
      </c>
      <c r="N33" s="1" t="s">
        <v>49</v>
      </c>
      <c r="O33" s="1" t="s">
        <v>48</v>
      </c>
      <c r="P33" s="1" t="s">
        <v>7</v>
      </c>
      <c r="Q33" s="1" t="s">
        <v>8</v>
      </c>
      <c r="R33" s="1" t="s">
        <v>9</v>
      </c>
      <c r="S33" s="1" t="s">
        <v>10</v>
      </c>
      <c r="T33" s="1" t="s">
        <v>11</v>
      </c>
      <c r="U33" s="1" t="s">
        <v>12</v>
      </c>
      <c r="V33" s="1" t="s">
        <v>13</v>
      </c>
      <c r="W33" s="1" t="s">
        <v>28</v>
      </c>
      <c r="X33" s="1"/>
      <c r="Y33" s="1" t="s">
        <v>29</v>
      </c>
      <c r="Z33" s="1"/>
      <c r="AA33" s="1" t="s">
        <v>123</v>
      </c>
      <c r="AB33" s="1" t="s">
        <v>124</v>
      </c>
      <c r="AC33" s="1" t="s">
        <v>125</v>
      </c>
      <c r="AD33" s="2"/>
      <c r="AE33" s="2"/>
      <c r="AF33" s="2"/>
      <c r="AG33" s="2"/>
      <c r="AH33" s="2"/>
      <c r="AI33" s="2"/>
    </row>
    <row r="34" spans="1:35" ht="12.75" customHeight="1">
      <c r="A34" s="1"/>
      <c r="B34" s="1"/>
      <c r="C34" s="1"/>
      <c r="D34" s="1"/>
      <c r="E34" s="1"/>
      <c r="F34" s="1" t="s">
        <v>133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  <c r="AE34" s="2"/>
      <c r="AF34" s="2"/>
      <c r="AG34" s="2"/>
      <c r="AH34" s="2"/>
      <c r="AI34" s="2"/>
    </row>
    <row r="35" spans="1:35" ht="12.75" customHeight="1">
      <c r="A35" s="1"/>
      <c r="B35" s="1"/>
      <c r="C35" s="1"/>
      <c r="D35" s="2"/>
      <c r="E35" s="2"/>
      <c r="F35" s="2"/>
      <c r="G35" s="1"/>
      <c r="H35" s="1"/>
      <c r="I35" s="1"/>
      <c r="J35" s="1"/>
      <c r="K35" s="1"/>
      <c r="L35" s="1"/>
      <c r="M35" s="1" t="s">
        <v>134</v>
      </c>
      <c r="N35" s="1" t="s">
        <v>85</v>
      </c>
      <c r="O35" s="1" t="s">
        <v>84</v>
      </c>
      <c r="P35" s="1" t="s">
        <v>7</v>
      </c>
      <c r="Q35" s="1"/>
      <c r="R35" s="1"/>
      <c r="S35" s="1"/>
      <c r="T35" s="1" t="s">
        <v>11</v>
      </c>
      <c r="U35" s="1" t="s">
        <v>12</v>
      </c>
      <c r="V35" s="1" t="s">
        <v>13</v>
      </c>
      <c r="W35" s="1" t="s">
        <v>28</v>
      </c>
      <c r="X35" s="1" t="s">
        <v>28</v>
      </c>
      <c r="Y35" s="1" t="s">
        <v>29</v>
      </c>
      <c r="Z35" s="1"/>
      <c r="AA35" s="1" t="s">
        <v>135</v>
      </c>
      <c r="AB35" s="1" t="s">
        <v>71</v>
      </c>
      <c r="AC35" s="1" t="s">
        <v>136</v>
      </c>
      <c r="AD35" s="2"/>
      <c r="AE35" s="2"/>
      <c r="AF35" s="2"/>
      <c r="AG35" s="2"/>
      <c r="AH35" s="2"/>
      <c r="AI35" s="2"/>
    </row>
    <row r="36" spans="1:35" ht="12.75" customHeight="1">
      <c r="A36" s="1"/>
      <c r="B36" s="1"/>
      <c r="C36" s="1"/>
      <c r="D36" s="2"/>
      <c r="E36" s="2"/>
      <c r="F36" s="2"/>
      <c r="G36" s="1"/>
      <c r="H36" s="1"/>
      <c r="I36" s="1"/>
      <c r="J36" s="1"/>
      <c r="K36" s="1"/>
      <c r="L36" s="1"/>
      <c r="M36" s="1"/>
      <c r="N36" s="1" t="s">
        <v>94</v>
      </c>
      <c r="O36" s="1" t="s">
        <v>93</v>
      </c>
      <c r="P36" s="1" t="s">
        <v>7</v>
      </c>
      <c r="Q36" s="1"/>
      <c r="R36" s="1"/>
      <c r="S36" s="1"/>
      <c r="T36" s="1" t="s">
        <v>11</v>
      </c>
      <c r="U36" s="1"/>
      <c r="V36" s="1" t="s">
        <v>318</v>
      </c>
      <c r="W36" s="1" t="s">
        <v>28</v>
      </c>
      <c r="X36" s="1" t="s">
        <v>28</v>
      </c>
      <c r="Y36" s="1" t="s">
        <v>29</v>
      </c>
      <c r="Z36" s="1" t="s">
        <v>113</v>
      </c>
      <c r="AA36" s="1"/>
      <c r="AB36" s="1"/>
      <c r="AC36" s="1"/>
      <c r="AD36" s="2"/>
      <c r="AE36" s="2"/>
      <c r="AF36" s="2"/>
      <c r="AG36" s="2"/>
      <c r="AH36" s="2"/>
      <c r="AI36" s="2"/>
    </row>
    <row r="37" spans="1:35" ht="12.75" customHeight="1">
      <c r="A37" s="1"/>
      <c r="B37" s="1"/>
      <c r="C37" s="1"/>
      <c r="D37" s="2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</row>
    <row r="38" spans="1:35" ht="12.75" customHeight="1">
      <c r="A38" s="1"/>
      <c r="B38" s="1"/>
      <c r="C38" s="1"/>
      <c r="D38" s="2"/>
      <c r="E38" s="2"/>
      <c r="F38" s="2"/>
      <c r="G38" s="1"/>
      <c r="H38" s="1"/>
      <c r="I38" s="1"/>
      <c r="J38" s="1"/>
      <c r="K38" s="1"/>
      <c r="L38" s="1"/>
      <c r="M38" s="1" t="s">
        <v>137</v>
      </c>
      <c r="N38" s="1" t="s">
        <v>94</v>
      </c>
      <c r="O38" s="1" t="s">
        <v>93</v>
      </c>
      <c r="P38" s="1"/>
      <c r="Q38" s="1" t="s">
        <v>8</v>
      </c>
      <c r="R38" s="1" t="s">
        <v>9</v>
      </c>
      <c r="S38" s="1" t="s">
        <v>10</v>
      </c>
      <c r="T38" s="1"/>
      <c r="U38" s="1" t="s">
        <v>317</v>
      </c>
      <c r="V38" s="1"/>
      <c r="W38" s="1"/>
      <c r="X38" s="1"/>
      <c r="Y38" s="1" t="s">
        <v>29</v>
      </c>
      <c r="Z38" s="1"/>
      <c r="AA38" s="1" t="s">
        <v>138</v>
      </c>
      <c r="AB38" s="1" t="s">
        <v>139</v>
      </c>
      <c r="AC38" s="1" t="s">
        <v>140</v>
      </c>
      <c r="AD38" s="2"/>
      <c r="AE38" s="2"/>
      <c r="AF38" s="2"/>
      <c r="AG38" s="2"/>
      <c r="AH38" s="2"/>
      <c r="AI38" s="2"/>
    </row>
    <row r="39" spans="1:35" ht="12.75" customHeight="1">
      <c r="A39" s="1"/>
      <c r="B39" s="1"/>
      <c r="C39" s="1"/>
      <c r="D39" s="2"/>
      <c r="E39" s="2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  <c r="AE39" s="2"/>
      <c r="AF39" s="2"/>
      <c r="AG39" s="2"/>
      <c r="AH39" s="2"/>
      <c r="AI39" s="2"/>
    </row>
    <row r="40" spans="1:35" ht="12.75" customHeight="1">
      <c r="A40" s="1"/>
      <c r="B40" s="1"/>
      <c r="C40" s="1"/>
      <c r="D40" s="2"/>
      <c r="E40" s="2"/>
      <c r="F40" s="2"/>
      <c r="G40" s="1"/>
      <c r="H40" s="1"/>
      <c r="I40" s="1"/>
      <c r="J40" s="1"/>
      <c r="K40" s="1"/>
      <c r="L40" s="1"/>
      <c r="M40" s="1" t="s">
        <v>141</v>
      </c>
      <c r="N40" s="1" t="s">
        <v>97</v>
      </c>
      <c r="O40" s="1" t="s">
        <v>96</v>
      </c>
      <c r="P40" s="1" t="s">
        <v>7</v>
      </c>
      <c r="Q40" s="1" t="s">
        <v>8</v>
      </c>
      <c r="R40" s="1" t="s">
        <v>9</v>
      </c>
      <c r="S40" s="1" t="s">
        <v>10</v>
      </c>
      <c r="T40" s="1" t="s">
        <v>11</v>
      </c>
      <c r="U40" s="1" t="s">
        <v>12</v>
      </c>
      <c r="V40" s="1" t="s">
        <v>13</v>
      </c>
      <c r="W40" s="1" t="s">
        <v>28</v>
      </c>
      <c r="X40" s="1" t="s">
        <v>28</v>
      </c>
      <c r="Y40" s="1"/>
      <c r="Z40" s="1"/>
      <c r="AA40" s="1"/>
      <c r="AB40" s="1" t="s">
        <v>101</v>
      </c>
      <c r="AC40" s="1" t="s">
        <v>142</v>
      </c>
      <c r="AD40" s="2"/>
      <c r="AE40" s="2"/>
      <c r="AF40" s="2"/>
      <c r="AG40" s="2"/>
      <c r="AH40" s="2"/>
      <c r="AI40" s="2"/>
    </row>
    <row r="41" spans="1:35" ht="12.75" customHeight="1">
      <c r="A41" s="1"/>
      <c r="B41" s="1"/>
      <c r="C41" s="1"/>
      <c r="D41" s="2"/>
      <c r="E41" s="2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  <c r="AE41" s="2"/>
      <c r="AF41" s="2"/>
      <c r="AG41" s="2"/>
      <c r="AH41" s="2"/>
      <c r="AI41" s="2"/>
    </row>
    <row r="42" spans="1:35" ht="12.75" customHeight="1">
      <c r="A42" s="1"/>
      <c r="B42" s="1"/>
      <c r="C42" s="1"/>
      <c r="D42" s="2"/>
      <c r="E42" s="2"/>
      <c r="F42" s="2"/>
      <c r="G42" s="1"/>
      <c r="H42" s="1"/>
      <c r="I42" s="1"/>
      <c r="J42" s="1"/>
      <c r="K42" s="1"/>
      <c r="L42" s="1"/>
      <c r="M42" s="1" t="s">
        <v>143</v>
      </c>
      <c r="N42" s="1" t="s">
        <v>110</v>
      </c>
      <c r="O42" s="1" t="s">
        <v>109</v>
      </c>
      <c r="P42" s="1" t="s">
        <v>7</v>
      </c>
      <c r="Q42" s="1" t="s">
        <v>8</v>
      </c>
      <c r="R42" s="1" t="s">
        <v>9</v>
      </c>
      <c r="S42" s="1" t="s">
        <v>10</v>
      </c>
      <c r="T42" s="1" t="s">
        <v>11</v>
      </c>
      <c r="U42" s="1" t="s">
        <v>12</v>
      </c>
      <c r="V42" s="1" t="s">
        <v>13</v>
      </c>
      <c r="W42" s="1" t="s">
        <v>28</v>
      </c>
      <c r="X42" s="1" t="s">
        <v>28</v>
      </c>
      <c r="Y42" s="1" t="s">
        <v>29</v>
      </c>
      <c r="Z42" s="1"/>
      <c r="AA42" s="1" t="s">
        <v>144</v>
      </c>
      <c r="AB42" s="1" t="s">
        <v>46</v>
      </c>
      <c r="AC42" s="1" t="s">
        <v>145</v>
      </c>
      <c r="AD42" s="2"/>
      <c r="AE42" s="2"/>
      <c r="AF42" s="2"/>
      <c r="AG42" s="2"/>
      <c r="AH42" s="2"/>
      <c r="AI42" s="2"/>
    </row>
    <row r="43" spans="1:35" ht="12.75" customHeight="1">
      <c r="A43" s="1"/>
      <c r="B43" s="1"/>
      <c r="C43" s="1"/>
      <c r="D43" s="2"/>
      <c r="E43" s="2"/>
      <c r="F43" s="2"/>
      <c r="G43" s="1"/>
      <c r="H43" s="1"/>
      <c r="I43" s="1"/>
      <c r="J43" s="1"/>
      <c r="K43" s="1"/>
      <c r="L43" s="1"/>
      <c r="M43" s="1" t="s">
        <v>146</v>
      </c>
      <c r="N43" s="1" t="s">
        <v>110</v>
      </c>
      <c r="O43" s="1" t="s">
        <v>147</v>
      </c>
      <c r="P43" s="1" t="s">
        <v>7</v>
      </c>
      <c r="Q43" s="1" t="s">
        <v>8</v>
      </c>
      <c r="R43" s="1" t="s">
        <v>9</v>
      </c>
      <c r="S43" s="1" t="s">
        <v>10</v>
      </c>
      <c r="T43" s="1" t="s">
        <v>11</v>
      </c>
      <c r="U43" s="1" t="s">
        <v>12</v>
      </c>
      <c r="V43" s="1" t="s">
        <v>13</v>
      </c>
      <c r="W43" s="1" t="s">
        <v>28</v>
      </c>
      <c r="X43" s="1"/>
      <c r="Y43" s="1" t="s">
        <v>29</v>
      </c>
      <c r="Z43" s="1"/>
      <c r="AA43" s="1" t="s">
        <v>148</v>
      </c>
      <c r="AB43" s="1" t="s">
        <v>82</v>
      </c>
      <c r="AC43" s="1" t="s">
        <v>149</v>
      </c>
      <c r="AD43" s="2"/>
      <c r="AE43" s="2"/>
      <c r="AF43" s="2"/>
      <c r="AG43" s="2"/>
      <c r="AH43" s="2"/>
      <c r="AI43" s="4"/>
    </row>
    <row r="44" spans="1:35" ht="12.75" customHeight="1">
      <c r="A44" s="1"/>
      <c r="B44" s="1"/>
      <c r="C44" s="1"/>
      <c r="D44" s="2"/>
      <c r="E44" s="2"/>
      <c r="F44" s="2"/>
      <c r="G44" s="1"/>
      <c r="H44" s="1"/>
      <c r="I44" s="1"/>
      <c r="J44" s="1"/>
      <c r="K44" s="1"/>
      <c r="L44" s="1"/>
      <c r="M44" s="1" t="s">
        <v>150</v>
      </c>
      <c r="N44" s="1" t="s">
        <v>110</v>
      </c>
      <c r="O44" s="1" t="s">
        <v>413</v>
      </c>
      <c r="P44" s="1" t="s">
        <v>7</v>
      </c>
      <c r="Q44" s="1" t="s">
        <v>8</v>
      </c>
      <c r="R44" s="1" t="s">
        <v>9</v>
      </c>
      <c r="S44" s="1" t="s">
        <v>10</v>
      </c>
      <c r="T44" s="1" t="s">
        <v>11</v>
      </c>
      <c r="U44" s="1" t="s">
        <v>12</v>
      </c>
      <c r="V44" s="1" t="s">
        <v>13</v>
      </c>
      <c r="W44" s="1" t="s">
        <v>28</v>
      </c>
      <c r="X44" s="1" t="s">
        <v>28</v>
      </c>
      <c r="Y44" s="1"/>
      <c r="Z44" s="1"/>
      <c r="AA44" s="1" t="s">
        <v>151</v>
      </c>
      <c r="AB44" s="1" t="s">
        <v>447</v>
      </c>
      <c r="AC44" s="53" t="s">
        <v>448</v>
      </c>
      <c r="AD44" s="2"/>
      <c r="AE44" s="2"/>
      <c r="AF44" s="2"/>
      <c r="AG44" s="2"/>
      <c r="AH44" s="2"/>
      <c r="AI44" s="2"/>
    </row>
    <row r="45" spans="1:35" ht="12.75" customHeight="1">
      <c r="A45" s="1"/>
      <c r="B45" s="1"/>
      <c r="C45" s="1"/>
      <c r="D45" s="2"/>
      <c r="E45" s="2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"/>
      <c r="AE45" s="2"/>
      <c r="AF45" s="2"/>
      <c r="AG45" s="2"/>
      <c r="AH45" s="2"/>
      <c r="AI45" s="2"/>
    </row>
    <row r="46" spans="1:35" ht="12.75" customHeight="1">
      <c r="A46" s="1"/>
      <c r="B46" s="1"/>
      <c r="C46" s="1"/>
      <c r="D46" s="2"/>
      <c r="E46" s="2"/>
      <c r="F46" s="2"/>
      <c r="G46" s="1"/>
      <c r="H46" s="1"/>
      <c r="I46" s="1"/>
      <c r="J46" s="1"/>
      <c r="K46" s="1"/>
      <c r="L46" s="1"/>
      <c r="M46" s="1" t="s">
        <v>408</v>
      </c>
      <c r="N46" s="1" t="s">
        <v>106</v>
      </c>
      <c r="O46" s="1" t="s">
        <v>105</v>
      </c>
      <c r="P46" s="1" t="s">
        <v>7</v>
      </c>
      <c r="Q46" s="1" t="s">
        <v>8</v>
      </c>
      <c r="R46" s="1" t="s">
        <v>9</v>
      </c>
      <c r="S46" s="1" t="s">
        <v>10</v>
      </c>
      <c r="T46" s="1" t="s">
        <v>11</v>
      </c>
      <c r="U46" s="1" t="s">
        <v>12</v>
      </c>
      <c r="V46" s="1" t="s">
        <v>13</v>
      </c>
      <c r="W46" s="1" t="s">
        <v>28</v>
      </c>
      <c r="X46" s="1" t="s">
        <v>28</v>
      </c>
      <c r="Y46" s="1"/>
      <c r="Z46" s="1"/>
      <c r="AA46" s="1"/>
      <c r="AB46" s="1" t="s">
        <v>409</v>
      </c>
      <c r="AC46" s="1" t="s">
        <v>410</v>
      </c>
      <c r="AD46" s="2"/>
      <c r="AE46" s="2"/>
      <c r="AF46" s="2"/>
      <c r="AG46" s="2"/>
      <c r="AH46" s="2"/>
      <c r="AI46" s="2"/>
    </row>
    <row r="47" spans="1:35" ht="12.75" customHeight="1">
      <c r="A47" s="1"/>
      <c r="B47" s="1"/>
      <c r="C47" s="1"/>
      <c r="D47" s="2"/>
      <c r="E47" s="2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  <c r="AE47" s="2"/>
      <c r="AF47" s="2"/>
      <c r="AG47" s="2"/>
      <c r="AH47" s="2"/>
      <c r="AI47" s="2"/>
    </row>
    <row r="48" spans="1:35" ht="12.75" customHeight="1">
      <c r="A48" s="1"/>
      <c r="B48" s="1"/>
      <c r="C48" s="1"/>
      <c r="D48" s="2"/>
      <c r="E48" s="2"/>
      <c r="F48" s="2"/>
      <c r="G48" s="1"/>
      <c r="H48" s="1"/>
      <c r="I48" s="1"/>
      <c r="J48" s="1"/>
      <c r="K48" s="1"/>
      <c r="L48" s="1"/>
      <c r="M48" s="1" t="s">
        <v>153</v>
      </c>
      <c r="N48" s="1" t="s">
        <v>118</v>
      </c>
      <c r="O48" s="1" t="s">
        <v>414</v>
      </c>
      <c r="P48" s="1" t="s">
        <v>7</v>
      </c>
      <c r="Q48" s="1" t="s">
        <v>8</v>
      </c>
      <c r="R48" s="1" t="s">
        <v>9</v>
      </c>
      <c r="S48" s="1" t="s">
        <v>10</v>
      </c>
      <c r="T48" s="1" t="s">
        <v>11</v>
      </c>
      <c r="U48" s="1" t="s">
        <v>12</v>
      </c>
      <c r="V48" s="1" t="s">
        <v>13</v>
      </c>
      <c r="W48" s="1" t="s">
        <v>28</v>
      </c>
      <c r="X48" s="1" t="s">
        <v>28</v>
      </c>
      <c r="Y48" s="1"/>
      <c r="Z48" s="1"/>
      <c r="AA48" s="1" t="s">
        <v>488</v>
      </c>
      <c r="AB48" s="1" t="s">
        <v>427</v>
      </c>
      <c r="AC48" s="1" t="s">
        <v>585</v>
      </c>
      <c r="AD48" s="4" t="s">
        <v>154</v>
      </c>
      <c r="AE48" s="2"/>
      <c r="AF48" s="2"/>
      <c r="AG48" s="2"/>
      <c r="AH48" s="2"/>
      <c r="AI48" s="2"/>
    </row>
    <row r="49" spans="1:35" ht="12.75" customHeight="1">
      <c r="A49" s="1"/>
      <c r="B49" s="1"/>
      <c r="C49" s="1"/>
      <c r="D49" s="2"/>
      <c r="E49" s="2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"/>
      <c r="AE49" s="2"/>
      <c r="AF49" s="2"/>
      <c r="AG49" s="2"/>
      <c r="AH49" s="2"/>
      <c r="AI49" s="2"/>
    </row>
    <row r="50" spans="1:35" ht="12.75" customHeight="1">
      <c r="A50" s="1"/>
      <c r="B50" s="1"/>
      <c r="C50" s="1"/>
      <c r="D50" s="2"/>
      <c r="E50" s="2"/>
      <c r="F50" s="2"/>
      <c r="G50" s="1"/>
      <c r="H50" s="1"/>
      <c r="I50" s="1"/>
      <c r="J50" s="1"/>
      <c r="K50" s="1"/>
      <c r="L50" s="1"/>
      <c r="M50" s="1" t="s">
        <v>155</v>
      </c>
      <c r="N50" s="1" t="s">
        <v>127</v>
      </c>
      <c r="O50" s="1" t="s">
        <v>126</v>
      </c>
      <c r="P50" s="1" t="s">
        <v>7</v>
      </c>
      <c r="Q50" s="1" t="s">
        <v>8</v>
      </c>
      <c r="R50" s="1" t="s">
        <v>9</v>
      </c>
      <c r="S50" s="1" t="s">
        <v>10</v>
      </c>
      <c r="T50" s="1" t="s">
        <v>11</v>
      </c>
      <c r="U50" s="1" t="s">
        <v>12</v>
      </c>
      <c r="V50" s="1" t="s">
        <v>13</v>
      </c>
      <c r="W50" s="1" t="s">
        <v>28</v>
      </c>
      <c r="X50" s="1" t="s">
        <v>28</v>
      </c>
      <c r="Y50" s="1"/>
      <c r="Z50" s="1"/>
      <c r="AA50" s="53" t="s">
        <v>442</v>
      </c>
      <c r="AB50" s="1" t="s">
        <v>443</v>
      </c>
      <c r="AC50" s="53" t="s">
        <v>444</v>
      </c>
      <c r="AD50" s="4" t="s">
        <v>156</v>
      </c>
      <c r="AE50" s="2"/>
      <c r="AF50" s="2"/>
      <c r="AG50" s="2"/>
      <c r="AH50" s="2"/>
      <c r="AI50" s="2"/>
    </row>
    <row r="51" spans="1:35" ht="12.75" customHeight="1">
      <c r="A51" s="1"/>
      <c r="B51" s="1"/>
      <c r="C51" s="1"/>
      <c r="D51" s="2"/>
      <c r="E51" s="2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  <c r="AE51" s="2"/>
      <c r="AF51" s="2"/>
      <c r="AG51" s="2"/>
      <c r="AH51" s="2"/>
      <c r="AI51" s="2"/>
    </row>
    <row r="52" spans="1:35" ht="12.75" customHeight="1">
      <c r="A52" s="1"/>
      <c r="B52" s="1"/>
      <c r="C52" s="1"/>
      <c r="D52" s="2"/>
      <c r="E52" s="2"/>
      <c r="F52" s="2"/>
      <c r="G52" s="1"/>
      <c r="H52" s="1"/>
      <c r="I52" s="1"/>
      <c r="J52" s="1"/>
      <c r="K52" s="1"/>
      <c r="L52" s="1"/>
      <c r="M52" s="1"/>
      <c r="N52" s="1" t="s">
        <v>131</v>
      </c>
      <c r="O52" s="1" t="s">
        <v>157</v>
      </c>
      <c r="P52" s="1"/>
      <c r="Q52" s="1"/>
      <c r="R52" s="1"/>
      <c r="S52" s="1"/>
      <c r="T52" s="1"/>
      <c r="U52" s="1" t="s">
        <v>12</v>
      </c>
      <c r="V52" s="1" t="s">
        <v>13</v>
      </c>
      <c r="W52" s="1" t="s">
        <v>28</v>
      </c>
      <c r="X52" s="1" t="s">
        <v>28</v>
      </c>
      <c r="Y52" s="1"/>
      <c r="Z52" s="1"/>
      <c r="AA52" s="1"/>
      <c r="AB52" s="1"/>
      <c r="AC52" s="1"/>
      <c r="AD52" s="2"/>
      <c r="AE52" s="2"/>
      <c r="AF52" s="2"/>
      <c r="AG52" s="2"/>
      <c r="AH52" s="2"/>
      <c r="AI52" s="2"/>
    </row>
    <row r="53" spans="1:35" ht="12.75" customHeight="1">
      <c r="A53" s="1"/>
      <c r="B53" s="1"/>
      <c r="C53" s="1"/>
      <c r="D53" s="2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 t="s">
        <v>7</v>
      </c>
      <c r="Q53" s="1" t="s">
        <v>8</v>
      </c>
      <c r="R53" s="1" t="s">
        <v>9</v>
      </c>
      <c r="S53" s="1" t="s">
        <v>10</v>
      </c>
      <c r="T53" s="1" t="s">
        <v>11</v>
      </c>
      <c r="U53" s="1"/>
      <c r="V53" s="1"/>
      <c r="W53" s="1" t="s">
        <v>28</v>
      </c>
      <c r="X53" s="1" t="s">
        <v>28</v>
      </c>
      <c r="Y53" s="1"/>
      <c r="Z53" s="1"/>
      <c r="AA53" s="1"/>
      <c r="AB53" s="1"/>
      <c r="AC53" s="1"/>
      <c r="AD53" s="2"/>
      <c r="AE53" s="2"/>
      <c r="AF53" s="2"/>
      <c r="AG53" s="2"/>
      <c r="AH53" s="2"/>
      <c r="AI53" s="2"/>
    </row>
    <row r="54" spans="1:35" ht="12.75" customHeight="1">
      <c r="A54" s="1"/>
      <c r="B54" s="1"/>
      <c r="C54" s="1"/>
      <c r="D54" s="2"/>
      <c r="E54" s="2"/>
      <c r="F54" s="2"/>
      <c r="G54" s="1"/>
      <c r="H54" s="1"/>
      <c r="I54" s="1"/>
      <c r="J54" s="1"/>
      <c r="K54" s="1"/>
      <c r="L54" s="1"/>
      <c r="M54" s="1" t="s">
        <v>158</v>
      </c>
      <c r="N54" s="1"/>
      <c r="O54" s="1"/>
      <c r="P54" s="1" t="s">
        <v>7</v>
      </c>
      <c r="Q54" s="1" t="s">
        <v>8</v>
      </c>
      <c r="R54" s="1" t="s">
        <v>9</v>
      </c>
      <c r="S54" s="1" t="s">
        <v>10</v>
      </c>
      <c r="T54" s="1" t="s">
        <v>11</v>
      </c>
      <c r="U54" s="1" t="s">
        <v>12</v>
      </c>
      <c r="V54" s="1" t="s">
        <v>13</v>
      </c>
      <c r="W54" s="1" t="s">
        <v>28</v>
      </c>
      <c r="X54" s="1" t="s">
        <v>28</v>
      </c>
      <c r="Y54" s="1" t="s">
        <v>29</v>
      </c>
      <c r="Z54" s="1"/>
      <c r="AA54" s="1" t="s">
        <v>159</v>
      </c>
      <c r="AB54" s="1" t="s">
        <v>139</v>
      </c>
      <c r="AC54" s="1" t="s">
        <v>160</v>
      </c>
      <c r="AD54" s="2"/>
      <c r="AE54" s="2"/>
      <c r="AF54" s="2"/>
      <c r="AG54" s="2"/>
      <c r="AH54" s="2"/>
      <c r="AI54" s="2"/>
    </row>
    <row r="55" spans="1:3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"/>
      <c r="AE55" s="2"/>
      <c r="AF55" s="2"/>
      <c r="AG55" s="2"/>
      <c r="AH55" s="2"/>
      <c r="AI55" s="2"/>
    </row>
    <row r="56" spans="1:35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"/>
      <c r="AE56" s="2"/>
      <c r="AF56" s="2"/>
      <c r="AG56" s="2"/>
      <c r="AH56" s="2"/>
      <c r="AI56" s="2"/>
    </row>
    <row r="57" spans="1:35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499</v>
      </c>
      <c r="N57" s="1" t="s">
        <v>586</v>
      </c>
      <c r="O57" s="1" t="s">
        <v>587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 t="s">
        <v>447</v>
      </c>
      <c r="AC57" s="53" t="s">
        <v>1220</v>
      </c>
      <c r="AD57" s="2"/>
      <c r="AE57" s="2"/>
      <c r="AF57" s="2"/>
      <c r="AG57" s="2"/>
      <c r="AH57" s="2"/>
      <c r="AI57" s="2"/>
    </row>
    <row r="58" spans="1:35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/>
      <c r="AE58" s="2"/>
      <c r="AF58" s="2"/>
      <c r="AG58" s="2"/>
      <c r="AH58" s="2"/>
      <c r="AI58" s="2"/>
    </row>
    <row r="59" spans="1:35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"/>
      <c r="AE59" s="2"/>
      <c r="AF59" s="2"/>
      <c r="AG59" s="2"/>
      <c r="AH59" s="2"/>
      <c r="AI59" s="2"/>
    </row>
    <row r="60" spans="1:35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2"/>
      <c r="AF60" s="2"/>
      <c r="AG60" s="2"/>
      <c r="AH60" s="2"/>
      <c r="AI60" s="2"/>
    </row>
    <row r="61" spans="1:35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  <c r="AE61" s="2"/>
      <c r="AF61" s="2"/>
      <c r="AG61" s="2"/>
      <c r="AH61" s="2"/>
      <c r="AI61" s="2"/>
    </row>
    <row r="62" spans="1:35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2"/>
      <c r="AF62" s="2"/>
      <c r="AG62" s="2"/>
      <c r="AH62" s="2"/>
      <c r="AI62" s="2"/>
    </row>
    <row r="63" spans="1:35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"/>
      <c r="AE63" s="2"/>
      <c r="AF63" s="2"/>
      <c r="AG63" s="2"/>
      <c r="AH63" s="2"/>
      <c r="AI63" s="2"/>
    </row>
    <row r="64" spans="1:35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"/>
      <c r="AE64" s="2"/>
      <c r="AF64" s="2"/>
      <c r="AG64" s="2"/>
      <c r="AH64" s="2"/>
      <c r="AI64" s="2"/>
    </row>
    <row r="65" spans="1:3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"/>
      <c r="AE65" s="2"/>
      <c r="AF65" s="2"/>
      <c r="AG65" s="2"/>
      <c r="AH65" s="2"/>
      <c r="AI65" s="2"/>
    </row>
    <row r="66" spans="1:35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"/>
      <c r="AE66" s="2"/>
      <c r="AF66" s="2"/>
      <c r="AG66" s="2"/>
      <c r="AH66" s="2"/>
      <c r="AI66" s="2"/>
    </row>
    <row r="67" spans="1:35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/>
      <c r="AE67" s="2"/>
      <c r="AF67" s="2"/>
      <c r="AG67" s="2"/>
      <c r="AH67" s="2"/>
      <c r="AI67" s="2"/>
    </row>
    <row r="68" spans="1:35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"/>
      <c r="AE68" s="2"/>
      <c r="AF68" s="2"/>
      <c r="AG68" s="2"/>
      <c r="AH68" s="2"/>
      <c r="AI68" s="2"/>
    </row>
    <row r="69" spans="1:35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"/>
      <c r="AE69" s="2"/>
      <c r="AF69" s="2"/>
      <c r="AG69" s="2"/>
      <c r="AH69" s="2"/>
      <c r="AI69" s="2"/>
    </row>
    <row r="70" spans="1:35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"/>
      <c r="AE70" s="2"/>
      <c r="AF70" s="2"/>
      <c r="AG70" s="2"/>
      <c r="AH70" s="2"/>
      <c r="AI70" s="2"/>
    </row>
    <row r="71" spans="1:35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"/>
      <c r="AE71" s="2"/>
      <c r="AF71" s="2"/>
      <c r="AG71" s="2"/>
      <c r="AH71" s="2"/>
      <c r="AI71" s="2"/>
    </row>
    <row r="72" spans="1:35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"/>
      <c r="AE72" s="2"/>
      <c r="AF72" s="2"/>
      <c r="AG72" s="2"/>
      <c r="AH72" s="2"/>
      <c r="AI72" s="2"/>
    </row>
    <row r="73" spans="1:35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"/>
      <c r="AE73" s="2"/>
      <c r="AF73" s="2"/>
      <c r="AG73" s="2"/>
      <c r="AH73" s="2"/>
      <c r="AI73" s="2"/>
    </row>
    <row r="74" spans="1:35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"/>
      <c r="AE74" s="2"/>
      <c r="AF74" s="2"/>
      <c r="AG74" s="2"/>
      <c r="AH74" s="2"/>
      <c r="AI74" s="2"/>
    </row>
    <row r="75" spans="1:3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"/>
      <c r="AE75" s="2"/>
      <c r="AF75" s="2"/>
      <c r="AG75" s="2"/>
      <c r="AH75" s="2"/>
      <c r="AI75" s="2"/>
    </row>
    <row r="76" spans="1:35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"/>
      <c r="AE76" s="2"/>
      <c r="AF76" s="2"/>
      <c r="AG76" s="2"/>
      <c r="AH76" s="2"/>
      <c r="AI76" s="2"/>
    </row>
    <row r="77" spans="1:35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2"/>
      <c r="AE77" s="2"/>
      <c r="AF77" s="2"/>
      <c r="AG77" s="2"/>
      <c r="AH77" s="2"/>
      <c r="AI77" s="2"/>
    </row>
    <row r="78" spans="1:35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"/>
      <c r="AE78" s="2"/>
      <c r="AF78" s="2"/>
      <c r="AG78" s="2"/>
      <c r="AH78" s="2"/>
      <c r="AI78" s="2"/>
    </row>
    <row r="79" spans="1:35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2"/>
      <c r="AE79" s="2"/>
      <c r="AF79" s="2"/>
      <c r="AG79" s="2"/>
      <c r="AH79" s="2"/>
      <c r="AI79" s="2"/>
    </row>
    <row r="80" spans="1:35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2"/>
      <c r="AE80" s="2"/>
      <c r="AF80" s="2"/>
      <c r="AG80" s="2"/>
      <c r="AH80" s="2"/>
      <c r="AI80" s="2"/>
    </row>
    <row r="81" spans="1:35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2"/>
      <c r="AE81" s="2"/>
      <c r="AF81" s="2"/>
      <c r="AG81" s="2"/>
      <c r="AH81" s="2"/>
      <c r="AI81" s="2"/>
    </row>
    <row r="82" spans="1:35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"/>
      <c r="AE82" s="2"/>
      <c r="AF82" s="2"/>
      <c r="AG82" s="2"/>
      <c r="AH82" s="2"/>
      <c r="AI82" s="2"/>
    </row>
    <row r="83" spans="1:35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"/>
      <c r="AE83" s="2"/>
      <c r="AF83" s="2"/>
      <c r="AG83" s="2"/>
      <c r="AH83" s="2"/>
      <c r="AI83" s="2"/>
    </row>
    <row r="84" spans="1:35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"/>
      <c r="AE84" s="2"/>
      <c r="AF84" s="2"/>
      <c r="AG84" s="2"/>
      <c r="AH84" s="2"/>
      <c r="AI84" s="2"/>
    </row>
    <row r="85" spans="1:3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"/>
      <c r="AE85" s="2"/>
      <c r="AF85" s="2"/>
      <c r="AG85" s="2"/>
      <c r="AH85" s="2"/>
      <c r="AI85" s="2"/>
    </row>
    <row r="86" spans="1:35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"/>
      <c r="AE86" s="2"/>
      <c r="AF86" s="2"/>
      <c r="AG86" s="2"/>
      <c r="AH86" s="2"/>
      <c r="AI86" s="2"/>
    </row>
    <row r="87" spans="1:35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"/>
      <c r="AE87" s="2"/>
      <c r="AF87" s="2"/>
      <c r="AG87" s="2"/>
      <c r="AH87" s="2"/>
      <c r="AI87" s="2"/>
    </row>
    <row r="88" spans="1:35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"/>
      <c r="AE88" s="2"/>
      <c r="AF88" s="2"/>
      <c r="AG88" s="2"/>
      <c r="AH88" s="2"/>
      <c r="AI88" s="2"/>
    </row>
    <row r="89" spans="1:35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2"/>
      <c r="AE89" s="2"/>
      <c r="AF89" s="2"/>
      <c r="AG89" s="2"/>
      <c r="AH89" s="2"/>
      <c r="AI89" s="2"/>
    </row>
    <row r="90" spans="1:35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2"/>
      <c r="AE90" s="2"/>
      <c r="AF90" s="2"/>
      <c r="AG90" s="2"/>
      <c r="AH90" s="2"/>
      <c r="AI90" s="2"/>
    </row>
    <row r="91" spans="1:35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2"/>
      <c r="AE91" s="2"/>
      <c r="AF91" s="2"/>
      <c r="AG91" s="2"/>
      <c r="AH91" s="2"/>
      <c r="AI91" s="2"/>
    </row>
    <row r="92" spans="1:35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"/>
      <c r="AE92" s="2"/>
      <c r="AF92" s="2"/>
      <c r="AG92" s="2"/>
      <c r="AH92" s="2"/>
      <c r="AI92" s="2"/>
    </row>
    <row r="93" spans="1:35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"/>
      <c r="AE93" s="2"/>
      <c r="AF93" s="2"/>
      <c r="AG93" s="2"/>
      <c r="AH93" s="2"/>
      <c r="AI93" s="2"/>
    </row>
    <row r="94" spans="1:35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"/>
      <c r="AE94" s="2"/>
      <c r="AF94" s="2"/>
      <c r="AG94" s="2"/>
      <c r="AH94" s="2"/>
      <c r="AI94" s="2"/>
    </row>
    <row r="95" spans="1:3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"/>
      <c r="AE95" s="2"/>
      <c r="AF95" s="2"/>
      <c r="AG95" s="2"/>
      <c r="AH95" s="2"/>
      <c r="AI95" s="2"/>
    </row>
    <row r="96" spans="1:35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2"/>
      <c r="AE96" s="2"/>
      <c r="AF96" s="2"/>
      <c r="AG96" s="2"/>
      <c r="AH96" s="2"/>
      <c r="AI96" s="2"/>
    </row>
    <row r="97" spans="1:35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2"/>
      <c r="AE97" s="2"/>
      <c r="AF97" s="2"/>
      <c r="AG97" s="2"/>
      <c r="AH97" s="2"/>
      <c r="AI97" s="2"/>
    </row>
    <row r="98" spans="1:35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2"/>
      <c r="AE98" s="2"/>
      <c r="AF98" s="2"/>
      <c r="AG98" s="2"/>
      <c r="AH98" s="2"/>
      <c r="AI98" s="2"/>
    </row>
    <row r="99" spans="1:35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2"/>
      <c r="AE99" s="2"/>
      <c r="AF99" s="2"/>
      <c r="AG99" s="2"/>
      <c r="AH99" s="2"/>
      <c r="AI99" s="2"/>
    </row>
    <row r="100" spans="1:35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2"/>
      <c r="AE100" s="2"/>
      <c r="AF100" s="2"/>
      <c r="AG100" s="2"/>
      <c r="AH100" s="2"/>
      <c r="AI100" s="2"/>
    </row>
    <row r="101" spans="1:35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"/>
      <c r="AE101" s="2"/>
      <c r="AF101" s="2"/>
      <c r="AG101" s="2"/>
      <c r="AH101" s="2"/>
      <c r="AI101" s="2"/>
    </row>
    <row r="102" spans="1:35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2"/>
      <c r="AE102" s="2"/>
      <c r="AF102" s="2"/>
      <c r="AG102" s="2"/>
      <c r="AH102" s="2"/>
      <c r="AI102" s="2"/>
    </row>
    <row r="103" spans="1:35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2"/>
      <c r="AE103" s="2"/>
      <c r="AF103" s="2"/>
      <c r="AG103" s="2"/>
      <c r="AH103" s="2"/>
      <c r="AI103" s="2"/>
    </row>
    <row r="104" spans="1:35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"/>
      <c r="AE104" s="2"/>
      <c r="AF104" s="2"/>
      <c r="AG104" s="2"/>
      <c r="AH104" s="2"/>
      <c r="AI104" s="2"/>
    </row>
    <row r="105" spans="1:3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2"/>
      <c r="AE105" s="2"/>
      <c r="AF105" s="2"/>
      <c r="AG105" s="2"/>
      <c r="AH105" s="2"/>
      <c r="AI105" s="2"/>
    </row>
    <row r="106" spans="1:35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2"/>
      <c r="AE106" s="2"/>
      <c r="AF106" s="2"/>
      <c r="AG106" s="2"/>
      <c r="AH106" s="2"/>
      <c r="AI106" s="2"/>
    </row>
    <row r="107" spans="1:35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2"/>
      <c r="AE107" s="2"/>
      <c r="AF107" s="2"/>
      <c r="AG107" s="2"/>
      <c r="AH107" s="2"/>
      <c r="AI107" s="2"/>
    </row>
    <row r="108" spans="1:35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2"/>
      <c r="AE108" s="2"/>
      <c r="AF108" s="2"/>
      <c r="AG108" s="2"/>
      <c r="AH108" s="2"/>
      <c r="AI108" s="2"/>
    </row>
    <row r="109" spans="1:35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2"/>
      <c r="AE109" s="2"/>
      <c r="AF109" s="2"/>
      <c r="AG109" s="2"/>
      <c r="AH109" s="2"/>
      <c r="AI109" s="2"/>
    </row>
    <row r="110" spans="1:35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2"/>
      <c r="AE110" s="2"/>
      <c r="AF110" s="2"/>
      <c r="AG110" s="2"/>
      <c r="AH110" s="2"/>
      <c r="AI110" s="2"/>
    </row>
    <row r="111" spans="1:35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2"/>
      <c r="AE111" s="2"/>
      <c r="AF111" s="2"/>
      <c r="AG111" s="2"/>
      <c r="AH111" s="2"/>
      <c r="AI111" s="2"/>
    </row>
    <row r="112" spans="1:35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2"/>
      <c r="AE112" s="2"/>
      <c r="AF112" s="2"/>
      <c r="AG112" s="2"/>
      <c r="AH112" s="2"/>
      <c r="AI112" s="2"/>
    </row>
    <row r="113" spans="1:35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2"/>
      <c r="AE113" s="2"/>
      <c r="AF113" s="2"/>
      <c r="AG113" s="2"/>
      <c r="AH113" s="2"/>
      <c r="AI113" s="2"/>
    </row>
    <row r="114" spans="1:35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2"/>
      <c r="AE114" s="2"/>
      <c r="AF114" s="2"/>
      <c r="AG114" s="2"/>
      <c r="AH114" s="2"/>
      <c r="AI114" s="2"/>
    </row>
    <row r="115" spans="1:3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2"/>
      <c r="AE115" s="2"/>
      <c r="AF115" s="2"/>
      <c r="AG115" s="2"/>
      <c r="AH115" s="2"/>
      <c r="AI115" s="2"/>
    </row>
    <row r="116" spans="1:35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2"/>
      <c r="AE116" s="2"/>
      <c r="AF116" s="2"/>
      <c r="AG116" s="2"/>
      <c r="AH116" s="2"/>
      <c r="AI116" s="2"/>
    </row>
    <row r="117" spans="1:35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2"/>
      <c r="AE117" s="2"/>
      <c r="AF117" s="2"/>
      <c r="AG117" s="2"/>
      <c r="AH117" s="2"/>
      <c r="AI117" s="2"/>
    </row>
    <row r="118" spans="1:35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2"/>
      <c r="AE118" s="2"/>
      <c r="AF118" s="2"/>
      <c r="AG118" s="2"/>
      <c r="AH118" s="2"/>
      <c r="AI118" s="2"/>
    </row>
    <row r="119" spans="1:35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"/>
      <c r="AE119" s="2"/>
      <c r="AF119" s="2"/>
      <c r="AG119" s="2"/>
      <c r="AH119" s="2"/>
      <c r="AI119" s="2"/>
    </row>
    <row r="120" spans="1:35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"/>
      <c r="AE120" s="2"/>
      <c r="AF120" s="2"/>
      <c r="AG120" s="2"/>
      <c r="AH120" s="2"/>
      <c r="AI120" s="2"/>
    </row>
    <row r="121" spans="1:35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2"/>
      <c r="AE121" s="2"/>
      <c r="AF121" s="2"/>
      <c r="AG121" s="2"/>
      <c r="AH121" s="2"/>
      <c r="AI121" s="2"/>
    </row>
    <row r="122" spans="1:35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2"/>
      <c r="AE122" s="2"/>
      <c r="AF122" s="2"/>
      <c r="AG122" s="2"/>
      <c r="AH122" s="2"/>
      <c r="AI122" s="2"/>
    </row>
    <row r="123" spans="1:35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2"/>
      <c r="AE123" s="2"/>
      <c r="AF123" s="2"/>
      <c r="AG123" s="2"/>
      <c r="AH123" s="2"/>
      <c r="AI123" s="2"/>
    </row>
    <row r="124" spans="1:35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2"/>
      <c r="AE124" s="2"/>
      <c r="AF124" s="2"/>
      <c r="AG124" s="2"/>
      <c r="AH124" s="2"/>
      <c r="AI124" s="2"/>
    </row>
    <row r="125" spans="1:3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2"/>
      <c r="AE125" s="2"/>
      <c r="AF125" s="2"/>
      <c r="AG125" s="2"/>
      <c r="AH125" s="2"/>
      <c r="AI125" s="2"/>
    </row>
    <row r="126" spans="1:35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2"/>
      <c r="AE126" s="2"/>
      <c r="AF126" s="2"/>
      <c r="AG126" s="2"/>
      <c r="AH126" s="2"/>
      <c r="AI126" s="2"/>
    </row>
    <row r="127" spans="1:35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2"/>
      <c r="AE127" s="2"/>
      <c r="AF127" s="2"/>
      <c r="AG127" s="2"/>
      <c r="AH127" s="2"/>
      <c r="AI127" s="2"/>
    </row>
    <row r="128" spans="1:35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2"/>
      <c r="AE128" s="2"/>
      <c r="AF128" s="2"/>
      <c r="AG128" s="2"/>
      <c r="AH128" s="2"/>
      <c r="AI128" s="2"/>
    </row>
    <row r="129" spans="1:35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2"/>
      <c r="AE129" s="2"/>
      <c r="AF129" s="2"/>
      <c r="AG129" s="2"/>
      <c r="AH129" s="2"/>
      <c r="AI129" s="2"/>
    </row>
    <row r="130" spans="1:35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2"/>
      <c r="AE130" s="2"/>
      <c r="AF130" s="2"/>
      <c r="AG130" s="2"/>
      <c r="AH130" s="2"/>
      <c r="AI130" s="2"/>
    </row>
    <row r="131" spans="1:35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2"/>
      <c r="AE131" s="2"/>
      <c r="AF131" s="2"/>
      <c r="AG131" s="2"/>
      <c r="AH131" s="2"/>
      <c r="AI131" s="2"/>
    </row>
    <row r="132" spans="1:35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2"/>
      <c r="AE132" s="2"/>
      <c r="AF132" s="2"/>
      <c r="AG132" s="2"/>
      <c r="AH132" s="2"/>
      <c r="AI132" s="2"/>
    </row>
    <row r="133" spans="1:35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2"/>
      <c r="AE133" s="2"/>
      <c r="AF133" s="2"/>
      <c r="AG133" s="2"/>
      <c r="AH133" s="2"/>
      <c r="AI133" s="2"/>
    </row>
    <row r="134" spans="1:35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2"/>
      <c r="AE134" s="2"/>
      <c r="AF134" s="2"/>
      <c r="AG134" s="2"/>
      <c r="AH134" s="2"/>
      <c r="AI134" s="2"/>
    </row>
    <row r="135" spans="1: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2"/>
      <c r="AE135" s="2"/>
      <c r="AF135" s="2"/>
      <c r="AG135" s="2"/>
      <c r="AH135" s="2"/>
      <c r="AI135" s="2"/>
    </row>
    <row r="136" spans="1:35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2"/>
      <c r="AE136" s="2"/>
      <c r="AF136" s="2"/>
      <c r="AG136" s="2"/>
      <c r="AH136" s="2"/>
      <c r="AI136" s="2"/>
    </row>
    <row r="137" spans="1:35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2"/>
      <c r="AE137" s="2"/>
      <c r="AF137" s="2"/>
      <c r="AG137" s="2"/>
      <c r="AH137" s="2"/>
      <c r="AI137" s="2"/>
    </row>
    <row r="138" spans="1:35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2"/>
      <c r="AE138" s="2"/>
      <c r="AF138" s="2"/>
      <c r="AG138" s="2"/>
      <c r="AH138" s="2"/>
      <c r="AI138" s="2"/>
    </row>
    <row r="139" spans="1:35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2"/>
      <c r="AE139" s="2"/>
      <c r="AF139" s="2"/>
      <c r="AG139" s="2"/>
      <c r="AH139" s="2"/>
      <c r="AI139" s="2"/>
    </row>
    <row r="140" spans="1:35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2"/>
      <c r="AE140" s="2"/>
      <c r="AF140" s="2"/>
      <c r="AG140" s="2"/>
      <c r="AH140" s="2"/>
      <c r="AI140" s="2"/>
    </row>
    <row r="141" spans="1:35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2"/>
      <c r="AE141" s="2"/>
      <c r="AF141" s="2"/>
      <c r="AG141" s="2"/>
      <c r="AH141" s="2"/>
      <c r="AI141" s="2"/>
    </row>
    <row r="142" spans="1:35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2"/>
      <c r="AE142" s="2"/>
      <c r="AF142" s="2"/>
      <c r="AG142" s="2"/>
      <c r="AH142" s="2"/>
      <c r="AI142" s="2"/>
    </row>
    <row r="143" spans="1:35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2"/>
      <c r="AE143" s="2"/>
      <c r="AF143" s="2"/>
      <c r="AG143" s="2"/>
      <c r="AH143" s="2"/>
      <c r="AI143" s="2"/>
    </row>
    <row r="144" spans="1:35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2"/>
      <c r="AE144" s="2"/>
      <c r="AF144" s="2"/>
      <c r="AG144" s="2"/>
      <c r="AH144" s="2"/>
      <c r="AI144" s="2"/>
    </row>
    <row r="145" spans="1:3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2"/>
      <c r="AE145" s="2"/>
      <c r="AF145" s="2"/>
      <c r="AG145" s="2"/>
      <c r="AH145" s="2"/>
      <c r="AI145" s="2"/>
    </row>
    <row r="146" spans="1:35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2"/>
      <c r="AE146" s="2"/>
      <c r="AF146" s="2"/>
      <c r="AG146" s="2"/>
      <c r="AH146" s="2"/>
      <c r="AI146" s="2"/>
    </row>
    <row r="147" spans="1:35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2"/>
      <c r="AE147" s="2"/>
      <c r="AF147" s="2"/>
      <c r="AG147" s="2"/>
      <c r="AH147" s="2"/>
      <c r="AI147" s="2"/>
    </row>
    <row r="148" spans="1:35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2"/>
      <c r="AE148" s="2"/>
      <c r="AF148" s="2"/>
      <c r="AG148" s="2"/>
      <c r="AH148" s="2"/>
      <c r="AI148" s="2"/>
    </row>
    <row r="149" spans="1:35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2"/>
      <c r="AE149" s="2"/>
      <c r="AF149" s="2"/>
      <c r="AG149" s="2"/>
      <c r="AH149" s="2"/>
      <c r="AI149" s="2"/>
    </row>
    <row r="150" spans="1:35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2"/>
      <c r="AE150" s="2"/>
      <c r="AF150" s="2"/>
      <c r="AG150" s="2"/>
      <c r="AH150" s="2"/>
      <c r="AI150" s="2"/>
    </row>
    <row r="151" spans="1:35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2"/>
      <c r="AE151" s="2"/>
      <c r="AF151" s="2"/>
      <c r="AG151" s="2"/>
      <c r="AH151" s="2"/>
      <c r="AI151" s="2"/>
    </row>
    <row r="152" spans="1:35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2"/>
      <c r="AE152" s="2"/>
      <c r="AF152" s="2"/>
      <c r="AG152" s="2"/>
      <c r="AH152" s="2"/>
      <c r="AI152" s="2"/>
    </row>
    <row r="153" spans="1:35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2"/>
      <c r="AE153" s="2"/>
      <c r="AF153" s="2"/>
      <c r="AG153" s="2"/>
      <c r="AH153" s="2"/>
      <c r="AI153" s="2"/>
    </row>
    <row r="154" spans="1:35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2"/>
      <c r="AE154" s="2"/>
      <c r="AF154" s="2"/>
      <c r="AG154" s="2"/>
      <c r="AH154" s="2"/>
      <c r="AI154" s="2"/>
    </row>
    <row r="155" spans="1:3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"/>
      <c r="AE155" s="2"/>
      <c r="AF155" s="2"/>
      <c r="AG155" s="2"/>
      <c r="AH155" s="2"/>
      <c r="AI155" s="2"/>
    </row>
    <row r="156" spans="1:35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2"/>
      <c r="AE156" s="2"/>
      <c r="AF156" s="2"/>
      <c r="AG156" s="2"/>
      <c r="AH156" s="2"/>
      <c r="AI156" s="2"/>
    </row>
    <row r="157" spans="1:35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2"/>
      <c r="AE157" s="2"/>
      <c r="AF157" s="2"/>
      <c r="AG157" s="2"/>
      <c r="AH157" s="2"/>
      <c r="AI157" s="2"/>
    </row>
    <row r="158" spans="1:35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2"/>
      <c r="AE158" s="2"/>
      <c r="AF158" s="2"/>
      <c r="AG158" s="2"/>
      <c r="AH158" s="2"/>
      <c r="AI158" s="2"/>
    </row>
    <row r="159" spans="1:35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2"/>
      <c r="AE159" s="2"/>
      <c r="AF159" s="2"/>
      <c r="AG159" s="2"/>
      <c r="AH159" s="2"/>
      <c r="AI159" s="2"/>
    </row>
    <row r="160" spans="1:35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2"/>
      <c r="AE160" s="2"/>
      <c r="AF160" s="2"/>
      <c r="AG160" s="2"/>
      <c r="AH160" s="2"/>
      <c r="AI160" s="2"/>
    </row>
    <row r="161" spans="1:35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2"/>
      <c r="AE161" s="2"/>
      <c r="AF161" s="2"/>
      <c r="AG161" s="2"/>
      <c r="AH161" s="2"/>
      <c r="AI161" s="2"/>
    </row>
    <row r="162" spans="1:35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2"/>
      <c r="AE162" s="2"/>
      <c r="AF162" s="2"/>
      <c r="AG162" s="2"/>
      <c r="AH162" s="2"/>
      <c r="AI162" s="2"/>
    </row>
    <row r="163" spans="1:35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2"/>
      <c r="AE163" s="2"/>
      <c r="AF163" s="2"/>
      <c r="AG163" s="2"/>
      <c r="AH163" s="2"/>
      <c r="AI163" s="2"/>
    </row>
    <row r="164" spans="1:35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2"/>
      <c r="AE164" s="2"/>
      <c r="AF164" s="2"/>
      <c r="AG164" s="2"/>
      <c r="AH164" s="2"/>
      <c r="AI164" s="2"/>
    </row>
    <row r="165" spans="1:3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2"/>
      <c r="AE165" s="2"/>
      <c r="AF165" s="2"/>
      <c r="AG165" s="2"/>
      <c r="AH165" s="2"/>
      <c r="AI165" s="2"/>
    </row>
    <row r="166" spans="1:35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2"/>
      <c r="AE166" s="2"/>
      <c r="AF166" s="2"/>
      <c r="AG166" s="2"/>
      <c r="AH166" s="2"/>
      <c r="AI166" s="2"/>
    </row>
    <row r="167" spans="1:35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2"/>
      <c r="AE167" s="2"/>
      <c r="AF167" s="2"/>
      <c r="AG167" s="2"/>
      <c r="AH167" s="2"/>
      <c r="AI167" s="2"/>
    </row>
    <row r="168" spans="1:35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2"/>
      <c r="AE168" s="2"/>
      <c r="AF168" s="2"/>
      <c r="AG168" s="2"/>
      <c r="AH168" s="2"/>
      <c r="AI168" s="2"/>
    </row>
    <row r="169" spans="1:35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2"/>
      <c r="AE169" s="2"/>
      <c r="AF169" s="2"/>
      <c r="AG169" s="2"/>
      <c r="AH169" s="2"/>
      <c r="AI169" s="2"/>
    </row>
    <row r="170" spans="1:35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2"/>
      <c r="AE170" s="2"/>
      <c r="AF170" s="2"/>
      <c r="AG170" s="2"/>
      <c r="AH170" s="2"/>
      <c r="AI170" s="2"/>
    </row>
    <row r="171" spans="1:35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2"/>
      <c r="AE171" s="2"/>
      <c r="AF171" s="2"/>
      <c r="AG171" s="2"/>
      <c r="AH171" s="2"/>
      <c r="AI171" s="2"/>
    </row>
    <row r="172" spans="1:35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/>
      <c r="AE172" s="2"/>
      <c r="AF172" s="2"/>
      <c r="AG172" s="2"/>
      <c r="AH172" s="2"/>
      <c r="AI172" s="2"/>
    </row>
    <row r="173" spans="1:35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"/>
      <c r="AE173" s="2"/>
      <c r="AF173" s="2"/>
      <c r="AG173" s="2"/>
      <c r="AH173" s="2"/>
      <c r="AI173" s="2"/>
    </row>
    <row r="174" spans="1:35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2"/>
      <c r="AE174" s="2"/>
      <c r="AF174" s="2"/>
      <c r="AG174" s="2"/>
      <c r="AH174" s="2"/>
      <c r="AI174" s="2"/>
    </row>
    <row r="175" spans="1:3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2"/>
      <c r="AE175" s="2"/>
      <c r="AF175" s="2"/>
      <c r="AG175" s="2"/>
      <c r="AH175" s="2"/>
      <c r="AI175" s="2"/>
    </row>
    <row r="176" spans="1:35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2"/>
      <c r="AE176" s="2"/>
      <c r="AF176" s="2"/>
      <c r="AG176" s="2"/>
      <c r="AH176" s="2"/>
      <c r="AI176" s="2"/>
    </row>
    <row r="177" spans="1:35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2"/>
      <c r="AE177" s="2"/>
      <c r="AF177" s="2"/>
      <c r="AG177" s="2"/>
      <c r="AH177" s="2"/>
      <c r="AI177" s="2"/>
    </row>
    <row r="178" spans="1:35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2"/>
      <c r="AE178" s="2"/>
      <c r="AF178" s="2"/>
      <c r="AG178" s="2"/>
      <c r="AH178" s="2"/>
      <c r="AI178" s="2"/>
    </row>
    <row r="179" spans="1:35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2"/>
      <c r="AE179" s="2"/>
      <c r="AF179" s="2"/>
      <c r="AG179" s="2"/>
      <c r="AH179" s="2"/>
      <c r="AI179" s="2"/>
    </row>
    <row r="180" spans="1:35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2"/>
      <c r="AE180" s="2"/>
      <c r="AF180" s="2"/>
      <c r="AG180" s="2"/>
      <c r="AH180" s="2"/>
      <c r="AI180" s="2"/>
    </row>
    <row r="181" spans="1:35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2"/>
      <c r="AE181" s="2"/>
      <c r="AF181" s="2"/>
      <c r="AG181" s="2"/>
      <c r="AH181" s="2"/>
      <c r="AI181" s="2"/>
    </row>
    <row r="182" spans="1:35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2"/>
      <c r="AE182" s="2"/>
      <c r="AF182" s="2"/>
      <c r="AG182" s="2"/>
      <c r="AH182" s="2"/>
      <c r="AI182" s="2"/>
    </row>
    <row r="183" spans="1:35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2"/>
      <c r="AE183" s="2"/>
      <c r="AF183" s="2"/>
      <c r="AG183" s="2"/>
      <c r="AH183" s="2"/>
      <c r="AI183" s="2"/>
    </row>
    <row r="184" spans="1:35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2"/>
      <c r="AE184" s="2"/>
      <c r="AF184" s="2"/>
      <c r="AG184" s="2"/>
      <c r="AH184" s="2"/>
      <c r="AI184" s="2"/>
    </row>
    <row r="185" spans="1:3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2"/>
      <c r="AE185" s="2"/>
      <c r="AF185" s="2"/>
      <c r="AG185" s="2"/>
      <c r="AH185" s="2"/>
      <c r="AI185" s="2"/>
    </row>
    <row r="186" spans="1:35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2"/>
      <c r="AE186" s="2"/>
      <c r="AF186" s="2"/>
      <c r="AG186" s="2"/>
      <c r="AH186" s="2"/>
      <c r="AI186" s="2"/>
    </row>
    <row r="187" spans="1:35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2"/>
      <c r="AE187" s="2"/>
      <c r="AF187" s="2"/>
      <c r="AG187" s="2"/>
      <c r="AH187" s="2"/>
      <c r="AI187" s="2"/>
    </row>
    <row r="188" spans="1:35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2"/>
      <c r="AE188" s="2"/>
      <c r="AF188" s="2"/>
      <c r="AG188" s="2"/>
      <c r="AH188" s="2"/>
      <c r="AI188" s="2"/>
    </row>
    <row r="189" spans="1:35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2"/>
      <c r="AE189" s="2"/>
      <c r="AF189" s="2"/>
      <c r="AG189" s="2"/>
      <c r="AH189" s="2"/>
      <c r="AI189" s="2"/>
    </row>
    <row r="190" spans="1:35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2"/>
      <c r="AE190" s="2"/>
      <c r="AF190" s="2"/>
      <c r="AG190" s="2"/>
      <c r="AH190" s="2"/>
      <c r="AI190" s="2"/>
    </row>
    <row r="191" spans="1:35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2"/>
      <c r="AE191" s="2"/>
      <c r="AF191" s="2"/>
      <c r="AG191" s="2"/>
      <c r="AH191" s="2"/>
      <c r="AI191" s="2"/>
    </row>
    <row r="192" spans="1:35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2"/>
      <c r="AE192" s="2"/>
      <c r="AF192" s="2"/>
      <c r="AG192" s="2"/>
      <c r="AH192" s="2"/>
      <c r="AI192" s="2"/>
    </row>
    <row r="193" spans="1:35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2"/>
      <c r="AE193" s="2"/>
      <c r="AF193" s="2"/>
      <c r="AG193" s="2"/>
      <c r="AH193" s="2"/>
      <c r="AI193" s="2"/>
    </row>
    <row r="194" spans="1:35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2"/>
      <c r="AE194" s="2"/>
      <c r="AF194" s="2"/>
      <c r="AG194" s="2"/>
      <c r="AH194" s="2"/>
      <c r="AI194" s="2"/>
    </row>
    <row r="195" spans="1:3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2"/>
      <c r="AE195" s="2"/>
      <c r="AF195" s="2"/>
      <c r="AG195" s="2"/>
      <c r="AH195" s="2"/>
      <c r="AI195" s="2"/>
    </row>
    <row r="196" spans="1:35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2"/>
      <c r="AE196" s="2"/>
      <c r="AF196" s="2"/>
      <c r="AG196" s="2"/>
      <c r="AH196" s="2"/>
      <c r="AI196" s="2"/>
    </row>
    <row r="197" spans="1:35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2"/>
      <c r="AE197" s="2"/>
      <c r="AF197" s="2"/>
      <c r="AG197" s="2"/>
      <c r="AH197" s="2"/>
      <c r="AI197" s="2"/>
    </row>
    <row r="198" spans="1:35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2"/>
      <c r="AE198" s="2"/>
      <c r="AF198" s="2"/>
      <c r="AG198" s="2"/>
      <c r="AH198" s="2"/>
      <c r="AI198" s="2"/>
    </row>
    <row r="199" spans="1:35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2"/>
      <c r="AE199" s="2"/>
      <c r="AF199" s="2"/>
      <c r="AG199" s="2"/>
      <c r="AH199" s="2"/>
      <c r="AI199" s="2"/>
    </row>
    <row r="200" spans="1:35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2"/>
      <c r="AE200" s="2"/>
      <c r="AF200" s="2"/>
      <c r="AG200" s="2"/>
      <c r="AH200" s="2"/>
      <c r="AI200" s="2"/>
    </row>
    <row r="201" spans="1:35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2"/>
      <c r="AE201" s="2"/>
      <c r="AF201" s="2"/>
      <c r="AG201" s="2"/>
      <c r="AH201" s="2"/>
      <c r="AI201" s="2"/>
    </row>
    <row r="202" spans="1:35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2"/>
      <c r="AE202" s="2"/>
      <c r="AF202" s="2"/>
      <c r="AG202" s="2"/>
      <c r="AH202" s="2"/>
      <c r="AI202" s="2"/>
    </row>
    <row r="203" spans="1:35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2"/>
      <c r="AE203" s="2"/>
      <c r="AF203" s="2"/>
      <c r="AG203" s="2"/>
      <c r="AH203" s="2"/>
      <c r="AI203" s="2"/>
    </row>
    <row r="204" spans="1:35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2"/>
      <c r="AE204" s="2"/>
      <c r="AF204" s="2"/>
      <c r="AG204" s="2"/>
      <c r="AH204" s="2"/>
      <c r="AI204" s="2"/>
    </row>
    <row r="205" spans="1:3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2"/>
      <c r="AE205" s="2"/>
      <c r="AF205" s="2"/>
      <c r="AG205" s="2"/>
      <c r="AH205" s="2"/>
      <c r="AI205" s="2"/>
    </row>
    <row r="206" spans="1:35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2"/>
      <c r="AE206" s="2"/>
      <c r="AF206" s="2"/>
      <c r="AG206" s="2"/>
      <c r="AH206" s="2"/>
      <c r="AI206" s="2"/>
    </row>
    <row r="207" spans="1:35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2"/>
      <c r="AE207" s="2"/>
      <c r="AF207" s="2"/>
      <c r="AG207" s="2"/>
      <c r="AH207" s="2"/>
      <c r="AI207" s="2"/>
    </row>
    <row r="208" spans="1:35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2"/>
      <c r="AE208" s="2"/>
      <c r="AF208" s="2"/>
      <c r="AG208" s="2"/>
      <c r="AH208" s="2"/>
      <c r="AI208" s="2"/>
    </row>
    <row r="209" spans="1:35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2"/>
      <c r="AE209" s="2"/>
      <c r="AF209" s="2"/>
      <c r="AG209" s="2"/>
      <c r="AH209" s="2"/>
      <c r="AI209" s="2"/>
    </row>
    <row r="210" spans="1:35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2"/>
      <c r="AE210" s="2"/>
      <c r="AF210" s="2"/>
      <c r="AG210" s="2"/>
      <c r="AH210" s="2"/>
      <c r="AI210" s="2"/>
    </row>
    <row r="211" spans="1:35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2"/>
      <c r="AE211" s="2"/>
      <c r="AF211" s="2"/>
      <c r="AG211" s="2"/>
      <c r="AH211" s="2"/>
      <c r="AI211" s="2"/>
    </row>
    <row r="212" spans="1:35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2"/>
      <c r="AE212" s="2"/>
      <c r="AF212" s="2"/>
      <c r="AG212" s="2"/>
      <c r="AH212" s="2"/>
      <c r="AI212" s="2"/>
    </row>
    <row r="213" spans="1:35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2"/>
      <c r="AE213" s="2"/>
      <c r="AF213" s="2"/>
      <c r="AG213" s="2"/>
      <c r="AH213" s="2"/>
      <c r="AI213" s="2"/>
    </row>
    <row r="214" spans="1:35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2"/>
      <c r="AE214" s="2"/>
      <c r="AF214" s="2"/>
      <c r="AG214" s="2"/>
      <c r="AH214" s="2"/>
      <c r="AI214" s="2"/>
    </row>
    <row r="215" spans="1:3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2"/>
      <c r="AE215" s="2"/>
      <c r="AF215" s="2"/>
      <c r="AG215" s="2"/>
      <c r="AH215" s="2"/>
      <c r="AI215" s="2"/>
    </row>
    <row r="216" spans="1:35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2"/>
      <c r="AE216" s="2"/>
      <c r="AF216" s="2"/>
      <c r="AG216" s="2"/>
      <c r="AH216" s="2"/>
      <c r="AI216" s="2"/>
    </row>
    <row r="217" spans="1:35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2"/>
      <c r="AE217" s="2"/>
      <c r="AF217" s="2"/>
      <c r="AG217" s="2"/>
      <c r="AH217" s="2"/>
      <c r="AI217" s="2"/>
    </row>
    <row r="218" spans="1:35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2"/>
      <c r="AE218" s="2"/>
      <c r="AF218" s="2"/>
      <c r="AG218" s="2"/>
      <c r="AH218" s="2"/>
      <c r="AI218" s="2"/>
    </row>
    <row r="219" spans="1:35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2"/>
      <c r="AE219" s="2"/>
      <c r="AF219" s="2"/>
      <c r="AG219" s="2"/>
      <c r="AH219" s="2"/>
      <c r="AI219" s="2"/>
    </row>
    <row r="220" spans="1:35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2"/>
      <c r="AE220" s="2"/>
      <c r="AF220" s="2"/>
      <c r="AG220" s="2"/>
      <c r="AH220" s="2"/>
      <c r="AI220" s="2"/>
    </row>
    <row r="221" spans="1:35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2"/>
      <c r="AE221" s="2"/>
      <c r="AF221" s="2"/>
      <c r="AG221" s="2"/>
      <c r="AH221" s="2"/>
      <c r="AI221" s="2"/>
    </row>
    <row r="222" spans="1:35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2"/>
      <c r="AE222" s="2"/>
      <c r="AF222" s="2"/>
      <c r="AG222" s="2"/>
      <c r="AH222" s="2"/>
      <c r="AI222" s="2"/>
    </row>
    <row r="223" spans="1:35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2"/>
      <c r="AE223" s="2"/>
      <c r="AF223" s="2"/>
      <c r="AG223" s="2"/>
      <c r="AH223" s="2"/>
      <c r="AI223" s="2"/>
    </row>
    <row r="224" spans="1:35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2"/>
      <c r="AE224" s="2"/>
      <c r="AF224" s="2"/>
      <c r="AG224" s="2"/>
      <c r="AH224" s="2"/>
      <c r="AI224" s="2"/>
    </row>
    <row r="225" spans="1:3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2"/>
      <c r="AE225" s="2"/>
      <c r="AF225" s="2"/>
      <c r="AG225" s="2"/>
      <c r="AH225" s="2"/>
      <c r="AI225" s="2"/>
    </row>
    <row r="226" spans="1:35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2"/>
      <c r="AE226" s="2"/>
      <c r="AF226" s="2"/>
      <c r="AG226" s="2"/>
      <c r="AH226" s="2"/>
      <c r="AI226" s="2"/>
    </row>
    <row r="227" spans="1:35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2"/>
      <c r="AE227" s="2"/>
      <c r="AF227" s="2"/>
      <c r="AG227" s="2"/>
      <c r="AH227" s="2"/>
      <c r="AI227" s="2"/>
    </row>
    <row r="228" spans="1:35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2"/>
      <c r="AE228" s="2"/>
      <c r="AF228" s="2"/>
      <c r="AG228" s="2"/>
      <c r="AH228" s="2"/>
      <c r="AI228" s="2"/>
    </row>
    <row r="229" spans="1:35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2"/>
      <c r="AE229" s="2"/>
      <c r="AF229" s="2"/>
      <c r="AG229" s="2"/>
      <c r="AH229" s="2"/>
      <c r="AI229" s="2"/>
    </row>
    <row r="230" spans="1:35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2"/>
      <c r="AE230" s="2"/>
      <c r="AF230" s="2"/>
      <c r="AG230" s="2"/>
      <c r="AH230" s="2"/>
      <c r="AI230" s="2"/>
    </row>
    <row r="231" spans="1:35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2"/>
      <c r="AE231" s="2"/>
      <c r="AF231" s="2"/>
      <c r="AG231" s="2"/>
      <c r="AH231" s="2"/>
      <c r="AI231" s="2"/>
    </row>
    <row r="232" spans="1:35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2"/>
      <c r="AE232" s="2"/>
      <c r="AF232" s="2"/>
      <c r="AG232" s="2"/>
      <c r="AH232" s="2"/>
      <c r="AI232" s="2"/>
    </row>
    <row r="233" spans="1:35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2"/>
      <c r="AE233" s="2"/>
      <c r="AF233" s="2"/>
      <c r="AG233" s="2"/>
      <c r="AH233" s="2"/>
      <c r="AI233" s="2"/>
    </row>
    <row r="234" spans="1:35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2"/>
      <c r="AE234" s="2"/>
      <c r="AF234" s="2"/>
      <c r="AG234" s="2"/>
      <c r="AH234" s="2"/>
      <c r="AI234" s="2"/>
    </row>
    <row r="235" spans="1: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2"/>
      <c r="AE235" s="2"/>
      <c r="AF235" s="2"/>
      <c r="AG235" s="2"/>
      <c r="AH235" s="2"/>
      <c r="AI235" s="2"/>
    </row>
    <row r="236" spans="1:35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2"/>
      <c r="AE236" s="2"/>
      <c r="AF236" s="2"/>
      <c r="AG236" s="2"/>
      <c r="AH236" s="2"/>
      <c r="AI236" s="2"/>
    </row>
    <row r="237" spans="1:35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2"/>
      <c r="AE237" s="2"/>
      <c r="AF237" s="2"/>
      <c r="AG237" s="2"/>
      <c r="AH237" s="2"/>
      <c r="AI237" s="2"/>
    </row>
    <row r="238" spans="1:35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2"/>
      <c r="AE238" s="2"/>
      <c r="AF238" s="2"/>
      <c r="AG238" s="2"/>
      <c r="AH238" s="2"/>
      <c r="AI238" s="2"/>
    </row>
    <row r="239" spans="1:35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2"/>
      <c r="AE239" s="2"/>
      <c r="AF239" s="2"/>
      <c r="AG239" s="2"/>
      <c r="AH239" s="2"/>
      <c r="AI239" s="2"/>
    </row>
    <row r="240" spans="1:35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2"/>
      <c r="AE240" s="2"/>
      <c r="AF240" s="2"/>
      <c r="AG240" s="2"/>
      <c r="AH240" s="2"/>
      <c r="AI240" s="2"/>
    </row>
    <row r="241" spans="1:35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2"/>
      <c r="AE241" s="2"/>
      <c r="AF241" s="2"/>
      <c r="AG241" s="2"/>
      <c r="AH241" s="2"/>
      <c r="AI241" s="2"/>
    </row>
    <row r="242" spans="1:35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2"/>
      <c r="AE242" s="2"/>
      <c r="AF242" s="2"/>
      <c r="AG242" s="2"/>
      <c r="AH242" s="2"/>
      <c r="AI242" s="2"/>
    </row>
    <row r="243" spans="1:35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2"/>
      <c r="AE243" s="2"/>
      <c r="AF243" s="2"/>
      <c r="AG243" s="2"/>
      <c r="AH243" s="2"/>
      <c r="AI243" s="2"/>
    </row>
    <row r="244" spans="1:35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2"/>
      <c r="AE244" s="2"/>
      <c r="AF244" s="2"/>
      <c r="AG244" s="2"/>
      <c r="AH244" s="2"/>
      <c r="AI244" s="2"/>
    </row>
    <row r="245" spans="1:3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2"/>
      <c r="AE245" s="2"/>
      <c r="AF245" s="2"/>
      <c r="AG245" s="2"/>
      <c r="AH245" s="2"/>
      <c r="AI245" s="2"/>
    </row>
    <row r="246" spans="1:35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2"/>
      <c r="AE246" s="2"/>
      <c r="AF246" s="2"/>
      <c r="AG246" s="2"/>
      <c r="AH246" s="2"/>
      <c r="AI246" s="2"/>
    </row>
    <row r="247" spans="1:35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2"/>
      <c r="AE247" s="2"/>
      <c r="AF247" s="2"/>
      <c r="AG247" s="2"/>
      <c r="AH247" s="2"/>
      <c r="AI247" s="2"/>
    </row>
    <row r="248" spans="1:35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2"/>
      <c r="AE248" s="2"/>
      <c r="AF248" s="2"/>
      <c r="AG248" s="2"/>
      <c r="AH248" s="2"/>
      <c r="AI248" s="2"/>
    </row>
    <row r="249" spans="1:35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2"/>
      <c r="AE249" s="2"/>
      <c r="AF249" s="2"/>
      <c r="AG249" s="2"/>
      <c r="AH249" s="2"/>
      <c r="AI249" s="2"/>
    </row>
    <row r="250" spans="1:35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2"/>
      <c r="AE250" s="2"/>
      <c r="AF250" s="2"/>
      <c r="AG250" s="2"/>
      <c r="AH250" s="2"/>
      <c r="AI250" s="2"/>
    </row>
    <row r="251" spans="1:35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2"/>
      <c r="AE251" s="2"/>
      <c r="AF251" s="2"/>
      <c r="AG251" s="2"/>
      <c r="AH251" s="2"/>
      <c r="AI251" s="2"/>
    </row>
    <row r="252" spans="1:35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2"/>
      <c r="AE252" s="2"/>
      <c r="AF252" s="2"/>
      <c r="AG252" s="2"/>
      <c r="AH252" s="2"/>
      <c r="AI252" s="2"/>
    </row>
    <row r="253" spans="1:35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2"/>
      <c r="AE253" s="2"/>
      <c r="AF253" s="2"/>
      <c r="AG253" s="2"/>
      <c r="AH253" s="2"/>
      <c r="AI253" s="2"/>
    </row>
    <row r="254" spans="1:35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2"/>
      <c r="AE254" s="2"/>
      <c r="AF254" s="2"/>
      <c r="AG254" s="2"/>
      <c r="AH254" s="2"/>
      <c r="AI254" s="2"/>
    </row>
    <row r="255" spans="1:3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2"/>
      <c r="AE255" s="2"/>
      <c r="AF255" s="2"/>
      <c r="AG255" s="2"/>
      <c r="AH255" s="2"/>
      <c r="AI255" s="2"/>
    </row>
    <row r="256" spans="1:35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2"/>
      <c r="AE256" s="2"/>
      <c r="AF256" s="2"/>
      <c r="AG256" s="2"/>
      <c r="AH256" s="2"/>
      <c r="AI256" s="2"/>
    </row>
    <row r="257" spans="1:35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2"/>
      <c r="AE257" s="2"/>
      <c r="AF257" s="2"/>
      <c r="AG257" s="2"/>
      <c r="AH257" s="2"/>
      <c r="AI257" s="2"/>
    </row>
    <row r="258" spans="1:35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2"/>
      <c r="AE258" s="2"/>
      <c r="AF258" s="2"/>
      <c r="AG258" s="2"/>
      <c r="AH258" s="2"/>
      <c r="AI258" s="2"/>
    </row>
    <row r="259" spans="1:35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2"/>
      <c r="AE259" s="2"/>
      <c r="AF259" s="2"/>
      <c r="AG259" s="2"/>
      <c r="AH259" s="2"/>
      <c r="AI259" s="2"/>
    </row>
    <row r="260" spans="1:35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2"/>
      <c r="AE260" s="2"/>
      <c r="AF260" s="2"/>
      <c r="AG260" s="2"/>
      <c r="AH260" s="2"/>
      <c r="AI260" s="2"/>
    </row>
    <row r="261" spans="1:35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2"/>
      <c r="AE261" s="2"/>
      <c r="AF261" s="2"/>
      <c r="AG261" s="2"/>
      <c r="AH261" s="2"/>
      <c r="AI261" s="2"/>
    </row>
    <row r="262" spans="1:35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2"/>
      <c r="AE262" s="2"/>
      <c r="AF262" s="2"/>
      <c r="AG262" s="2"/>
      <c r="AH262" s="2"/>
      <c r="AI262" s="2"/>
    </row>
    <row r="263" spans="1:35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2"/>
      <c r="AE263" s="2"/>
      <c r="AF263" s="2"/>
      <c r="AG263" s="2"/>
      <c r="AH263" s="2"/>
      <c r="AI263" s="2"/>
    </row>
    <row r="264" spans="1:35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2"/>
      <c r="AE264" s="2"/>
      <c r="AF264" s="2"/>
      <c r="AG264" s="2"/>
      <c r="AH264" s="2"/>
      <c r="AI264" s="2"/>
    </row>
    <row r="265" spans="1:3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2"/>
      <c r="AE265" s="2"/>
      <c r="AF265" s="2"/>
      <c r="AG265" s="2"/>
      <c r="AH265" s="2"/>
      <c r="AI265" s="2"/>
    </row>
    <row r="266" spans="1:35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2"/>
      <c r="AE266" s="2"/>
      <c r="AF266" s="2"/>
      <c r="AG266" s="2"/>
      <c r="AH266" s="2"/>
      <c r="AI266" s="2"/>
    </row>
    <row r="267" spans="1:35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2"/>
      <c r="AE267" s="2"/>
      <c r="AF267" s="2"/>
      <c r="AG267" s="2"/>
      <c r="AH267" s="2"/>
      <c r="AI267" s="2"/>
    </row>
    <row r="268" spans="1:35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2"/>
      <c r="AE268" s="2"/>
      <c r="AF268" s="2"/>
      <c r="AG268" s="2"/>
      <c r="AH268" s="2"/>
      <c r="AI268" s="2"/>
    </row>
    <row r="269" spans="1:35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2"/>
      <c r="AE269" s="2"/>
      <c r="AF269" s="2"/>
      <c r="AG269" s="2"/>
      <c r="AH269" s="2"/>
      <c r="AI269" s="2"/>
    </row>
    <row r="270" spans="1:35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2"/>
      <c r="AE270" s="2"/>
      <c r="AF270" s="2"/>
      <c r="AG270" s="2"/>
      <c r="AH270" s="2"/>
      <c r="AI270" s="2"/>
    </row>
    <row r="271" spans="1:35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2"/>
      <c r="AE271" s="2"/>
      <c r="AF271" s="2"/>
      <c r="AG271" s="2"/>
      <c r="AH271" s="2"/>
      <c r="AI271" s="2"/>
    </row>
    <row r="272" spans="1:35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2"/>
      <c r="AE272" s="2"/>
      <c r="AF272" s="2"/>
      <c r="AG272" s="2"/>
      <c r="AH272" s="2"/>
      <c r="AI272" s="2"/>
    </row>
    <row r="273" spans="1:35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2"/>
      <c r="AE273" s="2"/>
      <c r="AF273" s="2"/>
      <c r="AG273" s="2"/>
      <c r="AH273" s="2"/>
      <c r="AI273" s="2"/>
    </row>
    <row r="274" spans="1:35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2"/>
      <c r="AE274" s="2"/>
      <c r="AF274" s="2"/>
      <c r="AG274" s="2"/>
      <c r="AH274" s="2"/>
      <c r="AI274" s="2"/>
    </row>
    <row r="275" spans="1:3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2"/>
      <c r="AE275" s="2"/>
      <c r="AF275" s="2"/>
      <c r="AG275" s="2"/>
      <c r="AH275" s="2"/>
      <c r="AI275" s="2"/>
    </row>
    <row r="276" spans="1:35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2"/>
      <c r="AE276" s="2"/>
      <c r="AF276" s="2"/>
      <c r="AG276" s="2"/>
      <c r="AH276" s="2"/>
      <c r="AI276" s="2"/>
    </row>
    <row r="277" spans="1:35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2"/>
      <c r="AE277" s="2"/>
      <c r="AF277" s="2"/>
      <c r="AG277" s="2"/>
      <c r="AH277" s="2"/>
      <c r="AI277" s="2"/>
    </row>
    <row r="278" spans="1:35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2"/>
      <c r="AE278" s="2"/>
      <c r="AF278" s="2"/>
      <c r="AG278" s="2"/>
      <c r="AH278" s="2"/>
      <c r="AI278" s="2"/>
    </row>
    <row r="279" spans="1:35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2"/>
      <c r="AE279" s="2"/>
      <c r="AF279" s="2"/>
      <c r="AG279" s="2"/>
      <c r="AH279" s="2"/>
      <c r="AI279" s="2"/>
    </row>
    <row r="280" spans="1:35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2"/>
      <c r="AE280" s="2"/>
      <c r="AF280" s="2"/>
      <c r="AG280" s="2"/>
      <c r="AH280" s="2"/>
      <c r="AI280" s="2"/>
    </row>
    <row r="281" spans="1:35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2"/>
      <c r="AE281" s="2"/>
      <c r="AF281" s="2"/>
      <c r="AG281" s="2"/>
      <c r="AH281" s="2"/>
      <c r="AI281" s="2"/>
    </row>
    <row r="282" spans="1:35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2"/>
      <c r="AE282" s="2"/>
      <c r="AF282" s="2"/>
      <c r="AG282" s="2"/>
      <c r="AH282" s="2"/>
      <c r="AI282" s="2"/>
    </row>
    <row r="283" spans="1:35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2"/>
      <c r="AE283" s="2"/>
      <c r="AF283" s="2"/>
      <c r="AG283" s="2"/>
      <c r="AH283" s="2"/>
      <c r="AI283" s="2"/>
    </row>
    <row r="284" spans="1:35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2"/>
      <c r="AE284" s="2"/>
      <c r="AF284" s="2"/>
      <c r="AG284" s="2"/>
      <c r="AH284" s="2"/>
      <c r="AI284" s="2"/>
    </row>
    <row r="285" spans="1:3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2"/>
      <c r="AE285" s="2"/>
      <c r="AF285" s="2"/>
      <c r="AG285" s="2"/>
      <c r="AH285" s="2"/>
      <c r="AI285" s="2"/>
    </row>
    <row r="286" spans="1:35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2"/>
      <c r="AE286" s="2"/>
      <c r="AF286" s="2"/>
      <c r="AG286" s="2"/>
      <c r="AH286" s="2"/>
      <c r="AI286" s="2"/>
    </row>
    <row r="287" spans="1:35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2"/>
      <c r="AE287" s="2"/>
      <c r="AF287" s="2"/>
      <c r="AG287" s="2"/>
      <c r="AH287" s="2"/>
      <c r="AI287" s="2"/>
    </row>
    <row r="288" spans="1:35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2"/>
      <c r="AE288" s="2"/>
      <c r="AF288" s="2"/>
      <c r="AG288" s="2"/>
      <c r="AH288" s="2"/>
      <c r="AI288" s="2"/>
    </row>
    <row r="289" spans="1:35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2"/>
      <c r="AE289" s="2"/>
      <c r="AF289" s="2"/>
      <c r="AG289" s="2"/>
      <c r="AH289" s="2"/>
      <c r="AI289" s="2"/>
    </row>
    <row r="290" spans="1:35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2"/>
      <c r="AE290" s="2"/>
      <c r="AF290" s="2"/>
      <c r="AG290" s="2"/>
      <c r="AH290" s="2"/>
      <c r="AI290" s="2"/>
    </row>
    <row r="291" spans="1:35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2"/>
      <c r="AE291" s="2"/>
      <c r="AF291" s="2"/>
      <c r="AG291" s="2"/>
      <c r="AH291" s="2"/>
      <c r="AI291" s="2"/>
    </row>
    <row r="292" spans="1:35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2"/>
      <c r="AE292" s="2"/>
      <c r="AF292" s="2"/>
      <c r="AG292" s="2"/>
      <c r="AH292" s="2"/>
      <c r="AI292" s="2"/>
    </row>
    <row r="293" spans="1:35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2"/>
      <c r="AE293" s="2"/>
      <c r="AF293" s="2"/>
      <c r="AG293" s="2"/>
      <c r="AH293" s="2"/>
      <c r="AI293" s="2"/>
    </row>
    <row r="294" spans="1:35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2"/>
      <c r="AE294" s="2"/>
      <c r="AF294" s="2"/>
      <c r="AG294" s="2"/>
      <c r="AH294" s="2"/>
      <c r="AI294" s="2"/>
    </row>
    <row r="295" spans="1:3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2"/>
      <c r="AE295" s="2"/>
      <c r="AF295" s="2"/>
      <c r="AG295" s="2"/>
      <c r="AH295" s="2"/>
      <c r="AI295" s="2"/>
    </row>
    <row r="296" spans="1:35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2"/>
      <c r="AE296" s="2"/>
      <c r="AF296" s="2"/>
      <c r="AG296" s="2"/>
      <c r="AH296" s="2"/>
      <c r="AI296" s="2"/>
    </row>
    <row r="297" spans="1:35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2"/>
      <c r="AE297" s="2"/>
      <c r="AF297" s="2"/>
      <c r="AG297" s="2"/>
      <c r="AH297" s="2"/>
      <c r="AI297" s="2"/>
    </row>
    <row r="298" spans="1:35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2"/>
      <c r="AE298" s="2"/>
      <c r="AF298" s="2"/>
      <c r="AG298" s="2"/>
      <c r="AH298" s="2"/>
      <c r="AI298" s="2"/>
    </row>
    <row r="299" spans="1:35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2"/>
      <c r="AE299" s="2"/>
      <c r="AF299" s="2"/>
      <c r="AG299" s="2"/>
      <c r="AH299" s="2"/>
      <c r="AI299" s="2"/>
    </row>
    <row r="300" spans="1:35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2"/>
      <c r="AE300" s="2"/>
      <c r="AF300" s="2"/>
      <c r="AG300" s="2"/>
      <c r="AH300" s="2"/>
      <c r="AI300" s="2"/>
    </row>
    <row r="301" spans="1:35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2"/>
      <c r="AE301" s="2"/>
      <c r="AF301" s="2"/>
      <c r="AG301" s="2"/>
      <c r="AH301" s="2"/>
      <c r="AI301" s="2"/>
    </row>
    <row r="302" spans="1:35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2"/>
      <c r="AE302" s="2"/>
      <c r="AF302" s="2"/>
      <c r="AG302" s="2"/>
      <c r="AH302" s="2"/>
      <c r="AI302" s="2"/>
    </row>
    <row r="303" spans="1:35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2"/>
      <c r="AE303" s="2"/>
      <c r="AF303" s="2"/>
      <c r="AG303" s="2"/>
      <c r="AH303" s="2"/>
      <c r="AI303" s="2"/>
    </row>
    <row r="304" spans="1:35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2"/>
      <c r="AE304" s="2"/>
      <c r="AF304" s="2"/>
      <c r="AG304" s="2"/>
      <c r="AH304" s="2"/>
      <c r="AI304" s="2"/>
    </row>
    <row r="305" spans="1:3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2"/>
      <c r="AE305" s="2"/>
      <c r="AF305" s="2"/>
      <c r="AG305" s="2"/>
      <c r="AH305" s="2"/>
      <c r="AI305" s="2"/>
    </row>
    <row r="306" spans="1:35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2"/>
      <c r="AE306" s="2"/>
      <c r="AF306" s="2"/>
      <c r="AG306" s="2"/>
      <c r="AH306" s="2"/>
      <c r="AI306" s="2"/>
    </row>
    <row r="307" spans="1:35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2"/>
      <c r="AE307" s="2"/>
      <c r="AF307" s="2"/>
      <c r="AG307" s="2"/>
      <c r="AH307" s="2"/>
      <c r="AI307" s="2"/>
    </row>
    <row r="308" spans="1:35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2"/>
      <c r="AE308" s="2"/>
      <c r="AF308" s="2"/>
      <c r="AG308" s="2"/>
      <c r="AH308" s="2"/>
      <c r="AI308" s="2"/>
    </row>
    <row r="309" spans="1:35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2"/>
      <c r="AE309" s="2"/>
      <c r="AF309" s="2"/>
      <c r="AG309" s="2"/>
      <c r="AH309" s="2"/>
      <c r="AI309" s="2"/>
    </row>
    <row r="310" spans="1:35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2"/>
      <c r="AE310" s="2"/>
      <c r="AF310" s="2"/>
      <c r="AG310" s="2"/>
      <c r="AH310" s="2"/>
      <c r="AI310" s="2"/>
    </row>
    <row r="311" spans="1:35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2"/>
      <c r="AE311" s="2"/>
      <c r="AF311" s="2"/>
      <c r="AG311" s="2"/>
      <c r="AH311" s="2"/>
      <c r="AI311" s="2"/>
    </row>
    <row r="312" spans="1:35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2"/>
      <c r="AE312" s="2"/>
      <c r="AF312" s="2"/>
      <c r="AG312" s="2"/>
      <c r="AH312" s="2"/>
      <c r="AI312" s="2"/>
    </row>
    <row r="313" spans="1:35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2"/>
      <c r="AE313" s="2"/>
      <c r="AF313" s="2"/>
      <c r="AG313" s="2"/>
      <c r="AH313" s="2"/>
      <c r="AI313" s="2"/>
    </row>
    <row r="314" spans="1:35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2"/>
      <c r="AE314" s="2"/>
      <c r="AF314" s="2"/>
      <c r="AG314" s="2"/>
      <c r="AH314" s="2"/>
      <c r="AI314" s="2"/>
    </row>
    <row r="315" spans="1:3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2"/>
      <c r="AE315" s="2"/>
      <c r="AF315" s="2"/>
      <c r="AG315" s="2"/>
      <c r="AH315" s="2"/>
      <c r="AI315" s="2"/>
    </row>
    <row r="316" spans="1:35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2"/>
      <c r="AE316" s="2"/>
      <c r="AF316" s="2"/>
      <c r="AG316" s="2"/>
      <c r="AH316" s="2"/>
      <c r="AI316" s="2"/>
    </row>
    <row r="317" spans="1:35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2"/>
      <c r="AE317" s="2"/>
      <c r="AF317" s="2"/>
      <c r="AG317" s="2"/>
      <c r="AH317" s="2"/>
      <c r="AI317" s="2"/>
    </row>
    <row r="318" spans="1:35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2"/>
      <c r="AE318" s="2"/>
      <c r="AF318" s="2"/>
      <c r="AG318" s="2"/>
      <c r="AH318" s="2"/>
      <c r="AI318" s="2"/>
    </row>
    <row r="319" spans="1:35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2"/>
      <c r="AE319" s="2"/>
      <c r="AF319" s="2"/>
      <c r="AG319" s="2"/>
      <c r="AH319" s="2"/>
      <c r="AI319" s="2"/>
    </row>
    <row r="320" spans="1:35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2"/>
      <c r="AE320" s="2"/>
      <c r="AF320" s="2"/>
      <c r="AG320" s="2"/>
      <c r="AH320" s="2"/>
      <c r="AI320" s="2"/>
    </row>
    <row r="321" spans="1:35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2"/>
      <c r="AE321" s="2"/>
      <c r="AF321" s="2"/>
      <c r="AG321" s="2"/>
      <c r="AH321" s="2"/>
      <c r="AI321" s="2"/>
    </row>
    <row r="322" spans="1:35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2"/>
      <c r="AE322" s="2"/>
      <c r="AF322" s="2"/>
      <c r="AG322" s="2"/>
      <c r="AH322" s="2"/>
      <c r="AI322" s="2"/>
    </row>
    <row r="323" spans="1:35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2"/>
      <c r="AE323" s="2"/>
      <c r="AF323" s="2"/>
      <c r="AG323" s="2"/>
      <c r="AH323" s="2"/>
      <c r="AI323" s="2"/>
    </row>
    <row r="324" spans="1:35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2"/>
      <c r="AE324" s="2"/>
      <c r="AF324" s="2"/>
      <c r="AG324" s="2"/>
      <c r="AH324" s="2"/>
      <c r="AI324" s="2"/>
    </row>
    <row r="325" spans="1:3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2"/>
      <c r="AE325" s="2"/>
      <c r="AF325" s="2"/>
      <c r="AG325" s="2"/>
      <c r="AH325" s="2"/>
      <c r="AI325" s="2"/>
    </row>
    <row r="326" spans="1:35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2"/>
      <c r="AE326" s="2"/>
      <c r="AF326" s="2"/>
      <c r="AG326" s="2"/>
      <c r="AH326" s="2"/>
      <c r="AI326" s="2"/>
    </row>
    <row r="327" spans="1:35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2"/>
      <c r="AE327" s="2"/>
      <c r="AF327" s="2"/>
      <c r="AG327" s="2"/>
      <c r="AH327" s="2"/>
      <c r="AI327" s="2"/>
    </row>
    <row r="328" spans="1:35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2"/>
      <c r="AE328" s="2"/>
      <c r="AF328" s="2"/>
      <c r="AG328" s="2"/>
      <c r="AH328" s="2"/>
      <c r="AI328" s="2"/>
    </row>
    <row r="329" spans="1:35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2"/>
      <c r="AE329" s="2"/>
      <c r="AF329" s="2"/>
      <c r="AG329" s="2"/>
      <c r="AH329" s="2"/>
      <c r="AI329" s="2"/>
    </row>
    <row r="330" spans="1:35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2"/>
      <c r="AE330" s="2"/>
      <c r="AF330" s="2"/>
      <c r="AG330" s="2"/>
      <c r="AH330" s="2"/>
      <c r="AI330" s="2"/>
    </row>
    <row r="331" spans="1:35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2"/>
      <c r="AE331" s="2"/>
      <c r="AF331" s="2"/>
      <c r="AG331" s="2"/>
      <c r="AH331" s="2"/>
      <c r="AI331" s="2"/>
    </row>
    <row r="332" spans="1:35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2"/>
      <c r="AE332" s="2"/>
      <c r="AF332" s="2"/>
      <c r="AG332" s="2"/>
      <c r="AH332" s="2"/>
      <c r="AI332" s="2"/>
    </row>
    <row r="333" spans="1:35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2"/>
      <c r="AE333" s="2"/>
      <c r="AF333" s="2"/>
      <c r="AG333" s="2"/>
      <c r="AH333" s="2"/>
      <c r="AI333" s="2"/>
    </row>
    <row r="334" spans="1:35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2"/>
      <c r="AE334" s="2"/>
      <c r="AF334" s="2"/>
      <c r="AG334" s="2"/>
      <c r="AH334" s="2"/>
      <c r="AI334" s="2"/>
    </row>
    <row r="335" spans="1: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2"/>
      <c r="AE335" s="2"/>
      <c r="AF335" s="2"/>
      <c r="AG335" s="2"/>
      <c r="AH335" s="2"/>
      <c r="AI335" s="2"/>
    </row>
    <row r="336" spans="1:35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2"/>
      <c r="AE336" s="2"/>
      <c r="AF336" s="2"/>
      <c r="AG336" s="2"/>
      <c r="AH336" s="2"/>
      <c r="AI336" s="2"/>
    </row>
    <row r="337" spans="1:35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2"/>
      <c r="AE337" s="2"/>
      <c r="AF337" s="2"/>
      <c r="AG337" s="2"/>
      <c r="AH337" s="2"/>
      <c r="AI337" s="2"/>
    </row>
    <row r="338" spans="1:35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2"/>
      <c r="AE338" s="2"/>
      <c r="AF338" s="2"/>
      <c r="AG338" s="2"/>
      <c r="AH338" s="2"/>
      <c r="AI338" s="2"/>
    </row>
    <row r="339" spans="1:35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2"/>
      <c r="AE339" s="2"/>
      <c r="AF339" s="2"/>
      <c r="AG339" s="2"/>
      <c r="AH339" s="2"/>
      <c r="AI339" s="2"/>
    </row>
    <row r="340" spans="1:35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2"/>
      <c r="AE340" s="2"/>
      <c r="AF340" s="2"/>
      <c r="AG340" s="2"/>
      <c r="AH340" s="2"/>
      <c r="AI340" s="2"/>
    </row>
    <row r="341" spans="1:35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2"/>
      <c r="AE341" s="2"/>
      <c r="AF341" s="2"/>
      <c r="AG341" s="2"/>
      <c r="AH341" s="2"/>
      <c r="AI341" s="2"/>
    </row>
    <row r="342" spans="1:35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2"/>
      <c r="AE342" s="2"/>
      <c r="AF342" s="2"/>
      <c r="AG342" s="2"/>
      <c r="AH342" s="2"/>
      <c r="AI342" s="2"/>
    </row>
    <row r="343" spans="1:35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2"/>
      <c r="AE343" s="2"/>
      <c r="AF343" s="2"/>
      <c r="AG343" s="2"/>
      <c r="AH343" s="2"/>
      <c r="AI343" s="2"/>
    </row>
    <row r="344" spans="1:35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2"/>
      <c r="AE344" s="2"/>
      <c r="AF344" s="2"/>
      <c r="AG344" s="2"/>
      <c r="AH344" s="2"/>
      <c r="AI344" s="2"/>
    </row>
    <row r="345" spans="1:3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2"/>
      <c r="AE345" s="2"/>
      <c r="AF345" s="2"/>
      <c r="AG345" s="2"/>
      <c r="AH345" s="2"/>
      <c r="AI345" s="2"/>
    </row>
    <row r="346" spans="1:35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2"/>
      <c r="AE346" s="2"/>
      <c r="AF346" s="2"/>
      <c r="AG346" s="2"/>
      <c r="AH346" s="2"/>
      <c r="AI346" s="2"/>
    </row>
    <row r="347" spans="1:35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2"/>
      <c r="AE347" s="2"/>
      <c r="AF347" s="2"/>
      <c r="AG347" s="2"/>
      <c r="AH347" s="2"/>
      <c r="AI347" s="2"/>
    </row>
    <row r="348" spans="1:35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2"/>
      <c r="AE348" s="2"/>
      <c r="AF348" s="2"/>
      <c r="AG348" s="2"/>
      <c r="AH348" s="2"/>
      <c r="AI348" s="2"/>
    </row>
    <row r="349" spans="1:35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2"/>
      <c r="AE349" s="2"/>
      <c r="AF349" s="2"/>
      <c r="AG349" s="2"/>
      <c r="AH349" s="2"/>
      <c r="AI349" s="2"/>
    </row>
    <row r="350" spans="1:35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2"/>
      <c r="AE350" s="2"/>
      <c r="AF350" s="2"/>
      <c r="AG350" s="2"/>
      <c r="AH350" s="2"/>
      <c r="AI350" s="2"/>
    </row>
    <row r="351" spans="1:35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2"/>
      <c r="AE351" s="2"/>
      <c r="AF351" s="2"/>
      <c r="AG351" s="2"/>
      <c r="AH351" s="2"/>
      <c r="AI351" s="2"/>
    </row>
    <row r="352" spans="1:35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2"/>
      <c r="AE352" s="2"/>
      <c r="AF352" s="2"/>
      <c r="AG352" s="2"/>
      <c r="AH352" s="2"/>
      <c r="AI352" s="2"/>
    </row>
    <row r="353" spans="1:35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2"/>
      <c r="AE353" s="2"/>
      <c r="AF353" s="2"/>
      <c r="AG353" s="2"/>
      <c r="AH353" s="2"/>
      <c r="AI353" s="2"/>
    </row>
    <row r="354" spans="1:35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2"/>
      <c r="AE354" s="2"/>
      <c r="AF354" s="2"/>
      <c r="AG354" s="2"/>
      <c r="AH354" s="2"/>
      <c r="AI354" s="2"/>
    </row>
    <row r="355" spans="1:3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2"/>
      <c r="AE355" s="2"/>
      <c r="AF355" s="2"/>
      <c r="AG355" s="2"/>
      <c r="AH355" s="2"/>
      <c r="AI355" s="2"/>
    </row>
    <row r="356" spans="1:35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2"/>
      <c r="AE356" s="2"/>
      <c r="AF356" s="2"/>
      <c r="AG356" s="2"/>
      <c r="AH356" s="2"/>
      <c r="AI356" s="2"/>
    </row>
    <row r="357" spans="1:35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2"/>
      <c r="AE357" s="2"/>
      <c r="AF357" s="2"/>
      <c r="AG357" s="2"/>
      <c r="AH357" s="2"/>
      <c r="AI357" s="2"/>
    </row>
    <row r="358" spans="1:35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2"/>
      <c r="AE358" s="2"/>
      <c r="AF358" s="2"/>
      <c r="AG358" s="2"/>
      <c r="AH358" s="2"/>
      <c r="AI358" s="2"/>
    </row>
    <row r="359" spans="1:35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2"/>
      <c r="AE359" s="2"/>
      <c r="AF359" s="2"/>
      <c r="AG359" s="2"/>
      <c r="AH359" s="2"/>
      <c r="AI359" s="2"/>
    </row>
    <row r="360" spans="1:35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2"/>
      <c r="AE360" s="2"/>
      <c r="AF360" s="2"/>
      <c r="AG360" s="2"/>
      <c r="AH360" s="2"/>
      <c r="AI360" s="2"/>
    </row>
    <row r="361" spans="1:35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2"/>
      <c r="AE361" s="2"/>
      <c r="AF361" s="2"/>
      <c r="AG361" s="2"/>
      <c r="AH361" s="2"/>
      <c r="AI361" s="2"/>
    </row>
    <row r="362" spans="1:35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2"/>
      <c r="AE362" s="2"/>
      <c r="AF362" s="2"/>
      <c r="AG362" s="2"/>
      <c r="AH362" s="2"/>
      <c r="AI362" s="2"/>
    </row>
    <row r="363" spans="1:35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2"/>
      <c r="AE363" s="2"/>
      <c r="AF363" s="2"/>
      <c r="AG363" s="2"/>
      <c r="AH363" s="2"/>
      <c r="AI363" s="2"/>
    </row>
    <row r="364" spans="1:35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2"/>
      <c r="AE364" s="2"/>
      <c r="AF364" s="2"/>
      <c r="AG364" s="2"/>
      <c r="AH364" s="2"/>
      <c r="AI364" s="2"/>
    </row>
    <row r="365" spans="1:3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2"/>
      <c r="AE365" s="2"/>
      <c r="AF365" s="2"/>
      <c r="AG365" s="2"/>
      <c r="AH365" s="2"/>
      <c r="AI365" s="2"/>
    </row>
    <row r="366" spans="1:35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2"/>
      <c r="AE366" s="2"/>
      <c r="AF366" s="2"/>
      <c r="AG366" s="2"/>
      <c r="AH366" s="2"/>
      <c r="AI366" s="2"/>
    </row>
    <row r="367" spans="1:35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2"/>
      <c r="AE367" s="2"/>
      <c r="AF367" s="2"/>
      <c r="AG367" s="2"/>
      <c r="AH367" s="2"/>
      <c r="AI367" s="2"/>
    </row>
    <row r="368" spans="1:35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2"/>
      <c r="AE368" s="2"/>
      <c r="AF368" s="2"/>
      <c r="AG368" s="2"/>
      <c r="AH368" s="2"/>
      <c r="AI368" s="2"/>
    </row>
    <row r="369" spans="1:35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2"/>
      <c r="AE369" s="2"/>
      <c r="AF369" s="2"/>
      <c r="AG369" s="2"/>
      <c r="AH369" s="2"/>
      <c r="AI369" s="2"/>
    </row>
    <row r="370" spans="1:35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2"/>
      <c r="AE370" s="2"/>
      <c r="AF370" s="2"/>
      <c r="AG370" s="2"/>
      <c r="AH370" s="2"/>
      <c r="AI370" s="2"/>
    </row>
    <row r="371" spans="1:35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2"/>
      <c r="AE371" s="2"/>
      <c r="AF371" s="2"/>
      <c r="AG371" s="2"/>
      <c r="AH371" s="2"/>
      <c r="AI371" s="2"/>
    </row>
    <row r="372" spans="1:35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2"/>
      <c r="AE372" s="2"/>
      <c r="AF372" s="2"/>
      <c r="AG372" s="2"/>
      <c r="AH372" s="2"/>
      <c r="AI372" s="2"/>
    </row>
    <row r="373" spans="1:35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2"/>
      <c r="AE373" s="2"/>
      <c r="AF373" s="2"/>
      <c r="AG373" s="2"/>
      <c r="AH373" s="2"/>
      <c r="AI373" s="2"/>
    </row>
    <row r="374" spans="1:35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2"/>
      <c r="AE374" s="2"/>
      <c r="AF374" s="2"/>
      <c r="AG374" s="2"/>
      <c r="AH374" s="2"/>
      <c r="AI374" s="2"/>
    </row>
    <row r="375" spans="1:3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2"/>
      <c r="AE375" s="2"/>
      <c r="AF375" s="2"/>
      <c r="AG375" s="2"/>
      <c r="AH375" s="2"/>
      <c r="AI375" s="2"/>
    </row>
    <row r="376" spans="1:35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2"/>
      <c r="AE376" s="2"/>
      <c r="AF376" s="2"/>
      <c r="AG376" s="2"/>
      <c r="AH376" s="2"/>
      <c r="AI376" s="2"/>
    </row>
    <row r="377" spans="1:35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2"/>
      <c r="AE377" s="2"/>
      <c r="AF377" s="2"/>
      <c r="AG377" s="2"/>
      <c r="AH377" s="2"/>
      <c r="AI377" s="2"/>
    </row>
    <row r="378" spans="1:35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2"/>
      <c r="AE378" s="2"/>
      <c r="AF378" s="2"/>
      <c r="AG378" s="2"/>
      <c r="AH378" s="2"/>
      <c r="AI378" s="2"/>
    </row>
    <row r="379" spans="1:35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2"/>
      <c r="AE379" s="2"/>
      <c r="AF379" s="2"/>
      <c r="AG379" s="2"/>
      <c r="AH379" s="2"/>
      <c r="AI379" s="2"/>
    </row>
    <row r="380" spans="1:35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2"/>
      <c r="AE380" s="2"/>
      <c r="AF380" s="2"/>
      <c r="AG380" s="2"/>
      <c r="AH380" s="2"/>
      <c r="AI380" s="2"/>
    </row>
    <row r="381" spans="1:35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2"/>
      <c r="AE381" s="2"/>
      <c r="AF381" s="2"/>
      <c r="AG381" s="2"/>
      <c r="AH381" s="2"/>
      <c r="AI381" s="2"/>
    </row>
    <row r="382" spans="1:35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2"/>
      <c r="AE382" s="2"/>
      <c r="AF382" s="2"/>
      <c r="AG382" s="2"/>
      <c r="AH382" s="2"/>
      <c r="AI382" s="2"/>
    </row>
    <row r="383" spans="1:35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2"/>
      <c r="AE383" s="2"/>
      <c r="AF383" s="2"/>
      <c r="AG383" s="2"/>
      <c r="AH383" s="2"/>
      <c r="AI383" s="2"/>
    </row>
    <row r="384" spans="1:35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2"/>
      <c r="AE384" s="2"/>
      <c r="AF384" s="2"/>
      <c r="AG384" s="2"/>
      <c r="AH384" s="2"/>
      <c r="AI384" s="2"/>
    </row>
    <row r="385" spans="1:3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2"/>
      <c r="AE385" s="2"/>
      <c r="AF385" s="2"/>
      <c r="AG385" s="2"/>
      <c r="AH385" s="2"/>
      <c r="AI385" s="2"/>
    </row>
    <row r="386" spans="1:35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2"/>
      <c r="AE386" s="2"/>
      <c r="AF386" s="2"/>
      <c r="AG386" s="2"/>
      <c r="AH386" s="2"/>
      <c r="AI386" s="2"/>
    </row>
    <row r="387" spans="1:35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2"/>
      <c r="AE387" s="2"/>
      <c r="AF387" s="2"/>
      <c r="AG387" s="2"/>
      <c r="AH387" s="2"/>
      <c r="AI387" s="2"/>
    </row>
    <row r="388" spans="1:35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2"/>
      <c r="AE388" s="2"/>
      <c r="AF388" s="2"/>
      <c r="AG388" s="2"/>
      <c r="AH388" s="2"/>
      <c r="AI388" s="2"/>
    </row>
    <row r="389" spans="1:35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2"/>
      <c r="AE389" s="2"/>
      <c r="AF389" s="2"/>
      <c r="AG389" s="2"/>
      <c r="AH389" s="2"/>
      <c r="AI389" s="2"/>
    </row>
    <row r="390" spans="1:35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2"/>
      <c r="AE390" s="2"/>
      <c r="AF390" s="2"/>
      <c r="AG390" s="2"/>
      <c r="AH390" s="2"/>
      <c r="AI390" s="2"/>
    </row>
    <row r="391" spans="1:35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2"/>
      <c r="AE391" s="2"/>
      <c r="AF391" s="2"/>
      <c r="AG391" s="2"/>
      <c r="AH391" s="2"/>
      <c r="AI391" s="2"/>
    </row>
    <row r="392" spans="1:35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2"/>
      <c r="AE392" s="2"/>
      <c r="AF392" s="2"/>
      <c r="AG392" s="2"/>
      <c r="AH392" s="2"/>
      <c r="AI392" s="2"/>
    </row>
    <row r="393" spans="1:35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2"/>
      <c r="AE393" s="2"/>
      <c r="AF393" s="2"/>
      <c r="AG393" s="2"/>
      <c r="AH393" s="2"/>
      <c r="AI393" s="2"/>
    </row>
    <row r="394" spans="1:35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2"/>
      <c r="AE394" s="2"/>
      <c r="AF394" s="2"/>
      <c r="AG394" s="2"/>
      <c r="AH394" s="2"/>
      <c r="AI394" s="2"/>
    </row>
    <row r="395" spans="1:3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2"/>
      <c r="AE395" s="2"/>
      <c r="AF395" s="2"/>
      <c r="AG395" s="2"/>
      <c r="AH395" s="2"/>
      <c r="AI395" s="2"/>
    </row>
    <row r="396" spans="1:35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2"/>
      <c r="AE396" s="2"/>
      <c r="AF396" s="2"/>
      <c r="AG396" s="2"/>
      <c r="AH396" s="2"/>
      <c r="AI396" s="2"/>
    </row>
    <row r="397" spans="1:35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2"/>
      <c r="AE397" s="2"/>
      <c r="AF397" s="2"/>
      <c r="AG397" s="2"/>
      <c r="AH397" s="2"/>
      <c r="AI397" s="2"/>
    </row>
    <row r="398" spans="1:35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2"/>
      <c r="AE398" s="2"/>
      <c r="AF398" s="2"/>
      <c r="AG398" s="2"/>
      <c r="AH398" s="2"/>
      <c r="AI398" s="2"/>
    </row>
    <row r="399" spans="1:35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2"/>
      <c r="AE399" s="2"/>
      <c r="AF399" s="2"/>
      <c r="AG399" s="2"/>
      <c r="AH399" s="2"/>
      <c r="AI399" s="2"/>
    </row>
    <row r="400" spans="1:35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2"/>
      <c r="AE400" s="2"/>
      <c r="AF400" s="2"/>
      <c r="AG400" s="2"/>
      <c r="AH400" s="2"/>
      <c r="AI400" s="2"/>
    </row>
    <row r="401" spans="1:35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2"/>
      <c r="AE401" s="2"/>
      <c r="AF401" s="2"/>
      <c r="AG401" s="2"/>
      <c r="AH401" s="2"/>
      <c r="AI401" s="2"/>
    </row>
    <row r="402" spans="1:35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2"/>
      <c r="AE402" s="2"/>
      <c r="AF402" s="2"/>
      <c r="AG402" s="2"/>
      <c r="AH402" s="2"/>
      <c r="AI402" s="2"/>
    </row>
    <row r="403" spans="1:35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2"/>
      <c r="AE403" s="2"/>
      <c r="AF403" s="2"/>
      <c r="AG403" s="2"/>
      <c r="AH403" s="2"/>
      <c r="AI403" s="2"/>
    </row>
    <row r="404" spans="1:35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2"/>
      <c r="AE404" s="2"/>
      <c r="AF404" s="2"/>
      <c r="AG404" s="2"/>
      <c r="AH404" s="2"/>
      <c r="AI404" s="2"/>
    </row>
    <row r="405" spans="1:3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2"/>
      <c r="AE405" s="2"/>
      <c r="AF405" s="2"/>
      <c r="AG405" s="2"/>
      <c r="AH405" s="2"/>
      <c r="AI405" s="2"/>
    </row>
    <row r="406" spans="1:35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2"/>
      <c r="AE406" s="2"/>
      <c r="AF406" s="2"/>
      <c r="AG406" s="2"/>
      <c r="AH406" s="2"/>
      <c r="AI406" s="2"/>
    </row>
    <row r="407" spans="1:35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2"/>
      <c r="AE407" s="2"/>
      <c r="AF407" s="2"/>
      <c r="AG407" s="2"/>
      <c r="AH407" s="2"/>
      <c r="AI407" s="2"/>
    </row>
    <row r="408" spans="1:35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2"/>
      <c r="AE408" s="2"/>
      <c r="AF408" s="2"/>
      <c r="AG408" s="2"/>
      <c r="AH408" s="2"/>
      <c r="AI408" s="2"/>
    </row>
    <row r="409" spans="1:35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2"/>
      <c r="AE409" s="2"/>
      <c r="AF409" s="2"/>
      <c r="AG409" s="2"/>
      <c r="AH409" s="2"/>
      <c r="AI409" s="2"/>
    </row>
    <row r="410" spans="1:35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2"/>
      <c r="AE410" s="2"/>
      <c r="AF410" s="2"/>
      <c r="AG410" s="2"/>
      <c r="AH410" s="2"/>
      <c r="AI410" s="2"/>
    </row>
    <row r="411" spans="1:35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2"/>
      <c r="AE411" s="2"/>
      <c r="AF411" s="2"/>
      <c r="AG411" s="2"/>
      <c r="AH411" s="2"/>
      <c r="AI411" s="2"/>
    </row>
    <row r="412" spans="1:35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2"/>
      <c r="AE412" s="2"/>
      <c r="AF412" s="2"/>
      <c r="AG412" s="2"/>
      <c r="AH412" s="2"/>
      <c r="AI412" s="2"/>
    </row>
    <row r="413" spans="1:35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2"/>
      <c r="AE413" s="2"/>
      <c r="AF413" s="2"/>
      <c r="AG413" s="2"/>
      <c r="AH413" s="2"/>
      <c r="AI413" s="2"/>
    </row>
    <row r="414" spans="1:35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2"/>
      <c r="AE414" s="2"/>
      <c r="AF414" s="2"/>
      <c r="AG414" s="2"/>
      <c r="AH414" s="2"/>
      <c r="AI414" s="2"/>
    </row>
    <row r="415" spans="1:3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2"/>
      <c r="AE415" s="2"/>
      <c r="AF415" s="2"/>
      <c r="AG415" s="2"/>
      <c r="AH415" s="2"/>
      <c r="AI415" s="2"/>
    </row>
    <row r="416" spans="1:35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2"/>
      <c r="AE416" s="2"/>
      <c r="AF416" s="2"/>
      <c r="AG416" s="2"/>
      <c r="AH416" s="2"/>
      <c r="AI416" s="2"/>
    </row>
    <row r="417" spans="1:35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2"/>
      <c r="AE417" s="2"/>
      <c r="AF417" s="2"/>
      <c r="AG417" s="2"/>
      <c r="AH417" s="2"/>
      <c r="AI417" s="2"/>
    </row>
    <row r="418" spans="1:35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2"/>
      <c r="AE418" s="2"/>
      <c r="AF418" s="2"/>
      <c r="AG418" s="2"/>
      <c r="AH418" s="2"/>
      <c r="AI418" s="2"/>
    </row>
    <row r="419" spans="1:35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2"/>
      <c r="AE419" s="2"/>
      <c r="AF419" s="2"/>
      <c r="AG419" s="2"/>
      <c r="AH419" s="2"/>
      <c r="AI419" s="2"/>
    </row>
    <row r="420" spans="1:35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2"/>
      <c r="AE420" s="2"/>
      <c r="AF420" s="2"/>
      <c r="AG420" s="2"/>
      <c r="AH420" s="2"/>
      <c r="AI420" s="2"/>
    </row>
    <row r="421" spans="1:35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2"/>
      <c r="AE421" s="2"/>
      <c r="AF421" s="2"/>
      <c r="AG421" s="2"/>
      <c r="AH421" s="2"/>
      <c r="AI421" s="2"/>
    </row>
    <row r="422" spans="1:35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2"/>
      <c r="AE422" s="2"/>
      <c r="AF422" s="2"/>
      <c r="AG422" s="2"/>
      <c r="AH422" s="2"/>
      <c r="AI422" s="2"/>
    </row>
    <row r="423" spans="1:35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2"/>
      <c r="AE423" s="2"/>
      <c r="AF423" s="2"/>
      <c r="AG423" s="2"/>
      <c r="AH423" s="2"/>
      <c r="AI423" s="2"/>
    </row>
    <row r="424" spans="1:35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2"/>
      <c r="AE424" s="2"/>
      <c r="AF424" s="2"/>
      <c r="AG424" s="2"/>
      <c r="AH424" s="2"/>
      <c r="AI424" s="2"/>
    </row>
    <row r="425" spans="1:3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2"/>
      <c r="AE425" s="2"/>
      <c r="AF425" s="2"/>
      <c r="AG425" s="2"/>
      <c r="AH425" s="2"/>
      <c r="AI425" s="2"/>
    </row>
    <row r="426" spans="1:35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2"/>
      <c r="AE426" s="2"/>
      <c r="AF426" s="2"/>
      <c r="AG426" s="2"/>
      <c r="AH426" s="2"/>
      <c r="AI426" s="2"/>
    </row>
    <row r="427" spans="1:35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2"/>
      <c r="AE427" s="2"/>
      <c r="AF427" s="2"/>
      <c r="AG427" s="2"/>
      <c r="AH427" s="2"/>
      <c r="AI427" s="2"/>
    </row>
    <row r="428" spans="1:35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2"/>
      <c r="AE428" s="2"/>
      <c r="AF428" s="2"/>
      <c r="AG428" s="2"/>
      <c r="AH428" s="2"/>
      <c r="AI428" s="2"/>
    </row>
    <row r="429" spans="1:35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2"/>
      <c r="AE429" s="2"/>
      <c r="AF429" s="2"/>
      <c r="AG429" s="2"/>
      <c r="AH429" s="2"/>
      <c r="AI429" s="2"/>
    </row>
    <row r="430" spans="1:35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2"/>
      <c r="AE430" s="2"/>
      <c r="AF430" s="2"/>
      <c r="AG430" s="2"/>
      <c r="AH430" s="2"/>
      <c r="AI430" s="2"/>
    </row>
    <row r="431" spans="1:35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2"/>
      <c r="AE431" s="2"/>
      <c r="AF431" s="2"/>
      <c r="AG431" s="2"/>
      <c r="AH431" s="2"/>
      <c r="AI431" s="2"/>
    </row>
    <row r="432" spans="1:35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2"/>
      <c r="AE432" s="2"/>
      <c r="AF432" s="2"/>
      <c r="AG432" s="2"/>
      <c r="AH432" s="2"/>
      <c r="AI432" s="2"/>
    </row>
    <row r="433" spans="1:35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2"/>
      <c r="AE433" s="2"/>
      <c r="AF433" s="2"/>
      <c r="AG433" s="2"/>
      <c r="AH433" s="2"/>
      <c r="AI433" s="2"/>
    </row>
    <row r="434" spans="1:35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2"/>
      <c r="AE434" s="2"/>
      <c r="AF434" s="2"/>
      <c r="AG434" s="2"/>
      <c r="AH434" s="2"/>
      <c r="AI434" s="2"/>
    </row>
    <row r="435" spans="1: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2"/>
      <c r="AE435" s="2"/>
      <c r="AF435" s="2"/>
      <c r="AG435" s="2"/>
      <c r="AH435" s="2"/>
      <c r="AI435" s="2"/>
    </row>
    <row r="436" spans="1:35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2"/>
      <c r="AE436" s="2"/>
      <c r="AF436" s="2"/>
      <c r="AG436" s="2"/>
      <c r="AH436" s="2"/>
      <c r="AI436" s="2"/>
    </row>
    <row r="437" spans="1:35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2"/>
      <c r="AE437" s="2"/>
      <c r="AF437" s="2"/>
      <c r="AG437" s="2"/>
      <c r="AH437" s="2"/>
      <c r="AI437" s="2"/>
    </row>
    <row r="438" spans="1:35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2"/>
      <c r="AE438" s="2"/>
      <c r="AF438" s="2"/>
      <c r="AG438" s="2"/>
      <c r="AH438" s="2"/>
      <c r="AI438" s="2"/>
    </row>
    <row r="439" spans="1:35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2"/>
      <c r="AE439" s="2"/>
      <c r="AF439" s="2"/>
      <c r="AG439" s="2"/>
      <c r="AH439" s="2"/>
      <c r="AI439" s="2"/>
    </row>
    <row r="440" spans="1:35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2"/>
      <c r="AE440" s="2"/>
      <c r="AF440" s="2"/>
      <c r="AG440" s="2"/>
      <c r="AH440" s="2"/>
      <c r="AI440" s="2"/>
    </row>
    <row r="441" spans="1:35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2"/>
      <c r="AE441" s="2"/>
      <c r="AF441" s="2"/>
      <c r="AG441" s="2"/>
      <c r="AH441" s="2"/>
      <c r="AI441" s="2"/>
    </row>
    <row r="442" spans="1:35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2"/>
      <c r="AE442" s="2"/>
      <c r="AF442" s="2"/>
      <c r="AG442" s="2"/>
      <c r="AH442" s="2"/>
      <c r="AI442" s="2"/>
    </row>
    <row r="443" spans="1:35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2"/>
      <c r="AE443" s="2"/>
      <c r="AF443" s="2"/>
      <c r="AG443" s="2"/>
      <c r="AH443" s="2"/>
      <c r="AI443" s="2"/>
    </row>
    <row r="444" spans="1:35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2"/>
      <c r="AE444" s="2"/>
      <c r="AF444" s="2"/>
      <c r="AG444" s="2"/>
      <c r="AH444" s="2"/>
      <c r="AI444" s="2"/>
    </row>
    <row r="445" spans="1:3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2"/>
      <c r="AE445" s="2"/>
      <c r="AF445" s="2"/>
      <c r="AG445" s="2"/>
      <c r="AH445" s="2"/>
      <c r="AI445" s="2"/>
    </row>
    <row r="446" spans="1:35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2"/>
      <c r="AE446" s="2"/>
      <c r="AF446" s="2"/>
      <c r="AG446" s="2"/>
      <c r="AH446" s="2"/>
      <c r="AI446" s="2"/>
    </row>
    <row r="447" spans="1:35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2"/>
      <c r="AE447" s="2"/>
      <c r="AF447" s="2"/>
      <c r="AG447" s="2"/>
      <c r="AH447" s="2"/>
      <c r="AI447" s="2"/>
    </row>
    <row r="448" spans="1:35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2"/>
      <c r="AE448" s="2"/>
      <c r="AF448" s="2"/>
      <c r="AG448" s="2"/>
      <c r="AH448" s="2"/>
      <c r="AI448" s="2"/>
    </row>
    <row r="449" spans="1:35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2"/>
      <c r="AE449" s="2"/>
      <c r="AF449" s="2"/>
      <c r="AG449" s="2"/>
      <c r="AH449" s="2"/>
      <c r="AI449" s="2"/>
    </row>
    <row r="450" spans="1:35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2"/>
      <c r="AE450" s="2"/>
      <c r="AF450" s="2"/>
      <c r="AG450" s="2"/>
      <c r="AH450" s="2"/>
      <c r="AI450" s="2"/>
    </row>
    <row r="451" spans="1:35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2"/>
      <c r="AE451" s="2"/>
      <c r="AF451" s="2"/>
      <c r="AG451" s="2"/>
      <c r="AH451" s="2"/>
      <c r="AI451" s="2"/>
    </row>
    <row r="452" spans="1:35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2"/>
      <c r="AE452" s="2"/>
      <c r="AF452" s="2"/>
      <c r="AG452" s="2"/>
      <c r="AH452" s="2"/>
      <c r="AI452" s="2"/>
    </row>
    <row r="453" spans="1:35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2"/>
      <c r="AE453" s="2"/>
      <c r="AF453" s="2"/>
      <c r="AG453" s="2"/>
      <c r="AH453" s="2"/>
      <c r="AI453" s="2"/>
    </row>
    <row r="454" spans="1:35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2"/>
      <c r="AE454" s="2"/>
      <c r="AF454" s="2"/>
      <c r="AG454" s="2"/>
      <c r="AH454" s="2"/>
      <c r="AI454" s="2"/>
    </row>
    <row r="455" spans="1:3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2"/>
      <c r="AE455" s="2"/>
      <c r="AF455" s="2"/>
      <c r="AG455" s="2"/>
      <c r="AH455" s="2"/>
      <c r="AI455" s="2"/>
    </row>
    <row r="456" spans="1:35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2"/>
      <c r="AE456" s="2"/>
      <c r="AF456" s="2"/>
      <c r="AG456" s="2"/>
      <c r="AH456" s="2"/>
      <c r="AI456" s="2"/>
    </row>
    <row r="457" spans="1:35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2"/>
      <c r="AE457" s="2"/>
      <c r="AF457" s="2"/>
      <c r="AG457" s="2"/>
      <c r="AH457" s="2"/>
      <c r="AI457" s="2"/>
    </row>
    <row r="458" spans="1:35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2"/>
      <c r="AE458" s="2"/>
      <c r="AF458" s="2"/>
      <c r="AG458" s="2"/>
      <c r="AH458" s="2"/>
      <c r="AI458" s="2"/>
    </row>
    <row r="459" spans="1:35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2"/>
      <c r="AE459" s="2"/>
      <c r="AF459" s="2"/>
      <c r="AG459" s="2"/>
      <c r="AH459" s="2"/>
      <c r="AI459" s="2"/>
    </row>
    <row r="460" spans="1:35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2"/>
      <c r="AE460" s="2"/>
      <c r="AF460" s="2"/>
      <c r="AG460" s="2"/>
      <c r="AH460" s="2"/>
      <c r="AI460" s="2"/>
    </row>
    <row r="461" spans="1:35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2"/>
      <c r="AE461" s="2"/>
      <c r="AF461" s="2"/>
      <c r="AG461" s="2"/>
      <c r="AH461" s="2"/>
      <c r="AI461" s="2"/>
    </row>
    <row r="462" spans="1:35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2"/>
      <c r="AE462" s="2"/>
      <c r="AF462" s="2"/>
      <c r="AG462" s="2"/>
      <c r="AH462" s="2"/>
      <c r="AI462" s="2"/>
    </row>
    <row r="463" spans="1:35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2"/>
      <c r="AE463" s="2"/>
      <c r="AF463" s="2"/>
      <c r="AG463" s="2"/>
      <c r="AH463" s="2"/>
      <c r="AI463" s="2"/>
    </row>
    <row r="464" spans="1:35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2"/>
      <c r="AE464" s="2"/>
      <c r="AF464" s="2"/>
      <c r="AG464" s="2"/>
      <c r="AH464" s="2"/>
      <c r="AI464" s="2"/>
    </row>
    <row r="465" spans="1:3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2"/>
      <c r="AE465" s="2"/>
      <c r="AF465" s="2"/>
      <c r="AG465" s="2"/>
      <c r="AH465" s="2"/>
      <c r="AI465" s="2"/>
    </row>
    <row r="466" spans="1:35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2"/>
      <c r="AE466" s="2"/>
      <c r="AF466" s="2"/>
      <c r="AG466" s="2"/>
      <c r="AH466" s="2"/>
      <c r="AI466" s="2"/>
    </row>
    <row r="467" spans="1:35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2"/>
      <c r="AE467" s="2"/>
      <c r="AF467" s="2"/>
      <c r="AG467" s="2"/>
      <c r="AH467" s="2"/>
      <c r="AI467" s="2"/>
    </row>
    <row r="468" spans="1:35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2"/>
      <c r="AE468" s="2"/>
      <c r="AF468" s="2"/>
      <c r="AG468" s="2"/>
      <c r="AH468" s="2"/>
      <c r="AI468" s="2"/>
    </row>
    <row r="469" spans="1:35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2"/>
      <c r="AE469" s="2"/>
      <c r="AF469" s="2"/>
      <c r="AG469" s="2"/>
      <c r="AH469" s="2"/>
      <c r="AI469" s="2"/>
    </row>
    <row r="470" spans="1:35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2"/>
      <c r="AE470" s="2"/>
      <c r="AF470" s="2"/>
      <c r="AG470" s="2"/>
      <c r="AH470" s="2"/>
      <c r="AI470" s="2"/>
    </row>
    <row r="471" spans="1:35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2"/>
      <c r="AE471" s="2"/>
      <c r="AF471" s="2"/>
      <c r="AG471" s="2"/>
      <c r="AH471" s="2"/>
      <c r="AI471" s="2"/>
    </row>
    <row r="472" spans="1:35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2"/>
      <c r="AE472" s="2"/>
      <c r="AF472" s="2"/>
      <c r="AG472" s="2"/>
      <c r="AH472" s="2"/>
      <c r="AI472" s="2"/>
    </row>
    <row r="473" spans="1:35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2"/>
      <c r="AE473" s="2"/>
      <c r="AF473" s="2"/>
      <c r="AG473" s="2"/>
      <c r="AH473" s="2"/>
      <c r="AI473" s="2"/>
    </row>
    <row r="474" spans="1:35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2"/>
      <c r="AE474" s="2"/>
      <c r="AF474" s="2"/>
      <c r="AG474" s="2"/>
      <c r="AH474" s="2"/>
      <c r="AI474" s="2"/>
    </row>
    <row r="475" spans="1:3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2"/>
      <c r="AE475" s="2"/>
      <c r="AF475" s="2"/>
      <c r="AG475" s="2"/>
      <c r="AH475" s="2"/>
      <c r="AI475" s="2"/>
    </row>
    <row r="476" spans="1:35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2"/>
      <c r="AE476" s="2"/>
      <c r="AF476" s="2"/>
      <c r="AG476" s="2"/>
      <c r="AH476" s="2"/>
      <c r="AI476" s="2"/>
    </row>
    <row r="477" spans="1:35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2"/>
      <c r="AE477" s="2"/>
      <c r="AF477" s="2"/>
      <c r="AG477" s="2"/>
      <c r="AH477" s="2"/>
      <c r="AI477" s="2"/>
    </row>
    <row r="478" spans="1:35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2"/>
      <c r="AE478" s="2"/>
      <c r="AF478" s="2"/>
      <c r="AG478" s="2"/>
      <c r="AH478" s="2"/>
      <c r="AI478" s="2"/>
    </row>
    <row r="479" spans="1:35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2"/>
      <c r="AE479" s="2"/>
      <c r="AF479" s="2"/>
      <c r="AG479" s="2"/>
      <c r="AH479" s="2"/>
      <c r="AI479" s="2"/>
    </row>
    <row r="480" spans="1:35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2"/>
      <c r="AE480" s="2"/>
      <c r="AF480" s="2"/>
      <c r="AG480" s="2"/>
      <c r="AH480" s="2"/>
      <c r="AI480" s="2"/>
    </row>
    <row r="481" spans="1:35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2"/>
      <c r="AE481" s="2"/>
      <c r="AF481" s="2"/>
      <c r="AG481" s="2"/>
      <c r="AH481" s="2"/>
      <c r="AI481" s="2"/>
    </row>
    <row r="482" spans="1:35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2"/>
      <c r="AE482" s="2"/>
      <c r="AF482" s="2"/>
      <c r="AG482" s="2"/>
      <c r="AH482" s="2"/>
      <c r="AI482" s="2"/>
    </row>
    <row r="483" spans="1:35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2"/>
      <c r="AE483" s="2"/>
      <c r="AF483" s="2"/>
      <c r="AG483" s="2"/>
      <c r="AH483" s="2"/>
      <c r="AI483" s="2"/>
    </row>
    <row r="484" spans="1:35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2"/>
      <c r="AE484" s="2"/>
      <c r="AF484" s="2"/>
      <c r="AG484" s="2"/>
      <c r="AH484" s="2"/>
      <c r="AI484" s="2"/>
    </row>
    <row r="485" spans="1:3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2"/>
      <c r="AE485" s="2"/>
      <c r="AF485" s="2"/>
      <c r="AG485" s="2"/>
      <c r="AH485" s="2"/>
      <c r="AI485" s="2"/>
    </row>
    <row r="486" spans="1:35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2"/>
      <c r="AE486" s="2"/>
      <c r="AF486" s="2"/>
      <c r="AG486" s="2"/>
      <c r="AH486" s="2"/>
      <c r="AI486" s="2"/>
    </row>
    <row r="487" spans="1:35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2"/>
      <c r="AE487" s="2"/>
      <c r="AF487" s="2"/>
      <c r="AG487" s="2"/>
      <c r="AH487" s="2"/>
      <c r="AI487" s="2"/>
    </row>
    <row r="488" spans="1:35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2"/>
      <c r="AE488" s="2"/>
      <c r="AF488" s="2"/>
      <c r="AG488" s="2"/>
      <c r="AH488" s="2"/>
      <c r="AI488" s="2"/>
    </row>
    <row r="489" spans="1:35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2"/>
      <c r="AE489" s="2"/>
      <c r="AF489" s="2"/>
      <c r="AG489" s="2"/>
      <c r="AH489" s="2"/>
      <c r="AI489" s="2"/>
    </row>
    <row r="490" spans="1:35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2"/>
      <c r="AE490" s="2"/>
      <c r="AF490" s="2"/>
      <c r="AG490" s="2"/>
      <c r="AH490" s="2"/>
      <c r="AI490" s="2"/>
    </row>
    <row r="491" spans="1:35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2"/>
      <c r="AE491" s="2"/>
      <c r="AF491" s="2"/>
      <c r="AG491" s="2"/>
      <c r="AH491" s="2"/>
      <c r="AI491" s="2"/>
    </row>
    <row r="492" spans="1:35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2"/>
      <c r="AE492" s="2"/>
      <c r="AF492" s="2"/>
      <c r="AG492" s="2"/>
      <c r="AH492" s="2"/>
      <c r="AI492" s="2"/>
    </row>
    <row r="493" spans="1:35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2"/>
      <c r="AE493" s="2"/>
      <c r="AF493" s="2"/>
      <c r="AG493" s="2"/>
      <c r="AH493" s="2"/>
      <c r="AI493" s="2"/>
    </row>
    <row r="494" spans="1:35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2"/>
      <c r="AE494" s="2"/>
      <c r="AF494" s="2"/>
      <c r="AG494" s="2"/>
      <c r="AH494" s="2"/>
      <c r="AI494" s="2"/>
    </row>
    <row r="495" spans="1:3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2"/>
      <c r="AE495" s="2"/>
      <c r="AF495" s="2"/>
      <c r="AG495" s="2"/>
      <c r="AH495" s="2"/>
      <c r="AI495" s="2"/>
    </row>
    <row r="496" spans="1:35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2"/>
      <c r="AE496" s="2"/>
      <c r="AF496" s="2"/>
      <c r="AG496" s="2"/>
      <c r="AH496" s="2"/>
      <c r="AI496" s="2"/>
    </row>
    <row r="497" spans="1:35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2"/>
      <c r="AE497" s="2"/>
      <c r="AF497" s="2"/>
      <c r="AG497" s="2"/>
      <c r="AH497" s="2"/>
      <c r="AI497" s="2"/>
    </row>
    <row r="498" spans="1:35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2"/>
      <c r="AE498" s="2"/>
      <c r="AF498" s="2"/>
      <c r="AG498" s="2"/>
      <c r="AH498" s="2"/>
      <c r="AI498" s="2"/>
    </row>
    <row r="499" spans="1:35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2"/>
      <c r="AE499" s="2"/>
      <c r="AF499" s="2"/>
      <c r="AG499" s="2"/>
      <c r="AH499" s="2"/>
      <c r="AI499" s="2"/>
    </row>
    <row r="500" spans="1:35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2"/>
      <c r="AE500" s="2"/>
      <c r="AF500" s="2"/>
      <c r="AG500" s="2"/>
      <c r="AH500" s="2"/>
      <c r="AI500" s="2"/>
    </row>
    <row r="501" spans="1:35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2"/>
      <c r="AE501" s="2"/>
      <c r="AF501" s="2"/>
      <c r="AG501" s="2"/>
      <c r="AH501" s="2"/>
      <c r="AI501" s="2"/>
    </row>
    <row r="502" spans="1:35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2"/>
      <c r="AE502" s="2"/>
      <c r="AF502" s="2"/>
      <c r="AG502" s="2"/>
      <c r="AH502" s="2"/>
      <c r="AI502" s="2"/>
    </row>
    <row r="503" spans="1:35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2"/>
      <c r="AE503" s="2"/>
      <c r="AF503" s="2"/>
      <c r="AG503" s="2"/>
      <c r="AH503" s="2"/>
      <c r="AI503" s="2"/>
    </row>
    <row r="504" spans="1:35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2"/>
      <c r="AE504" s="2"/>
      <c r="AF504" s="2"/>
      <c r="AG504" s="2"/>
      <c r="AH504" s="2"/>
      <c r="AI504" s="2"/>
    </row>
    <row r="505" spans="1:3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2"/>
      <c r="AE505" s="2"/>
      <c r="AF505" s="2"/>
      <c r="AG505" s="2"/>
      <c r="AH505" s="2"/>
      <c r="AI505" s="2"/>
    </row>
    <row r="506" spans="1:35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2"/>
      <c r="AE506" s="2"/>
      <c r="AF506" s="2"/>
      <c r="AG506" s="2"/>
      <c r="AH506" s="2"/>
      <c r="AI506" s="2"/>
    </row>
    <row r="507" spans="1:35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2"/>
      <c r="AE507" s="2"/>
      <c r="AF507" s="2"/>
      <c r="AG507" s="2"/>
      <c r="AH507" s="2"/>
      <c r="AI507" s="2"/>
    </row>
    <row r="508" spans="1:35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2"/>
      <c r="AE508" s="2"/>
      <c r="AF508" s="2"/>
      <c r="AG508" s="2"/>
      <c r="AH508" s="2"/>
      <c r="AI508" s="2"/>
    </row>
    <row r="509" spans="1:35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2"/>
      <c r="AE509" s="2"/>
      <c r="AF509" s="2"/>
      <c r="AG509" s="2"/>
      <c r="AH509" s="2"/>
      <c r="AI509" s="2"/>
    </row>
    <row r="510" spans="1:35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2"/>
      <c r="AE510" s="2"/>
      <c r="AF510" s="2"/>
      <c r="AG510" s="2"/>
      <c r="AH510" s="2"/>
      <c r="AI510" s="2"/>
    </row>
    <row r="511" spans="1:35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2"/>
      <c r="AE511" s="2"/>
      <c r="AF511" s="2"/>
      <c r="AG511" s="2"/>
      <c r="AH511" s="2"/>
      <c r="AI511" s="2"/>
    </row>
    <row r="512" spans="1:35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2"/>
      <c r="AE512" s="2"/>
      <c r="AF512" s="2"/>
      <c r="AG512" s="2"/>
      <c r="AH512" s="2"/>
      <c r="AI512" s="2"/>
    </row>
    <row r="513" spans="1:35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2"/>
      <c r="AE513" s="2"/>
      <c r="AF513" s="2"/>
      <c r="AG513" s="2"/>
      <c r="AH513" s="2"/>
      <c r="AI513" s="2"/>
    </row>
    <row r="514" spans="1:35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2"/>
      <c r="AE514" s="2"/>
      <c r="AF514" s="2"/>
      <c r="AG514" s="2"/>
      <c r="AH514" s="2"/>
      <c r="AI514" s="2"/>
    </row>
    <row r="515" spans="1:3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2"/>
      <c r="AE515" s="2"/>
      <c r="AF515" s="2"/>
      <c r="AG515" s="2"/>
      <c r="AH515" s="2"/>
      <c r="AI515" s="2"/>
    </row>
    <row r="516" spans="1:35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2"/>
      <c r="AE516" s="2"/>
      <c r="AF516" s="2"/>
      <c r="AG516" s="2"/>
      <c r="AH516" s="2"/>
      <c r="AI516" s="2"/>
    </row>
    <row r="517" spans="1:35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2"/>
      <c r="AE517" s="2"/>
      <c r="AF517" s="2"/>
      <c r="AG517" s="2"/>
      <c r="AH517" s="2"/>
      <c r="AI517" s="2"/>
    </row>
    <row r="518" spans="1:35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2"/>
      <c r="AE518" s="2"/>
      <c r="AF518" s="2"/>
      <c r="AG518" s="2"/>
      <c r="AH518" s="2"/>
      <c r="AI518" s="2"/>
    </row>
    <row r="519" spans="1:35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2"/>
      <c r="AE519" s="2"/>
      <c r="AF519" s="2"/>
      <c r="AG519" s="2"/>
      <c r="AH519" s="2"/>
      <c r="AI519" s="2"/>
    </row>
    <row r="520" spans="1:35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2"/>
      <c r="AE520" s="2"/>
      <c r="AF520" s="2"/>
      <c r="AG520" s="2"/>
      <c r="AH520" s="2"/>
      <c r="AI520" s="2"/>
    </row>
    <row r="521" spans="1:35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2"/>
      <c r="AE521" s="2"/>
      <c r="AF521" s="2"/>
      <c r="AG521" s="2"/>
      <c r="AH521" s="2"/>
      <c r="AI521" s="2"/>
    </row>
    <row r="522" spans="1:35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2"/>
      <c r="AE522" s="2"/>
      <c r="AF522" s="2"/>
      <c r="AG522" s="2"/>
      <c r="AH522" s="2"/>
      <c r="AI522" s="2"/>
    </row>
    <row r="523" spans="1:35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2"/>
      <c r="AE523" s="2"/>
      <c r="AF523" s="2"/>
      <c r="AG523" s="2"/>
      <c r="AH523" s="2"/>
      <c r="AI523" s="2"/>
    </row>
    <row r="524" spans="1:35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2"/>
      <c r="AE524" s="2"/>
      <c r="AF524" s="2"/>
      <c r="AG524" s="2"/>
      <c r="AH524" s="2"/>
      <c r="AI524" s="2"/>
    </row>
    <row r="525" spans="1:3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2"/>
      <c r="AE525" s="2"/>
      <c r="AF525" s="2"/>
      <c r="AG525" s="2"/>
      <c r="AH525" s="2"/>
      <c r="AI525" s="2"/>
    </row>
    <row r="526" spans="1:35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2"/>
      <c r="AE526" s="2"/>
      <c r="AF526" s="2"/>
      <c r="AG526" s="2"/>
      <c r="AH526" s="2"/>
      <c r="AI526" s="2"/>
    </row>
    <row r="527" spans="1:35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2"/>
      <c r="AE527" s="2"/>
      <c r="AF527" s="2"/>
      <c r="AG527" s="2"/>
      <c r="AH527" s="2"/>
      <c r="AI527" s="2"/>
    </row>
    <row r="528" spans="1:35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2"/>
      <c r="AE528" s="2"/>
      <c r="AF528" s="2"/>
      <c r="AG528" s="2"/>
      <c r="AH528" s="2"/>
      <c r="AI528" s="2"/>
    </row>
    <row r="529" spans="1:35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2"/>
      <c r="AE529" s="2"/>
      <c r="AF529" s="2"/>
      <c r="AG529" s="2"/>
      <c r="AH529" s="2"/>
      <c r="AI529" s="2"/>
    </row>
    <row r="530" spans="1:35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2"/>
      <c r="AE530" s="2"/>
      <c r="AF530" s="2"/>
      <c r="AG530" s="2"/>
      <c r="AH530" s="2"/>
      <c r="AI530" s="2"/>
    </row>
    <row r="531" spans="1:35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2"/>
      <c r="AE531" s="2"/>
      <c r="AF531" s="2"/>
      <c r="AG531" s="2"/>
      <c r="AH531" s="2"/>
      <c r="AI531" s="2"/>
    </row>
    <row r="532" spans="1:35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2"/>
      <c r="AE532" s="2"/>
      <c r="AF532" s="2"/>
      <c r="AG532" s="2"/>
      <c r="AH532" s="2"/>
      <c r="AI532" s="2"/>
    </row>
    <row r="533" spans="1:35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2"/>
      <c r="AE533" s="2"/>
      <c r="AF533" s="2"/>
      <c r="AG533" s="2"/>
      <c r="AH533" s="2"/>
      <c r="AI533" s="2"/>
    </row>
    <row r="534" spans="1:35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2"/>
      <c r="AE534" s="2"/>
      <c r="AF534" s="2"/>
      <c r="AG534" s="2"/>
      <c r="AH534" s="2"/>
      <c r="AI534" s="2"/>
    </row>
    <row r="535" spans="1: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2"/>
      <c r="AE535" s="2"/>
      <c r="AF535" s="2"/>
      <c r="AG535" s="2"/>
      <c r="AH535" s="2"/>
      <c r="AI535" s="2"/>
    </row>
    <row r="536" spans="1:35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2"/>
      <c r="AE536" s="2"/>
      <c r="AF536" s="2"/>
      <c r="AG536" s="2"/>
      <c r="AH536" s="2"/>
      <c r="AI536" s="2"/>
    </row>
    <row r="537" spans="1:35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2"/>
      <c r="AE537" s="2"/>
      <c r="AF537" s="2"/>
      <c r="AG537" s="2"/>
      <c r="AH537" s="2"/>
      <c r="AI537" s="2"/>
    </row>
    <row r="538" spans="1:35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2"/>
      <c r="AE538" s="2"/>
      <c r="AF538" s="2"/>
      <c r="AG538" s="2"/>
      <c r="AH538" s="2"/>
      <c r="AI538" s="2"/>
    </row>
    <row r="539" spans="1:35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2"/>
      <c r="AE539" s="2"/>
      <c r="AF539" s="2"/>
      <c r="AG539" s="2"/>
      <c r="AH539" s="2"/>
      <c r="AI539" s="2"/>
    </row>
    <row r="540" spans="1:35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2"/>
      <c r="AE540" s="2"/>
      <c r="AF540" s="2"/>
      <c r="AG540" s="2"/>
      <c r="AH540" s="2"/>
      <c r="AI540" s="2"/>
    </row>
    <row r="541" spans="1:35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2"/>
      <c r="AE541" s="2"/>
      <c r="AF541" s="2"/>
      <c r="AG541" s="2"/>
      <c r="AH541" s="2"/>
      <c r="AI541" s="2"/>
    </row>
    <row r="542" spans="1:35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2"/>
      <c r="AE542" s="2"/>
      <c r="AF542" s="2"/>
      <c r="AG542" s="2"/>
      <c r="AH542" s="2"/>
      <c r="AI542" s="2"/>
    </row>
    <row r="543" spans="1:35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2"/>
      <c r="AE543" s="2"/>
      <c r="AF543" s="2"/>
      <c r="AG543" s="2"/>
      <c r="AH543" s="2"/>
      <c r="AI543" s="2"/>
    </row>
    <row r="544" spans="1:35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2"/>
      <c r="AE544" s="2"/>
      <c r="AF544" s="2"/>
      <c r="AG544" s="2"/>
      <c r="AH544" s="2"/>
      <c r="AI544" s="2"/>
    </row>
    <row r="545" spans="1:3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2"/>
      <c r="AE545" s="2"/>
      <c r="AF545" s="2"/>
      <c r="AG545" s="2"/>
      <c r="AH545" s="2"/>
      <c r="AI545" s="2"/>
    </row>
    <row r="546" spans="1:35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2"/>
      <c r="AE546" s="2"/>
      <c r="AF546" s="2"/>
      <c r="AG546" s="2"/>
      <c r="AH546" s="2"/>
      <c r="AI546" s="2"/>
    </row>
    <row r="547" spans="1:35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2"/>
      <c r="AE547" s="2"/>
      <c r="AF547" s="2"/>
      <c r="AG547" s="2"/>
      <c r="AH547" s="2"/>
      <c r="AI547" s="2"/>
    </row>
    <row r="548" spans="1:35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2"/>
      <c r="AE548" s="2"/>
      <c r="AF548" s="2"/>
      <c r="AG548" s="2"/>
      <c r="AH548" s="2"/>
      <c r="AI548" s="2"/>
    </row>
    <row r="549" spans="1:35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2"/>
      <c r="AE549" s="2"/>
      <c r="AF549" s="2"/>
      <c r="AG549" s="2"/>
      <c r="AH549" s="2"/>
      <c r="AI549" s="2"/>
    </row>
    <row r="550" spans="1:35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2"/>
      <c r="AE550" s="2"/>
      <c r="AF550" s="2"/>
      <c r="AG550" s="2"/>
      <c r="AH550" s="2"/>
      <c r="AI550" s="2"/>
    </row>
    <row r="551" spans="1:35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2"/>
      <c r="AE551" s="2"/>
      <c r="AF551" s="2"/>
      <c r="AG551" s="2"/>
      <c r="AH551" s="2"/>
      <c r="AI551" s="2"/>
    </row>
    <row r="552" spans="1:35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2"/>
      <c r="AE552" s="2"/>
      <c r="AF552" s="2"/>
      <c r="AG552" s="2"/>
      <c r="AH552" s="2"/>
      <c r="AI552" s="2"/>
    </row>
    <row r="553" spans="1:35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2"/>
      <c r="AE553" s="2"/>
      <c r="AF553" s="2"/>
      <c r="AG553" s="2"/>
      <c r="AH553" s="2"/>
      <c r="AI553" s="2"/>
    </row>
    <row r="554" spans="1:35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2"/>
      <c r="AE554" s="2"/>
      <c r="AF554" s="2"/>
      <c r="AG554" s="2"/>
      <c r="AH554" s="2"/>
      <c r="AI554" s="2"/>
    </row>
    <row r="555" spans="1:3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2"/>
      <c r="AE555" s="2"/>
      <c r="AF555" s="2"/>
      <c r="AG555" s="2"/>
      <c r="AH555" s="2"/>
      <c r="AI555" s="2"/>
    </row>
    <row r="556" spans="1:35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2"/>
      <c r="AE556" s="2"/>
      <c r="AF556" s="2"/>
      <c r="AG556" s="2"/>
      <c r="AH556" s="2"/>
      <c r="AI556" s="2"/>
    </row>
    <row r="557" spans="1:35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2"/>
      <c r="AE557" s="2"/>
      <c r="AF557" s="2"/>
      <c r="AG557" s="2"/>
      <c r="AH557" s="2"/>
      <c r="AI557" s="2"/>
    </row>
    <row r="558" spans="1:35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2"/>
      <c r="AE558" s="2"/>
      <c r="AF558" s="2"/>
      <c r="AG558" s="2"/>
      <c r="AH558" s="2"/>
      <c r="AI558" s="2"/>
    </row>
    <row r="559" spans="1:35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2"/>
      <c r="AE559" s="2"/>
      <c r="AF559" s="2"/>
      <c r="AG559" s="2"/>
      <c r="AH559" s="2"/>
      <c r="AI559" s="2"/>
    </row>
    <row r="560" spans="1:35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2"/>
      <c r="AE560" s="2"/>
      <c r="AF560" s="2"/>
      <c r="AG560" s="2"/>
      <c r="AH560" s="2"/>
      <c r="AI560" s="2"/>
    </row>
    <row r="561" spans="1:35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2"/>
      <c r="AE561" s="2"/>
      <c r="AF561" s="2"/>
      <c r="AG561" s="2"/>
      <c r="AH561" s="2"/>
      <c r="AI561" s="2"/>
    </row>
    <row r="562" spans="1:35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2"/>
      <c r="AE562" s="2"/>
      <c r="AF562" s="2"/>
      <c r="AG562" s="2"/>
      <c r="AH562" s="2"/>
      <c r="AI562" s="2"/>
    </row>
    <row r="563" spans="1:35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2"/>
      <c r="AE563" s="2"/>
      <c r="AF563" s="2"/>
      <c r="AG563" s="2"/>
      <c r="AH563" s="2"/>
      <c r="AI563" s="2"/>
    </row>
    <row r="564" spans="1:35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2"/>
      <c r="AE564" s="2"/>
      <c r="AF564" s="2"/>
      <c r="AG564" s="2"/>
      <c r="AH564" s="2"/>
      <c r="AI564" s="2"/>
    </row>
    <row r="565" spans="1:3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2"/>
      <c r="AE565" s="2"/>
      <c r="AF565" s="2"/>
      <c r="AG565" s="2"/>
      <c r="AH565" s="2"/>
      <c r="AI565" s="2"/>
    </row>
    <row r="566" spans="1:35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2"/>
      <c r="AE566" s="2"/>
      <c r="AF566" s="2"/>
      <c r="AG566" s="2"/>
      <c r="AH566" s="2"/>
      <c r="AI566" s="2"/>
    </row>
    <row r="567" spans="1:35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2"/>
      <c r="AE567" s="2"/>
      <c r="AF567" s="2"/>
      <c r="AG567" s="2"/>
      <c r="AH567" s="2"/>
      <c r="AI567" s="2"/>
    </row>
    <row r="568" spans="1:35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2"/>
      <c r="AE568" s="2"/>
      <c r="AF568" s="2"/>
      <c r="AG568" s="2"/>
      <c r="AH568" s="2"/>
      <c r="AI568" s="2"/>
    </row>
    <row r="569" spans="1:35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2"/>
      <c r="AE569" s="2"/>
      <c r="AF569" s="2"/>
      <c r="AG569" s="2"/>
      <c r="AH569" s="2"/>
      <c r="AI569" s="2"/>
    </row>
    <row r="570" spans="1:35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2"/>
      <c r="AE570" s="2"/>
      <c r="AF570" s="2"/>
      <c r="AG570" s="2"/>
      <c r="AH570" s="2"/>
      <c r="AI570" s="2"/>
    </row>
    <row r="571" spans="1:35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2"/>
      <c r="AE571" s="2"/>
      <c r="AF571" s="2"/>
      <c r="AG571" s="2"/>
      <c r="AH571" s="2"/>
      <c r="AI571" s="2"/>
    </row>
    <row r="572" spans="1:35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2"/>
      <c r="AE572" s="2"/>
      <c r="AF572" s="2"/>
      <c r="AG572" s="2"/>
      <c r="AH572" s="2"/>
      <c r="AI572" s="2"/>
    </row>
    <row r="573" spans="1:35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2"/>
      <c r="AE573" s="2"/>
      <c r="AF573" s="2"/>
      <c r="AG573" s="2"/>
      <c r="AH573" s="2"/>
      <c r="AI573" s="2"/>
    </row>
    <row r="574" spans="1:35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2"/>
      <c r="AE574" s="2"/>
      <c r="AF574" s="2"/>
      <c r="AG574" s="2"/>
      <c r="AH574" s="2"/>
      <c r="AI574" s="2"/>
    </row>
    <row r="575" spans="1:3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2"/>
      <c r="AE575" s="2"/>
      <c r="AF575" s="2"/>
      <c r="AG575" s="2"/>
      <c r="AH575" s="2"/>
      <c r="AI575" s="2"/>
    </row>
    <row r="576" spans="1:35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2"/>
      <c r="AE576" s="2"/>
      <c r="AF576" s="2"/>
      <c r="AG576" s="2"/>
      <c r="AH576" s="2"/>
      <c r="AI576" s="2"/>
    </row>
    <row r="577" spans="1:35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2"/>
      <c r="AE577" s="2"/>
      <c r="AF577" s="2"/>
      <c r="AG577" s="2"/>
      <c r="AH577" s="2"/>
      <c r="AI577" s="2"/>
    </row>
    <row r="578" spans="1:35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2"/>
      <c r="AE578" s="2"/>
      <c r="AF578" s="2"/>
      <c r="AG578" s="2"/>
      <c r="AH578" s="2"/>
      <c r="AI578" s="2"/>
    </row>
    <row r="579" spans="1:35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2"/>
      <c r="AE579" s="2"/>
      <c r="AF579" s="2"/>
      <c r="AG579" s="2"/>
      <c r="AH579" s="2"/>
      <c r="AI579" s="2"/>
    </row>
    <row r="580" spans="1:35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2"/>
      <c r="AE580" s="2"/>
      <c r="AF580" s="2"/>
      <c r="AG580" s="2"/>
      <c r="AH580" s="2"/>
      <c r="AI580" s="2"/>
    </row>
    <row r="581" spans="1:35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2"/>
      <c r="AE581" s="2"/>
      <c r="AF581" s="2"/>
      <c r="AG581" s="2"/>
      <c r="AH581" s="2"/>
      <c r="AI581" s="2"/>
    </row>
    <row r="582" spans="1:35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2"/>
      <c r="AE582" s="2"/>
      <c r="AF582" s="2"/>
      <c r="AG582" s="2"/>
      <c r="AH582" s="2"/>
      <c r="AI582" s="2"/>
    </row>
    <row r="583" spans="1:35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2"/>
      <c r="AE583" s="2"/>
      <c r="AF583" s="2"/>
      <c r="AG583" s="2"/>
      <c r="AH583" s="2"/>
      <c r="AI583" s="2"/>
    </row>
    <row r="584" spans="1:35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2"/>
      <c r="AE584" s="2"/>
      <c r="AF584" s="2"/>
      <c r="AG584" s="2"/>
      <c r="AH584" s="2"/>
      <c r="AI584" s="2"/>
    </row>
    <row r="585" spans="1:3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2"/>
      <c r="AE585" s="2"/>
      <c r="AF585" s="2"/>
      <c r="AG585" s="2"/>
      <c r="AH585" s="2"/>
      <c r="AI585" s="2"/>
    </row>
    <row r="586" spans="1:35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2"/>
      <c r="AE586" s="2"/>
      <c r="AF586" s="2"/>
      <c r="AG586" s="2"/>
      <c r="AH586" s="2"/>
      <c r="AI586" s="2"/>
    </row>
    <row r="587" spans="1:35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2"/>
      <c r="AE587" s="2"/>
      <c r="AF587" s="2"/>
      <c r="AG587" s="2"/>
      <c r="AH587" s="2"/>
      <c r="AI587" s="2"/>
    </row>
    <row r="588" spans="1:35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2"/>
      <c r="AE588" s="2"/>
      <c r="AF588" s="2"/>
      <c r="AG588" s="2"/>
      <c r="AH588" s="2"/>
      <c r="AI588" s="2"/>
    </row>
    <row r="589" spans="1:35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2"/>
      <c r="AE589" s="2"/>
      <c r="AF589" s="2"/>
      <c r="AG589" s="2"/>
      <c r="AH589" s="2"/>
      <c r="AI589" s="2"/>
    </row>
    <row r="590" spans="1:35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2"/>
      <c r="AE590" s="2"/>
      <c r="AF590" s="2"/>
      <c r="AG590" s="2"/>
      <c r="AH590" s="2"/>
      <c r="AI590" s="2"/>
    </row>
    <row r="591" spans="1:35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2"/>
      <c r="AE591" s="2"/>
      <c r="AF591" s="2"/>
      <c r="AG591" s="2"/>
      <c r="AH591" s="2"/>
      <c r="AI591" s="2"/>
    </row>
    <row r="592" spans="1:35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2"/>
      <c r="AE592" s="2"/>
      <c r="AF592" s="2"/>
      <c r="AG592" s="2"/>
      <c r="AH592" s="2"/>
      <c r="AI592" s="2"/>
    </row>
    <row r="593" spans="1:35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2"/>
      <c r="AE593" s="2"/>
      <c r="AF593" s="2"/>
      <c r="AG593" s="2"/>
      <c r="AH593" s="2"/>
      <c r="AI593" s="2"/>
    </row>
    <row r="594" spans="1:35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2"/>
      <c r="AE594" s="2"/>
      <c r="AF594" s="2"/>
      <c r="AG594" s="2"/>
      <c r="AH594" s="2"/>
      <c r="AI594" s="2"/>
    </row>
    <row r="595" spans="1:3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2"/>
      <c r="AE595" s="2"/>
      <c r="AF595" s="2"/>
      <c r="AG595" s="2"/>
      <c r="AH595" s="2"/>
      <c r="AI595" s="2"/>
    </row>
    <row r="596" spans="1:35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2"/>
      <c r="AE596" s="2"/>
      <c r="AF596" s="2"/>
      <c r="AG596" s="2"/>
      <c r="AH596" s="2"/>
      <c r="AI596" s="2"/>
    </row>
    <row r="597" spans="1:35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2"/>
      <c r="AE597" s="2"/>
      <c r="AF597" s="2"/>
      <c r="AG597" s="2"/>
      <c r="AH597" s="2"/>
      <c r="AI597" s="2"/>
    </row>
    <row r="598" spans="1:35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2"/>
      <c r="AE598" s="2"/>
      <c r="AF598" s="2"/>
      <c r="AG598" s="2"/>
      <c r="AH598" s="2"/>
      <c r="AI598" s="2"/>
    </row>
    <row r="599" spans="1:35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2"/>
      <c r="AE599" s="2"/>
      <c r="AF599" s="2"/>
      <c r="AG599" s="2"/>
      <c r="AH599" s="2"/>
      <c r="AI599" s="2"/>
    </row>
    <row r="600" spans="1:35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2"/>
      <c r="AE600" s="2"/>
      <c r="AF600" s="2"/>
      <c r="AG600" s="2"/>
      <c r="AH600" s="2"/>
      <c r="AI600" s="2"/>
    </row>
    <row r="601" spans="1:35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2"/>
      <c r="AE601" s="2"/>
      <c r="AF601" s="2"/>
      <c r="AG601" s="2"/>
      <c r="AH601" s="2"/>
      <c r="AI601" s="2"/>
    </row>
    <row r="602" spans="1:35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2"/>
      <c r="AE602" s="2"/>
      <c r="AF602" s="2"/>
      <c r="AG602" s="2"/>
      <c r="AH602" s="2"/>
      <c r="AI602" s="2"/>
    </row>
    <row r="603" spans="1:35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2"/>
      <c r="AE603" s="2"/>
      <c r="AF603" s="2"/>
      <c r="AG603" s="2"/>
      <c r="AH603" s="2"/>
      <c r="AI603" s="2"/>
    </row>
    <row r="604" spans="1:35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2"/>
      <c r="AE604" s="2"/>
      <c r="AF604" s="2"/>
      <c r="AG604" s="2"/>
      <c r="AH604" s="2"/>
      <c r="AI604" s="2"/>
    </row>
    <row r="605" spans="1:3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2"/>
      <c r="AE605" s="2"/>
      <c r="AF605" s="2"/>
      <c r="AG605" s="2"/>
      <c r="AH605" s="2"/>
      <c r="AI605" s="2"/>
    </row>
    <row r="606" spans="1:35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2"/>
      <c r="AE606" s="2"/>
      <c r="AF606" s="2"/>
      <c r="AG606" s="2"/>
      <c r="AH606" s="2"/>
      <c r="AI606" s="2"/>
    </row>
    <row r="607" spans="1:35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2"/>
      <c r="AE607" s="2"/>
      <c r="AF607" s="2"/>
      <c r="AG607" s="2"/>
      <c r="AH607" s="2"/>
      <c r="AI607" s="2"/>
    </row>
    <row r="608" spans="1:35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2"/>
      <c r="AE608" s="2"/>
      <c r="AF608" s="2"/>
      <c r="AG608" s="2"/>
      <c r="AH608" s="2"/>
      <c r="AI608" s="2"/>
    </row>
    <row r="609" spans="1:35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2"/>
      <c r="AE609" s="2"/>
      <c r="AF609" s="2"/>
      <c r="AG609" s="2"/>
      <c r="AH609" s="2"/>
      <c r="AI609" s="2"/>
    </row>
    <row r="610" spans="1:35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2"/>
      <c r="AE610" s="2"/>
      <c r="AF610" s="2"/>
      <c r="AG610" s="2"/>
      <c r="AH610" s="2"/>
      <c r="AI610" s="2"/>
    </row>
    <row r="611" spans="1:35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2"/>
      <c r="AE611" s="2"/>
      <c r="AF611" s="2"/>
      <c r="AG611" s="2"/>
      <c r="AH611" s="2"/>
      <c r="AI611" s="2"/>
    </row>
    <row r="612" spans="1:35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2"/>
      <c r="AE612" s="2"/>
      <c r="AF612" s="2"/>
      <c r="AG612" s="2"/>
      <c r="AH612" s="2"/>
      <c r="AI612" s="2"/>
    </row>
    <row r="613" spans="1:35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2"/>
      <c r="AE613" s="2"/>
      <c r="AF613" s="2"/>
      <c r="AG613" s="2"/>
      <c r="AH613" s="2"/>
      <c r="AI613" s="2"/>
    </row>
    <row r="614" spans="1:35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2"/>
      <c r="AE614" s="2"/>
      <c r="AF614" s="2"/>
      <c r="AG614" s="2"/>
      <c r="AH614" s="2"/>
      <c r="AI614" s="2"/>
    </row>
    <row r="615" spans="1:3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2"/>
      <c r="AE615" s="2"/>
      <c r="AF615" s="2"/>
      <c r="AG615" s="2"/>
      <c r="AH615" s="2"/>
      <c r="AI615" s="2"/>
    </row>
    <row r="616" spans="1:35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2"/>
      <c r="AE616" s="2"/>
      <c r="AF616" s="2"/>
      <c r="AG616" s="2"/>
      <c r="AH616" s="2"/>
      <c r="AI616" s="2"/>
    </row>
    <row r="617" spans="1:35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2"/>
      <c r="AE617" s="2"/>
      <c r="AF617" s="2"/>
      <c r="AG617" s="2"/>
      <c r="AH617" s="2"/>
      <c r="AI617" s="2"/>
    </row>
    <row r="618" spans="1:35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2"/>
      <c r="AE618" s="2"/>
      <c r="AF618" s="2"/>
      <c r="AG618" s="2"/>
      <c r="AH618" s="2"/>
      <c r="AI618" s="2"/>
    </row>
    <row r="619" spans="1:35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2"/>
      <c r="AE619" s="2"/>
      <c r="AF619" s="2"/>
      <c r="AG619" s="2"/>
      <c r="AH619" s="2"/>
      <c r="AI619" s="2"/>
    </row>
    <row r="620" spans="1:35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2"/>
      <c r="AE620" s="2"/>
      <c r="AF620" s="2"/>
      <c r="AG620" s="2"/>
      <c r="AH620" s="2"/>
      <c r="AI620" s="2"/>
    </row>
    <row r="621" spans="1:35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2"/>
      <c r="AE621" s="2"/>
      <c r="AF621" s="2"/>
      <c r="AG621" s="2"/>
      <c r="AH621" s="2"/>
      <c r="AI621" s="2"/>
    </row>
    <row r="622" spans="1:35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2"/>
      <c r="AE622" s="2"/>
      <c r="AF622" s="2"/>
      <c r="AG622" s="2"/>
      <c r="AH622" s="2"/>
      <c r="AI622" s="2"/>
    </row>
    <row r="623" spans="1:35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2"/>
      <c r="AE623" s="2"/>
      <c r="AF623" s="2"/>
      <c r="AG623" s="2"/>
      <c r="AH623" s="2"/>
      <c r="AI623" s="2"/>
    </row>
    <row r="624" spans="1:35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2"/>
      <c r="AE624" s="2"/>
      <c r="AF624" s="2"/>
      <c r="AG624" s="2"/>
      <c r="AH624" s="2"/>
      <c r="AI624" s="2"/>
    </row>
    <row r="625" spans="1:3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2"/>
      <c r="AE625" s="2"/>
      <c r="AF625" s="2"/>
      <c r="AG625" s="2"/>
      <c r="AH625" s="2"/>
      <c r="AI625" s="2"/>
    </row>
    <row r="626" spans="1:35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2"/>
      <c r="AE626" s="2"/>
      <c r="AF626" s="2"/>
      <c r="AG626" s="2"/>
      <c r="AH626" s="2"/>
      <c r="AI626" s="2"/>
    </row>
    <row r="627" spans="1:35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2"/>
      <c r="AE627" s="2"/>
      <c r="AF627" s="2"/>
      <c r="AG627" s="2"/>
      <c r="AH627" s="2"/>
      <c r="AI627" s="2"/>
    </row>
    <row r="628" spans="1:35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2"/>
      <c r="AE628" s="2"/>
      <c r="AF628" s="2"/>
      <c r="AG628" s="2"/>
      <c r="AH628" s="2"/>
      <c r="AI628" s="2"/>
    </row>
    <row r="629" spans="1:35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2"/>
      <c r="AE629" s="2"/>
      <c r="AF629" s="2"/>
      <c r="AG629" s="2"/>
      <c r="AH629" s="2"/>
      <c r="AI629" s="2"/>
    </row>
    <row r="630" spans="1:35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2"/>
      <c r="AE630" s="2"/>
      <c r="AF630" s="2"/>
      <c r="AG630" s="2"/>
      <c r="AH630" s="2"/>
      <c r="AI630" s="2"/>
    </row>
    <row r="631" spans="1:35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2"/>
      <c r="AE631" s="2"/>
      <c r="AF631" s="2"/>
      <c r="AG631" s="2"/>
      <c r="AH631" s="2"/>
      <c r="AI631" s="2"/>
    </row>
    <row r="632" spans="1:35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2"/>
      <c r="AE632" s="2"/>
      <c r="AF632" s="2"/>
      <c r="AG632" s="2"/>
      <c r="AH632" s="2"/>
      <c r="AI632" s="2"/>
    </row>
    <row r="633" spans="1:35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2"/>
      <c r="AE633" s="2"/>
      <c r="AF633" s="2"/>
      <c r="AG633" s="2"/>
      <c r="AH633" s="2"/>
      <c r="AI633" s="2"/>
    </row>
    <row r="634" spans="1:35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2"/>
      <c r="AE634" s="2"/>
      <c r="AF634" s="2"/>
      <c r="AG634" s="2"/>
      <c r="AH634" s="2"/>
      <c r="AI634" s="2"/>
    </row>
    <row r="635" spans="1: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2"/>
      <c r="AE635" s="2"/>
      <c r="AF635" s="2"/>
      <c r="AG635" s="2"/>
      <c r="AH635" s="2"/>
      <c r="AI635" s="2"/>
    </row>
    <row r="636" spans="1:35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2"/>
      <c r="AE636" s="2"/>
      <c r="AF636" s="2"/>
      <c r="AG636" s="2"/>
      <c r="AH636" s="2"/>
      <c r="AI636" s="2"/>
    </row>
    <row r="637" spans="1:35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2"/>
      <c r="AE637" s="2"/>
      <c r="AF637" s="2"/>
      <c r="AG637" s="2"/>
      <c r="AH637" s="2"/>
      <c r="AI637" s="2"/>
    </row>
    <row r="638" spans="1:35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2"/>
      <c r="AE638" s="2"/>
      <c r="AF638" s="2"/>
      <c r="AG638" s="2"/>
      <c r="AH638" s="2"/>
      <c r="AI638" s="2"/>
    </row>
    <row r="639" spans="1:35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2"/>
      <c r="AE639" s="2"/>
      <c r="AF639" s="2"/>
      <c r="AG639" s="2"/>
      <c r="AH639" s="2"/>
      <c r="AI639" s="2"/>
    </row>
    <row r="640" spans="1:35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2"/>
      <c r="AE640" s="2"/>
      <c r="AF640" s="2"/>
      <c r="AG640" s="2"/>
      <c r="AH640" s="2"/>
      <c r="AI640" s="2"/>
    </row>
    <row r="641" spans="1:35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2"/>
      <c r="AE641" s="2"/>
      <c r="AF641" s="2"/>
      <c r="AG641" s="2"/>
      <c r="AH641" s="2"/>
      <c r="AI641" s="2"/>
    </row>
    <row r="642" spans="1:35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2"/>
      <c r="AE642" s="2"/>
      <c r="AF642" s="2"/>
      <c r="AG642" s="2"/>
      <c r="AH642" s="2"/>
      <c r="AI642" s="2"/>
    </row>
    <row r="643" spans="1:35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2"/>
      <c r="AE643" s="2"/>
      <c r="AF643" s="2"/>
      <c r="AG643" s="2"/>
      <c r="AH643" s="2"/>
      <c r="AI643" s="2"/>
    </row>
    <row r="644" spans="1:35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2"/>
      <c r="AE644" s="2"/>
      <c r="AF644" s="2"/>
      <c r="AG644" s="2"/>
      <c r="AH644" s="2"/>
      <c r="AI644" s="2"/>
    </row>
    <row r="645" spans="1:3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2"/>
      <c r="AE645" s="2"/>
      <c r="AF645" s="2"/>
      <c r="AG645" s="2"/>
      <c r="AH645" s="2"/>
      <c r="AI645" s="2"/>
    </row>
    <row r="646" spans="1:35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2"/>
      <c r="AE646" s="2"/>
      <c r="AF646" s="2"/>
      <c r="AG646" s="2"/>
      <c r="AH646" s="2"/>
      <c r="AI646" s="2"/>
    </row>
    <row r="647" spans="1:35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2"/>
      <c r="AE647" s="2"/>
      <c r="AF647" s="2"/>
      <c r="AG647" s="2"/>
      <c r="AH647" s="2"/>
      <c r="AI647" s="2"/>
    </row>
    <row r="648" spans="1:35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2"/>
      <c r="AE648" s="2"/>
      <c r="AF648" s="2"/>
      <c r="AG648" s="2"/>
      <c r="AH648" s="2"/>
      <c r="AI648" s="2"/>
    </row>
    <row r="649" spans="1:35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2"/>
      <c r="AE649" s="2"/>
      <c r="AF649" s="2"/>
      <c r="AG649" s="2"/>
      <c r="AH649" s="2"/>
      <c r="AI649" s="2"/>
    </row>
    <row r="650" spans="1:35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2"/>
      <c r="AE650" s="2"/>
      <c r="AF650" s="2"/>
      <c r="AG650" s="2"/>
      <c r="AH650" s="2"/>
      <c r="AI650" s="2"/>
    </row>
    <row r="651" spans="1:35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2"/>
      <c r="AE651" s="2"/>
      <c r="AF651" s="2"/>
      <c r="AG651" s="2"/>
      <c r="AH651" s="2"/>
      <c r="AI651" s="2"/>
    </row>
    <row r="652" spans="1:35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2"/>
      <c r="AE652" s="2"/>
      <c r="AF652" s="2"/>
      <c r="AG652" s="2"/>
      <c r="AH652" s="2"/>
      <c r="AI652" s="2"/>
    </row>
    <row r="653" spans="1:35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2"/>
      <c r="AE653" s="2"/>
      <c r="AF653" s="2"/>
      <c r="AG653" s="2"/>
      <c r="AH653" s="2"/>
      <c r="AI653" s="2"/>
    </row>
    <row r="654" spans="1:35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2"/>
      <c r="AE654" s="2"/>
      <c r="AF654" s="2"/>
      <c r="AG654" s="2"/>
      <c r="AH654" s="2"/>
      <c r="AI654" s="2"/>
    </row>
    <row r="655" spans="1:3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2"/>
      <c r="AE655" s="2"/>
      <c r="AF655" s="2"/>
      <c r="AG655" s="2"/>
      <c r="AH655" s="2"/>
      <c r="AI655" s="2"/>
    </row>
    <row r="656" spans="1:35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2"/>
      <c r="AE656" s="2"/>
      <c r="AF656" s="2"/>
      <c r="AG656" s="2"/>
      <c r="AH656" s="2"/>
      <c r="AI656" s="2"/>
    </row>
    <row r="657" spans="1:35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2"/>
      <c r="AE657" s="2"/>
      <c r="AF657" s="2"/>
      <c r="AG657" s="2"/>
      <c r="AH657" s="2"/>
      <c r="AI657" s="2"/>
    </row>
    <row r="658" spans="1:35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2"/>
      <c r="AE658" s="2"/>
      <c r="AF658" s="2"/>
      <c r="AG658" s="2"/>
      <c r="AH658" s="2"/>
      <c r="AI658" s="2"/>
    </row>
    <row r="659" spans="1:35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2"/>
      <c r="AE659" s="2"/>
      <c r="AF659" s="2"/>
      <c r="AG659" s="2"/>
      <c r="AH659" s="2"/>
      <c r="AI659" s="2"/>
    </row>
    <row r="660" spans="1:35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2"/>
      <c r="AE660" s="2"/>
      <c r="AF660" s="2"/>
      <c r="AG660" s="2"/>
      <c r="AH660" s="2"/>
      <c r="AI660" s="2"/>
    </row>
    <row r="661" spans="1:35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2"/>
      <c r="AE661" s="2"/>
      <c r="AF661" s="2"/>
      <c r="AG661" s="2"/>
      <c r="AH661" s="2"/>
      <c r="AI661" s="2"/>
    </row>
    <row r="662" spans="1:35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2"/>
      <c r="AE662" s="2"/>
      <c r="AF662" s="2"/>
      <c r="AG662" s="2"/>
      <c r="AH662" s="2"/>
      <c r="AI662" s="2"/>
    </row>
    <row r="663" spans="1:35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2"/>
      <c r="AE663" s="2"/>
      <c r="AF663" s="2"/>
      <c r="AG663" s="2"/>
      <c r="AH663" s="2"/>
      <c r="AI663" s="2"/>
    </row>
    <row r="664" spans="1:35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2"/>
      <c r="AE664" s="2"/>
      <c r="AF664" s="2"/>
      <c r="AG664" s="2"/>
      <c r="AH664" s="2"/>
      <c r="AI664" s="2"/>
    </row>
    <row r="665" spans="1:3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2"/>
      <c r="AE665" s="2"/>
      <c r="AF665" s="2"/>
      <c r="AG665" s="2"/>
      <c r="AH665" s="2"/>
      <c r="AI665" s="2"/>
    </row>
    <row r="666" spans="1:35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2"/>
      <c r="AE666" s="2"/>
      <c r="AF666" s="2"/>
      <c r="AG666" s="2"/>
      <c r="AH666" s="2"/>
      <c r="AI666" s="2"/>
    </row>
    <row r="667" spans="1:35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2"/>
      <c r="AE667" s="2"/>
      <c r="AF667" s="2"/>
      <c r="AG667" s="2"/>
      <c r="AH667" s="2"/>
      <c r="AI667" s="2"/>
    </row>
    <row r="668" spans="1:35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2"/>
      <c r="AE668" s="2"/>
      <c r="AF668" s="2"/>
      <c r="AG668" s="2"/>
      <c r="AH668" s="2"/>
      <c r="AI668" s="2"/>
    </row>
    <row r="669" spans="1:35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2"/>
      <c r="AE669" s="2"/>
      <c r="AF669" s="2"/>
      <c r="AG669" s="2"/>
      <c r="AH669" s="2"/>
      <c r="AI669" s="2"/>
    </row>
    <row r="670" spans="1:35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2"/>
      <c r="AE670" s="2"/>
      <c r="AF670" s="2"/>
      <c r="AG670" s="2"/>
      <c r="AH670" s="2"/>
      <c r="AI670" s="2"/>
    </row>
    <row r="671" spans="1:35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2"/>
      <c r="AE671" s="2"/>
      <c r="AF671" s="2"/>
      <c r="AG671" s="2"/>
      <c r="AH671" s="2"/>
      <c r="AI671" s="2"/>
    </row>
    <row r="672" spans="1:35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2"/>
      <c r="AE672" s="2"/>
      <c r="AF672" s="2"/>
      <c r="AG672" s="2"/>
      <c r="AH672" s="2"/>
      <c r="AI672" s="2"/>
    </row>
    <row r="673" spans="1:35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2"/>
      <c r="AE673" s="2"/>
      <c r="AF673" s="2"/>
      <c r="AG673" s="2"/>
      <c r="AH673" s="2"/>
      <c r="AI673" s="2"/>
    </row>
    <row r="674" spans="1:35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2"/>
      <c r="AE674" s="2"/>
      <c r="AF674" s="2"/>
      <c r="AG674" s="2"/>
      <c r="AH674" s="2"/>
      <c r="AI674" s="2"/>
    </row>
    <row r="675" spans="1:3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2"/>
      <c r="AE675" s="2"/>
      <c r="AF675" s="2"/>
      <c r="AG675" s="2"/>
      <c r="AH675" s="2"/>
      <c r="AI675" s="2"/>
    </row>
    <row r="676" spans="1:35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2"/>
      <c r="AE676" s="2"/>
      <c r="AF676" s="2"/>
      <c r="AG676" s="2"/>
      <c r="AH676" s="2"/>
      <c r="AI676" s="2"/>
    </row>
    <row r="677" spans="1:35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2"/>
      <c r="AE677" s="2"/>
      <c r="AF677" s="2"/>
      <c r="AG677" s="2"/>
      <c r="AH677" s="2"/>
      <c r="AI677" s="2"/>
    </row>
    <row r="678" spans="1:35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2"/>
      <c r="AE678" s="2"/>
      <c r="AF678" s="2"/>
      <c r="AG678" s="2"/>
      <c r="AH678" s="2"/>
      <c r="AI678" s="2"/>
    </row>
    <row r="679" spans="1:35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2"/>
      <c r="AE679" s="2"/>
      <c r="AF679" s="2"/>
      <c r="AG679" s="2"/>
      <c r="AH679" s="2"/>
      <c r="AI679" s="2"/>
    </row>
    <row r="680" spans="1:35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2"/>
      <c r="AE680" s="2"/>
      <c r="AF680" s="2"/>
      <c r="AG680" s="2"/>
      <c r="AH680" s="2"/>
      <c r="AI680" s="2"/>
    </row>
    <row r="681" spans="1:35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2"/>
      <c r="AE681" s="2"/>
      <c r="AF681" s="2"/>
      <c r="AG681" s="2"/>
      <c r="AH681" s="2"/>
      <c r="AI681" s="2"/>
    </row>
    <row r="682" spans="1:35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2"/>
      <c r="AE682" s="2"/>
      <c r="AF682" s="2"/>
      <c r="AG682" s="2"/>
      <c r="AH682" s="2"/>
      <c r="AI682" s="2"/>
    </row>
    <row r="683" spans="1:35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2"/>
      <c r="AE683" s="2"/>
      <c r="AF683" s="2"/>
      <c r="AG683" s="2"/>
      <c r="AH683" s="2"/>
      <c r="AI683" s="2"/>
    </row>
    <row r="684" spans="1:35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2"/>
      <c r="AE684" s="2"/>
      <c r="AF684" s="2"/>
      <c r="AG684" s="2"/>
      <c r="AH684" s="2"/>
      <c r="AI684" s="2"/>
    </row>
    <row r="685" spans="1:3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2"/>
      <c r="AE685" s="2"/>
      <c r="AF685" s="2"/>
      <c r="AG685" s="2"/>
      <c r="AH685" s="2"/>
      <c r="AI685" s="2"/>
    </row>
    <row r="686" spans="1:35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2"/>
      <c r="AE686" s="2"/>
      <c r="AF686" s="2"/>
      <c r="AG686" s="2"/>
      <c r="AH686" s="2"/>
      <c r="AI686" s="2"/>
    </row>
    <row r="687" spans="1:35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2"/>
      <c r="AE687" s="2"/>
      <c r="AF687" s="2"/>
      <c r="AG687" s="2"/>
      <c r="AH687" s="2"/>
      <c r="AI687" s="2"/>
    </row>
    <row r="688" spans="1:35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2"/>
      <c r="AE688" s="2"/>
      <c r="AF688" s="2"/>
      <c r="AG688" s="2"/>
      <c r="AH688" s="2"/>
      <c r="AI688" s="2"/>
    </row>
    <row r="689" spans="1:35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2"/>
      <c r="AE689" s="2"/>
      <c r="AF689" s="2"/>
      <c r="AG689" s="2"/>
      <c r="AH689" s="2"/>
      <c r="AI689" s="2"/>
    </row>
    <row r="690" spans="1:35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2"/>
      <c r="AE690" s="2"/>
      <c r="AF690" s="2"/>
      <c r="AG690" s="2"/>
      <c r="AH690" s="2"/>
      <c r="AI690" s="2"/>
    </row>
    <row r="691" spans="1:35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2"/>
      <c r="AE691" s="2"/>
      <c r="AF691" s="2"/>
      <c r="AG691" s="2"/>
      <c r="AH691" s="2"/>
      <c r="AI691" s="2"/>
    </row>
    <row r="692" spans="1:35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2"/>
      <c r="AE692" s="2"/>
      <c r="AF692" s="2"/>
      <c r="AG692" s="2"/>
      <c r="AH692" s="2"/>
      <c r="AI692" s="2"/>
    </row>
    <row r="693" spans="1:35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2"/>
      <c r="AE693" s="2"/>
      <c r="AF693" s="2"/>
      <c r="AG693" s="2"/>
      <c r="AH693" s="2"/>
      <c r="AI693" s="2"/>
    </row>
    <row r="694" spans="1:35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2"/>
      <c r="AE694" s="2"/>
      <c r="AF694" s="2"/>
      <c r="AG694" s="2"/>
      <c r="AH694" s="2"/>
      <c r="AI694" s="2"/>
    </row>
    <row r="695" spans="1:3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2"/>
      <c r="AE695" s="2"/>
      <c r="AF695" s="2"/>
      <c r="AG695" s="2"/>
      <c r="AH695" s="2"/>
      <c r="AI695" s="2"/>
    </row>
    <row r="696" spans="1:35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2"/>
      <c r="AE696" s="2"/>
      <c r="AF696" s="2"/>
      <c r="AG696" s="2"/>
      <c r="AH696" s="2"/>
      <c r="AI696" s="2"/>
    </row>
    <row r="697" spans="1:35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2"/>
      <c r="AE697" s="2"/>
      <c r="AF697" s="2"/>
      <c r="AG697" s="2"/>
      <c r="AH697" s="2"/>
      <c r="AI697" s="2"/>
    </row>
    <row r="698" spans="1:35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2"/>
      <c r="AE698" s="2"/>
      <c r="AF698" s="2"/>
      <c r="AG698" s="2"/>
      <c r="AH698" s="2"/>
      <c r="AI698" s="2"/>
    </row>
    <row r="699" spans="1:35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2"/>
      <c r="AE699" s="2"/>
      <c r="AF699" s="2"/>
      <c r="AG699" s="2"/>
      <c r="AH699" s="2"/>
      <c r="AI699" s="2"/>
    </row>
    <row r="700" spans="1:35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2"/>
      <c r="AE700" s="2"/>
      <c r="AF700" s="2"/>
      <c r="AG700" s="2"/>
      <c r="AH700" s="2"/>
      <c r="AI700" s="2"/>
    </row>
    <row r="701" spans="1:35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2"/>
      <c r="AE701" s="2"/>
      <c r="AF701" s="2"/>
      <c r="AG701" s="2"/>
      <c r="AH701" s="2"/>
      <c r="AI701" s="2"/>
    </row>
    <row r="702" spans="1:35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2"/>
      <c r="AE702" s="2"/>
      <c r="AF702" s="2"/>
      <c r="AG702" s="2"/>
      <c r="AH702" s="2"/>
      <c r="AI702" s="2"/>
    </row>
    <row r="703" spans="1:35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2"/>
      <c r="AE703" s="2"/>
      <c r="AF703" s="2"/>
      <c r="AG703" s="2"/>
      <c r="AH703" s="2"/>
      <c r="AI703" s="2"/>
    </row>
    <row r="704" spans="1:35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2"/>
      <c r="AE704" s="2"/>
      <c r="AF704" s="2"/>
      <c r="AG704" s="2"/>
      <c r="AH704" s="2"/>
      <c r="AI704" s="2"/>
    </row>
    <row r="705" spans="1:3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2"/>
      <c r="AE705" s="2"/>
      <c r="AF705" s="2"/>
      <c r="AG705" s="2"/>
      <c r="AH705" s="2"/>
      <c r="AI705" s="2"/>
    </row>
    <row r="706" spans="1:35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2"/>
      <c r="AE706" s="2"/>
      <c r="AF706" s="2"/>
      <c r="AG706" s="2"/>
      <c r="AH706" s="2"/>
      <c r="AI706" s="2"/>
    </row>
    <row r="707" spans="1:35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2"/>
      <c r="AE707" s="2"/>
      <c r="AF707" s="2"/>
      <c r="AG707" s="2"/>
      <c r="AH707" s="2"/>
      <c r="AI707" s="2"/>
    </row>
    <row r="708" spans="1:35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2"/>
      <c r="AE708" s="2"/>
      <c r="AF708" s="2"/>
      <c r="AG708" s="2"/>
      <c r="AH708" s="2"/>
      <c r="AI708" s="2"/>
    </row>
    <row r="709" spans="1:35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2"/>
      <c r="AE709" s="2"/>
      <c r="AF709" s="2"/>
      <c r="AG709" s="2"/>
      <c r="AH709" s="2"/>
      <c r="AI709" s="2"/>
    </row>
    <row r="710" spans="1:35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2"/>
      <c r="AE710" s="2"/>
      <c r="AF710" s="2"/>
      <c r="AG710" s="2"/>
      <c r="AH710" s="2"/>
      <c r="AI710" s="2"/>
    </row>
    <row r="711" spans="1:35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2"/>
      <c r="AE711" s="2"/>
      <c r="AF711" s="2"/>
      <c r="AG711" s="2"/>
      <c r="AH711" s="2"/>
      <c r="AI711" s="2"/>
    </row>
    <row r="712" spans="1:35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2"/>
      <c r="AE712" s="2"/>
      <c r="AF712" s="2"/>
      <c r="AG712" s="2"/>
      <c r="AH712" s="2"/>
      <c r="AI712" s="2"/>
    </row>
    <row r="713" spans="1:35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2"/>
      <c r="AE713" s="2"/>
      <c r="AF713" s="2"/>
      <c r="AG713" s="2"/>
      <c r="AH713" s="2"/>
      <c r="AI713" s="2"/>
    </row>
    <row r="714" spans="1:35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2"/>
      <c r="AE714" s="2"/>
      <c r="AF714" s="2"/>
      <c r="AG714" s="2"/>
      <c r="AH714" s="2"/>
      <c r="AI714" s="2"/>
    </row>
    <row r="715" spans="1:3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2"/>
      <c r="AE715" s="2"/>
      <c r="AF715" s="2"/>
      <c r="AG715" s="2"/>
      <c r="AH715" s="2"/>
      <c r="AI715" s="2"/>
    </row>
    <row r="716" spans="1:35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2"/>
      <c r="AE716" s="2"/>
      <c r="AF716" s="2"/>
      <c r="AG716" s="2"/>
      <c r="AH716" s="2"/>
      <c r="AI716" s="2"/>
    </row>
    <row r="717" spans="1:35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2"/>
      <c r="AE717" s="2"/>
      <c r="AF717" s="2"/>
      <c r="AG717" s="2"/>
      <c r="AH717" s="2"/>
      <c r="AI717" s="2"/>
    </row>
    <row r="718" spans="1:35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2"/>
      <c r="AE718" s="2"/>
      <c r="AF718" s="2"/>
      <c r="AG718" s="2"/>
      <c r="AH718" s="2"/>
      <c r="AI718" s="2"/>
    </row>
    <row r="719" spans="1:35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2"/>
      <c r="AE719" s="2"/>
      <c r="AF719" s="2"/>
      <c r="AG719" s="2"/>
      <c r="AH719" s="2"/>
      <c r="AI719" s="2"/>
    </row>
    <row r="720" spans="1:35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2"/>
      <c r="AE720" s="2"/>
      <c r="AF720" s="2"/>
      <c r="AG720" s="2"/>
      <c r="AH720" s="2"/>
      <c r="AI720" s="2"/>
    </row>
    <row r="721" spans="1:35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2"/>
      <c r="AE721" s="2"/>
      <c r="AF721" s="2"/>
      <c r="AG721" s="2"/>
      <c r="AH721" s="2"/>
      <c r="AI721" s="2"/>
    </row>
    <row r="722" spans="1:35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2"/>
      <c r="AE722" s="2"/>
      <c r="AF722" s="2"/>
      <c r="AG722" s="2"/>
      <c r="AH722" s="2"/>
      <c r="AI722" s="2"/>
    </row>
    <row r="723" spans="1:35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2"/>
      <c r="AE723" s="2"/>
      <c r="AF723" s="2"/>
      <c r="AG723" s="2"/>
      <c r="AH723" s="2"/>
      <c r="AI723" s="2"/>
    </row>
    <row r="724" spans="1:35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2"/>
      <c r="AE724" s="2"/>
      <c r="AF724" s="2"/>
      <c r="AG724" s="2"/>
      <c r="AH724" s="2"/>
      <c r="AI724" s="2"/>
    </row>
    <row r="725" spans="1:3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2"/>
      <c r="AE725" s="2"/>
      <c r="AF725" s="2"/>
      <c r="AG725" s="2"/>
      <c r="AH725" s="2"/>
      <c r="AI725" s="2"/>
    </row>
    <row r="726" spans="1:35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2"/>
      <c r="AE726" s="2"/>
      <c r="AF726" s="2"/>
      <c r="AG726" s="2"/>
      <c r="AH726" s="2"/>
      <c r="AI726" s="2"/>
    </row>
    <row r="727" spans="1:35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2"/>
      <c r="AE727" s="2"/>
      <c r="AF727" s="2"/>
      <c r="AG727" s="2"/>
      <c r="AH727" s="2"/>
      <c r="AI727" s="2"/>
    </row>
    <row r="728" spans="1:35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2"/>
      <c r="AE728" s="2"/>
      <c r="AF728" s="2"/>
      <c r="AG728" s="2"/>
      <c r="AH728" s="2"/>
      <c r="AI728" s="2"/>
    </row>
    <row r="729" spans="1:35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2"/>
      <c r="AE729" s="2"/>
      <c r="AF729" s="2"/>
      <c r="AG729" s="2"/>
      <c r="AH729" s="2"/>
      <c r="AI729" s="2"/>
    </row>
    <row r="730" spans="1:35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2"/>
      <c r="AE730" s="2"/>
      <c r="AF730" s="2"/>
      <c r="AG730" s="2"/>
      <c r="AH730" s="2"/>
      <c r="AI730" s="2"/>
    </row>
    <row r="731" spans="1:35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2"/>
      <c r="AE731" s="2"/>
      <c r="AF731" s="2"/>
      <c r="AG731" s="2"/>
      <c r="AH731" s="2"/>
      <c r="AI731" s="2"/>
    </row>
    <row r="732" spans="1:35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2"/>
      <c r="AE732" s="2"/>
      <c r="AF732" s="2"/>
      <c r="AG732" s="2"/>
      <c r="AH732" s="2"/>
      <c r="AI732" s="2"/>
    </row>
    <row r="733" spans="1:35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2"/>
      <c r="AE733" s="2"/>
      <c r="AF733" s="2"/>
      <c r="AG733" s="2"/>
      <c r="AH733" s="2"/>
      <c r="AI733" s="2"/>
    </row>
    <row r="734" spans="1:35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2"/>
      <c r="AE734" s="2"/>
      <c r="AF734" s="2"/>
      <c r="AG734" s="2"/>
      <c r="AH734" s="2"/>
      <c r="AI734" s="2"/>
    </row>
    <row r="735" spans="1: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2"/>
      <c r="AE735" s="2"/>
      <c r="AF735" s="2"/>
      <c r="AG735" s="2"/>
      <c r="AH735" s="2"/>
      <c r="AI735" s="2"/>
    </row>
    <row r="736" spans="1:35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2"/>
      <c r="AE736" s="2"/>
      <c r="AF736" s="2"/>
      <c r="AG736" s="2"/>
      <c r="AH736" s="2"/>
      <c r="AI736" s="2"/>
    </row>
    <row r="737" spans="1:35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2"/>
      <c r="AE737" s="2"/>
      <c r="AF737" s="2"/>
      <c r="AG737" s="2"/>
      <c r="AH737" s="2"/>
      <c r="AI737" s="2"/>
    </row>
    <row r="738" spans="1:35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2"/>
      <c r="AE738" s="2"/>
      <c r="AF738" s="2"/>
      <c r="AG738" s="2"/>
      <c r="AH738" s="2"/>
      <c r="AI738" s="2"/>
    </row>
    <row r="739" spans="1:35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2"/>
      <c r="AE739" s="2"/>
      <c r="AF739" s="2"/>
      <c r="AG739" s="2"/>
      <c r="AH739" s="2"/>
      <c r="AI739" s="2"/>
    </row>
    <row r="740" spans="1:35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2"/>
      <c r="AE740" s="2"/>
      <c r="AF740" s="2"/>
      <c r="AG740" s="2"/>
      <c r="AH740" s="2"/>
      <c r="AI740" s="2"/>
    </row>
    <row r="741" spans="1:35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2"/>
      <c r="AE741" s="2"/>
      <c r="AF741" s="2"/>
      <c r="AG741" s="2"/>
      <c r="AH741" s="2"/>
      <c r="AI741" s="2"/>
    </row>
    <row r="742" spans="1:35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2"/>
      <c r="AE742" s="2"/>
      <c r="AF742" s="2"/>
      <c r="AG742" s="2"/>
      <c r="AH742" s="2"/>
      <c r="AI742" s="2"/>
    </row>
    <row r="743" spans="1:35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2"/>
      <c r="AE743" s="2"/>
      <c r="AF743" s="2"/>
      <c r="AG743" s="2"/>
      <c r="AH743" s="2"/>
      <c r="AI743" s="2"/>
    </row>
    <row r="744" spans="1:35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2"/>
      <c r="AE744" s="2"/>
      <c r="AF744" s="2"/>
      <c r="AG744" s="2"/>
      <c r="AH744" s="2"/>
      <c r="AI744" s="2"/>
    </row>
    <row r="745" spans="1:3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2"/>
      <c r="AE745" s="2"/>
      <c r="AF745" s="2"/>
      <c r="AG745" s="2"/>
      <c r="AH745" s="2"/>
      <c r="AI745" s="2"/>
    </row>
    <row r="746" spans="1:35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2"/>
      <c r="AE746" s="2"/>
      <c r="AF746" s="2"/>
      <c r="AG746" s="2"/>
      <c r="AH746" s="2"/>
      <c r="AI746" s="2"/>
    </row>
    <row r="747" spans="1:35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2"/>
      <c r="AE747" s="2"/>
      <c r="AF747" s="2"/>
      <c r="AG747" s="2"/>
      <c r="AH747" s="2"/>
      <c r="AI747" s="2"/>
    </row>
    <row r="748" spans="1:35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2"/>
      <c r="AE748" s="2"/>
      <c r="AF748" s="2"/>
      <c r="AG748" s="2"/>
      <c r="AH748" s="2"/>
      <c r="AI748" s="2"/>
    </row>
    <row r="749" spans="1:35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2"/>
      <c r="AE749" s="2"/>
      <c r="AF749" s="2"/>
      <c r="AG749" s="2"/>
      <c r="AH749" s="2"/>
      <c r="AI749" s="2"/>
    </row>
    <row r="750" spans="1:35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2"/>
      <c r="AE750" s="2"/>
      <c r="AF750" s="2"/>
      <c r="AG750" s="2"/>
      <c r="AH750" s="2"/>
      <c r="AI750" s="2"/>
    </row>
    <row r="751" spans="1:35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2"/>
      <c r="AE751" s="2"/>
      <c r="AF751" s="2"/>
      <c r="AG751" s="2"/>
      <c r="AH751" s="2"/>
      <c r="AI751" s="2"/>
    </row>
    <row r="752" spans="1:35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2"/>
      <c r="AE752" s="2"/>
      <c r="AF752" s="2"/>
      <c r="AG752" s="2"/>
      <c r="AH752" s="2"/>
      <c r="AI752" s="2"/>
    </row>
    <row r="753" spans="1:35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2"/>
      <c r="AE753" s="2"/>
      <c r="AF753" s="2"/>
      <c r="AG753" s="2"/>
      <c r="AH753" s="2"/>
      <c r="AI753" s="2"/>
    </row>
    <row r="754" spans="1:35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2"/>
      <c r="AE754" s="2"/>
      <c r="AF754" s="2"/>
      <c r="AG754" s="2"/>
      <c r="AH754" s="2"/>
      <c r="AI754" s="2"/>
    </row>
    <row r="755" spans="1:3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2"/>
      <c r="AE755" s="2"/>
      <c r="AF755" s="2"/>
      <c r="AG755" s="2"/>
      <c r="AH755" s="2"/>
      <c r="AI755" s="2"/>
    </row>
    <row r="756" spans="1:35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2"/>
      <c r="AE756" s="2"/>
      <c r="AF756" s="2"/>
      <c r="AG756" s="2"/>
      <c r="AH756" s="2"/>
      <c r="AI756" s="2"/>
    </row>
    <row r="757" spans="1:35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2"/>
      <c r="AE757" s="2"/>
      <c r="AF757" s="2"/>
      <c r="AG757" s="2"/>
      <c r="AH757" s="2"/>
      <c r="AI757" s="2"/>
    </row>
    <row r="758" spans="1:35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2"/>
      <c r="AE758" s="2"/>
      <c r="AF758" s="2"/>
      <c r="AG758" s="2"/>
      <c r="AH758" s="2"/>
      <c r="AI758" s="2"/>
    </row>
    <row r="759" spans="1:35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2"/>
      <c r="AE759" s="2"/>
      <c r="AF759" s="2"/>
      <c r="AG759" s="2"/>
      <c r="AH759" s="2"/>
      <c r="AI759" s="2"/>
    </row>
    <row r="760" spans="1:35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2"/>
      <c r="AE760" s="2"/>
      <c r="AF760" s="2"/>
      <c r="AG760" s="2"/>
      <c r="AH760" s="2"/>
      <c r="AI760" s="2"/>
    </row>
    <row r="761" spans="1:35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2"/>
      <c r="AE761" s="2"/>
      <c r="AF761" s="2"/>
      <c r="AG761" s="2"/>
      <c r="AH761" s="2"/>
      <c r="AI761" s="2"/>
    </row>
    <row r="762" spans="1:35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2"/>
      <c r="AE762" s="2"/>
      <c r="AF762" s="2"/>
      <c r="AG762" s="2"/>
      <c r="AH762" s="2"/>
      <c r="AI762" s="2"/>
    </row>
    <row r="763" spans="1:35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2"/>
      <c r="AE763" s="2"/>
      <c r="AF763" s="2"/>
      <c r="AG763" s="2"/>
      <c r="AH763" s="2"/>
      <c r="AI763" s="2"/>
    </row>
    <row r="764" spans="1:35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2"/>
      <c r="AE764" s="2"/>
      <c r="AF764" s="2"/>
      <c r="AG764" s="2"/>
      <c r="AH764" s="2"/>
      <c r="AI764" s="2"/>
    </row>
    <row r="765" spans="1:3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2"/>
      <c r="AE765" s="2"/>
      <c r="AF765" s="2"/>
      <c r="AG765" s="2"/>
      <c r="AH765" s="2"/>
      <c r="AI765" s="2"/>
    </row>
    <row r="766" spans="1:35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2"/>
      <c r="AE766" s="2"/>
      <c r="AF766" s="2"/>
      <c r="AG766" s="2"/>
      <c r="AH766" s="2"/>
      <c r="AI766" s="2"/>
    </row>
    <row r="767" spans="1:35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2"/>
      <c r="AE767" s="2"/>
      <c r="AF767" s="2"/>
      <c r="AG767" s="2"/>
      <c r="AH767" s="2"/>
      <c r="AI767" s="2"/>
    </row>
    <row r="768" spans="1:35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2"/>
      <c r="AE768" s="2"/>
      <c r="AF768" s="2"/>
      <c r="AG768" s="2"/>
      <c r="AH768" s="2"/>
      <c r="AI768" s="2"/>
    </row>
    <row r="769" spans="1:35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2"/>
      <c r="AE769" s="2"/>
      <c r="AF769" s="2"/>
      <c r="AG769" s="2"/>
      <c r="AH769" s="2"/>
      <c r="AI769" s="2"/>
    </row>
    <row r="770" spans="1:35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2"/>
      <c r="AE770" s="2"/>
      <c r="AF770" s="2"/>
      <c r="AG770" s="2"/>
      <c r="AH770" s="2"/>
      <c r="AI770" s="2"/>
    </row>
    <row r="771" spans="1:35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2"/>
      <c r="AE771" s="2"/>
      <c r="AF771" s="2"/>
      <c r="AG771" s="2"/>
      <c r="AH771" s="2"/>
      <c r="AI771" s="2"/>
    </row>
    <row r="772" spans="1:35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2"/>
      <c r="AE772" s="2"/>
      <c r="AF772" s="2"/>
      <c r="AG772" s="2"/>
      <c r="AH772" s="2"/>
      <c r="AI772" s="2"/>
    </row>
    <row r="773" spans="1:35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2"/>
      <c r="AE773" s="2"/>
      <c r="AF773" s="2"/>
      <c r="AG773" s="2"/>
      <c r="AH773" s="2"/>
      <c r="AI773" s="2"/>
    </row>
    <row r="774" spans="1:35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2"/>
      <c r="AE774" s="2"/>
      <c r="AF774" s="2"/>
      <c r="AG774" s="2"/>
      <c r="AH774" s="2"/>
      <c r="AI774" s="2"/>
    </row>
    <row r="775" spans="1:3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2"/>
      <c r="AE775" s="2"/>
      <c r="AF775" s="2"/>
      <c r="AG775" s="2"/>
      <c r="AH775" s="2"/>
      <c r="AI775" s="2"/>
    </row>
    <row r="776" spans="1:35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2"/>
      <c r="AE776" s="2"/>
      <c r="AF776" s="2"/>
      <c r="AG776" s="2"/>
      <c r="AH776" s="2"/>
      <c r="AI776" s="2"/>
    </row>
    <row r="777" spans="1:35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2"/>
      <c r="AE777" s="2"/>
      <c r="AF777" s="2"/>
      <c r="AG777" s="2"/>
      <c r="AH777" s="2"/>
      <c r="AI777" s="2"/>
    </row>
    <row r="778" spans="1:35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2"/>
      <c r="AE778" s="2"/>
      <c r="AF778" s="2"/>
      <c r="AG778" s="2"/>
      <c r="AH778" s="2"/>
      <c r="AI778" s="2"/>
    </row>
    <row r="779" spans="1:35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2"/>
      <c r="AE779" s="2"/>
      <c r="AF779" s="2"/>
      <c r="AG779" s="2"/>
      <c r="AH779" s="2"/>
      <c r="AI779" s="2"/>
    </row>
    <row r="780" spans="1:35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2"/>
      <c r="AE780" s="2"/>
      <c r="AF780" s="2"/>
      <c r="AG780" s="2"/>
      <c r="AH780" s="2"/>
      <c r="AI780" s="2"/>
    </row>
    <row r="781" spans="1:35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2"/>
      <c r="AE781" s="2"/>
      <c r="AF781" s="2"/>
      <c r="AG781" s="2"/>
      <c r="AH781" s="2"/>
      <c r="AI781" s="2"/>
    </row>
    <row r="782" spans="1:35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2"/>
      <c r="AE782" s="2"/>
      <c r="AF782" s="2"/>
      <c r="AG782" s="2"/>
      <c r="AH782" s="2"/>
      <c r="AI782" s="2"/>
    </row>
    <row r="783" spans="1:35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2"/>
      <c r="AE783" s="2"/>
      <c r="AF783" s="2"/>
      <c r="AG783" s="2"/>
      <c r="AH783" s="2"/>
      <c r="AI783" s="2"/>
    </row>
    <row r="784" spans="1:35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2"/>
      <c r="AE784" s="2"/>
      <c r="AF784" s="2"/>
      <c r="AG784" s="2"/>
      <c r="AH784" s="2"/>
      <c r="AI784" s="2"/>
    </row>
    <row r="785" spans="1:3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2"/>
      <c r="AE785" s="2"/>
      <c r="AF785" s="2"/>
      <c r="AG785" s="2"/>
      <c r="AH785" s="2"/>
      <c r="AI785" s="2"/>
    </row>
    <row r="786" spans="1:35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2"/>
      <c r="AE786" s="2"/>
      <c r="AF786" s="2"/>
      <c r="AG786" s="2"/>
      <c r="AH786" s="2"/>
      <c r="AI786" s="2"/>
    </row>
    <row r="787" spans="1:35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2"/>
      <c r="AE787" s="2"/>
      <c r="AF787" s="2"/>
      <c r="AG787" s="2"/>
      <c r="AH787" s="2"/>
      <c r="AI787" s="2"/>
    </row>
    <row r="788" spans="1:35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2"/>
      <c r="AE788" s="2"/>
      <c r="AF788" s="2"/>
      <c r="AG788" s="2"/>
      <c r="AH788" s="2"/>
      <c r="AI788" s="2"/>
    </row>
    <row r="789" spans="1:35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2"/>
      <c r="AE789" s="2"/>
      <c r="AF789" s="2"/>
      <c r="AG789" s="2"/>
      <c r="AH789" s="2"/>
      <c r="AI789" s="2"/>
    </row>
    <row r="790" spans="1:35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2"/>
      <c r="AE790" s="2"/>
      <c r="AF790" s="2"/>
      <c r="AG790" s="2"/>
      <c r="AH790" s="2"/>
      <c r="AI790" s="2"/>
    </row>
    <row r="791" spans="1:35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2"/>
      <c r="AE791" s="2"/>
      <c r="AF791" s="2"/>
      <c r="AG791" s="2"/>
      <c r="AH791" s="2"/>
      <c r="AI791" s="2"/>
    </row>
    <row r="792" spans="1:35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2"/>
      <c r="AE792" s="2"/>
      <c r="AF792" s="2"/>
      <c r="AG792" s="2"/>
      <c r="AH792" s="2"/>
      <c r="AI792" s="2"/>
    </row>
    <row r="793" spans="1:35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2"/>
      <c r="AE793" s="2"/>
      <c r="AF793" s="2"/>
      <c r="AG793" s="2"/>
      <c r="AH793" s="2"/>
      <c r="AI793" s="2"/>
    </row>
    <row r="794" spans="1:35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2"/>
      <c r="AE794" s="2"/>
      <c r="AF794" s="2"/>
      <c r="AG794" s="2"/>
      <c r="AH794" s="2"/>
      <c r="AI794" s="2"/>
    </row>
    <row r="795" spans="1:3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2"/>
      <c r="AE795" s="2"/>
      <c r="AF795" s="2"/>
      <c r="AG795" s="2"/>
      <c r="AH795" s="2"/>
      <c r="AI795" s="2"/>
    </row>
    <row r="796" spans="1:35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2"/>
      <c r="AE796" s="2"/>
      <c r="AF796" s="2"/>
      <c r="AG796" s="2"/>
      <c r="AH796" s="2"/>
      <c r="AI796" s="2"/>
    </row>
    <row r="797" spans="1:35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2"/>
      <c r="AE797" s="2"/>
      <c r="AF797" s="2"/>
      <c r="AG797" s="2"/>
      <c r="AH797" s="2"/>
      <c r="AI797" s="2"/>
    </row>
    <row r="798" spans="1:35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2"/>
      <c r="AE798" s="2"/>
      <c r="AF798" s="2"/>
      <c r="AG798" s="2"/>
      <c r="AH798" s="2"/>
      <c r="AI798" s="2"/>
    </row>
    <row r="799" spans="1:35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2"/>
      <c r="AE799" s="2"/>
      <c r="AF799" s="2"/>
      <c r="AG799" s="2"/>
      <c r="AH799" s="2"/>
      <c r="AI799" s="2"/>
    </row>
    <row r="800" spans="1:35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2"/>
      <c r="AE800" s="2"/>
      <c r="AF800" s="2"/>
      <c r="AG800" s="2"/>
      <c r="AH800" s="2"/>
      <c r="AI800" s="2"/>
    </row>
    <row r="801" spans="1:35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2"/>
      <c r="AE801" s="2"/>
      <c r="AF801" s="2"/>
      <c r="AG801" s="2"/>
      <c r="AH801" s="2"/>
      <c r="AI801" s="2"/>
    </row>
    <row r="802" spans="1:35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2"/>
      <c r="AE802" s="2"/>
      <c r="AF802" s="2"/>
      <c r="AG802" s="2"/>
      <c r="AH802" s="2"/>
      <c r="AI802" s="2"/>
    </row>
    <row r="803" spans="1:35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2"/>
      <c r="AE803" s="2"/>
      <c r="AF803" s="2"/>
      <c r="AG803" s="2"/>
      <c r="AH803" s="2"/>
      <c r="AI803" s="2"/>
    </row>
    <row r="804" spans="1:35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2"/>
      <c r="AE804" s="2"/>
      <c r="AF804" s="2"/>
      <c r="AG804" s="2"/>
      <c r="AH804" s="2"/>
      <c r="AI804" s="2"/>
    </row>
    <row r="805" spans="1:3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2"/>
      <c r="AE805" s="2"/>
      <c r="AF805" s="2"/>
      <c r="AG805" s="2"/>
      <c r="AH805" s="2"/>
      <c r="AI805" s="2"/>
    </row>
    <row r="806" spans="1:35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2"/>
      <c r="AE806" s="2"/>
      <c r="AF806" s="2"/>
      <c r="AG806" s="2"/>
      <c r="AH806" s="2"/>
      <c r="AI806" s="2"/>
    </row>
    <row r="807" spans="1:35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2"/>
      <c r="AE807" s="2"/>
      <c r="AF807" s="2"/>
      <c r="AG807" s="2"/>
      <c r="AH807" s="2"/>
      <c r="AI807" s="2"/>
    </row>
    <row r="808" spans="1:35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2"/>
      <c r="AE808" s="2"/>
      <c r="AF808" s="2"/>
      <c r="AG808" s="2"/>
      <c r="AH808" s="2"/>
      <c r="AI808" s="2"/>
    </row>
    <row r="809" spans="1:35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2"/>
      <c r="AE809" s="2"/>
      <c r="AF809" s="2"/>
      <c r="AG809" s="2"/>
      <c r="AH809" s="2"/>
      <c r="AI809" s="2"/>
    </row>
    <row r="810" spans="1:35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2"/>
      <c r="AE810" s="2"/>
      <c r="AF810" s="2"/>
      <c r="AG810" s="2"/>
      <c r="AH810" s="2"/>
      <c r="AI810" s="2"/>
    </row>
    <row r="811" spans="1:35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2"/>
      <c r="AE811" s="2"/>
      <c r="AF811" s="2"/>
      <c r="AG811" s="2"/>
      <c r="AH811" s="2"/>
      <c r="AI811" s="2"/>
    </row>
    <row r="812" spans="1:35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2"/>
      <c r="AE812" s="2"/>
      <c r="AF812" s="2"/>
      <c r="AG812" s="2"/>
      <c r="AH812" s="2"/>
      <c r="AI812" s="2"/>
    </row>
    <row r="813" spans="1:35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2"/>
      <c r="AE813" s="2"/>
      <c r="AF813" s="2"/>
      <c r="AG813" s="2"/>
      <c r="AH813" s="2"/>
      <c r="AI813" s="2"/>
    </row>
    <row r="814" spans="1:35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2"/>
      <c r="AE814" s="2"/>
      <c r="AF814" s="2"/>
      <c r="AG814" s="2"/>
      <c r="AH814" s="2"/>
      <c r="AI814" s="2"/>
    </row>
    <row r="815" spans="1:3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2"/>
      <c r="AE815" s="2"/>
      <c r="AF815" s="2"/>
      <c r="AG815" s="2"/>
      <c r="AH815" s="2"/>
      <c r="AI815" s="2"/>
    </row>
    <row r="816" spans="1:35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2"/>
      <c r="AE816" s="2"/>
      <c r="AF816" s="2"/>
      <c r="AG816" s="2"/>
      <c r="AH816" s="2"/>
      <c r="AI816" s="2"/>
    </row>
    <row r="817" spans="1:35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2"/>
      <c r="AE817" s="2"/>
      <c r="AF817" s="2"/>
      <c r="AG817" s="2"/>
      <c r="AH817" s="2"/>
      <c r="AI817" s="2"/>
    </row>
    <row r="818" spans="1:35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2"/>
      <c r="AE818" s="2"/>
      <c r="AF818" s="2"/>
      <c r="AG818" s="2"/>
      <c r="AH818" s="2"/>
      <c r="AI818" s="2"/>
    </row>
    <row r="819" spans="1:35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2"/>
      <c r="AE819" s="2"/>
      <c r="AF819" s="2"/>
      <c r="AG819" s="2"/>
      <c r="AH819" s="2"/>
      <c r="AI819" s="2"/>
    </row>
    <row r="820" spans="1:35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2"/>
      <c r="AE820" s="2"/>
      <c r="AF820" s="2"/>
      <c r="AG820" s="2"/>
      <c r="AH820" s="2"/>
      <c r="AI820" s="2"/>
    </row>
    <row r="821" spans="1:35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2"/>
      <c r="AE821" s="2"/>
      <c r="AF821" s="2"/>
      <c r="AG821" s="2"/>
      <c r="AH821" s="2"/>
      <c r="AI821" s="2"/>
    </row>
    <row r="822" spans="1:35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2"/>
      <c r="AE822" s="2"/>
      <c r="AF822" s="2"/>
      <c r="AG822" s="2"/>
      <c r="AH822" s="2"/>
      <c r="AI822" s="2"/>
    </row>
    <row r="823" spans="1:35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2"/>
      <c r="AE823" s="2"/>
      <c r="AF823" s="2"/>
      <c r="AG823" s="2"/>
      <c r="AH823" s="2"/>
      <c r="AI823" s="2"/>
    </row>
    <row r="824" spans="1:35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2"/>
      <c r="AE824" s="2"/>
      <c r="AF824" s="2"/>
      <c r="AG824" s="2"/>
      <c r="AH824" s="2"/>
      <c r="AI824" s="2"/>
    </row>
    <row r="825" spans="1:3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2"/>
      <c r="AE825" s="2"/>
      <c r="AF825" s="2"/>
      <c r="AG825" s="2"/>
      <c r="AH825" s="2"/>
      <c r="AI825" s="2"/>
    </row>
    <row r="826" spans="1:35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2"/>
      <c r="AE826" s="2"/>
      <c r="AF826" s="2"/>
      <c r="AG826" s="2"/>
      <c r="AH826" s="2"/>
      <c r="AI826" s="2"/>
    </row>
    <row r="827" spans="1:35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2"/>
      <c r="AE827" s="2"/>
      <c r="AF827" s="2"/>
      <c r="AG827" s="2"/>
      <c r="AH827" s="2"/>
      <c r="AI827" s="2"/>
    </row>
    <row r="828" spans="1:35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2"/>
      <c r="AE828" s="2"/>
      <c r="AF828" s="2"/>
      <c r="AG828" s="2"/>
      <c r="AH828" s="2"/>
      <c r="AI828" s="2"/>
    </row>
    <row r="829" spans="1:35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2"/>
      <c r="AE829" s="2"/>
      <c r="AF829" s="2"/>
      <c r="AG829" s="2"/>
      <c r="AH829" s="2"/>
      <c r="AI829" s="2"/>
    </row>
    <row r="830" spans="1:35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2"/>
      <c r="AE830" s="2"/>
      <c r="AF830" s="2"/>
      <c r="AG830" s="2"/>
      <c r="AH830" s="2"/>
      <c r="AI830" s="2"/>
    </row>
    <row r="831" spans="1:35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2"/>
      <c r="AE831" s="2"/>
      <c r="AF831" s="2"/>
      <c r="AG831" s="2"/>
      <c r="AH831" s="2"/>
      <c r="AI831" s="2"/>
    </row>
    <row r="832" spans="1:35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2"/>
      <c r="AE832" s="2"/>
      <c r="AF832" s="2"/>
      <c r="AG832" s="2"/>
      <c r="AH832" s="2"/>
      <c r="AI832" s="2"/>
    </row>
    <row r="833" spans="1:35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2"/>
      <c r="AE833" s="2"/>
      <c r="AF833" s="2"/>
      <c r="AG833" s="2"/>
      <c r="AH833" s="2"/>
      <c r="AI833" s="2"/>
    </row>
    <row r="834" spans="1:35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2"/>
      <c r="AE834" s="2"/>
      <c r="AF834" s="2"/>
      <c r="AG834" s="2"/>
      <c r="AH834" s="2"/>
      <c r="AI834" s="2"/>
    </row>
    <row r="835" spans="1: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2"/>
      <c r="AE835" s="2"/>
      <c r="AF835" s="2"/>
      <c r="AG835" s="2"/>
      <c r="AH835" s="2"/>
      <c r="AI835" s="2"/>
    </row>
    <row r="836" spans="1:35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2"/>
      <c r="AE836" s="2"/>
      <c r="AF836" s="2"/>
      <c r="AG836" s="2"/>
      <c r="AH836" s="2"/>
      <c r="AI836" s="2"/>
    </row>
    <row r="837" spans="1:35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2"/>
      <c r="AE837" s="2"/>
      <c r="AF837" s="2"/>
      <c r="AG837" s="2"/>
      <c r="AH837" s="2"/>
      <c r="AI837" s="2"/>
    </row>
    <row r="838" spans="1:35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2"/>
      <c r="AE838" s="2"/>
      <c r="AF838" s="2"/>
      <c r="AG838" s="2"/>
      <c r="AH838" s="2"/>
      <c r="AI838" s="2"/>
    </row>
    <row r="839" spans="1:35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2"/>
      <c r="AE839" s="2"/>
      <c r="AF839" s="2"/>
      <c r="AG839" s="2"/>
      <c r="AH839" s="2"/>
      <c r="AI839" s="2"/>
    </row>
    <row r="840" spans="1:35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2"/>
      <c r="AE840" s="2"/>
      <c r="AF840" s="2"/>
      <c r="AG840" s="2"/>
      <c r="AH840" s="2"/>
      <c r="AI840" s="2"/>
    </row>
    <row r="841" spans="1:35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2"/>
      <c r="AE841" s="2"/>
      <c r="AF841" s="2"/>
      <c r="AG841" s="2"/>
      <c r="AH841" s="2"/>
      <c r="AI841" s="2"/>
    </row>
    <row r="842" spans="1:35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2"/>
      <c r="AE842" s="2"/>
      <c r="AF842" s="2"/>
      <c r="AG842" s="2"/>
      <c r="AH842" s="2"/>
      <c r="AI842" s="2"/>
    </row>
    <row r="843" spans="1:35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2"/>
      <c r="AE843" s="2"/>
      <c r="AF843" s="2"/>
      <c r="AG843" s="2"/>
      <c r="AH843" s="2"/>
      <c r="AI843" s="2"/>
    </row>
    <row r="844" spans="1:35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2"/>
      <c r="AE844" s="2"/>
      <c r="AF844" s="2"/>
      <c r="AG844" s="2"/>
      <c r="AH844" s="2"/>
      <c r="AI844" s="2"/>
    </row>
    <row r="845" spans="1:3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2"/>
      <c r="AE845" s="2"/>
      <c r="AF845" s="2"/>
      <c r="AG845" s="2"/>
      <c r="AH845" s="2"/>
      <c r="AI845" s="2"/>
    </row>
    <row r="846" spans="1:35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2"/>
      <c r="AE846" s="2"/>
      <c r="AF846" s="2"/>
      <c r="AG846" s="2"/>
      <c r="AH846" s="2"/>
      <c r="AI846" s="2"/>
    </row>
    <row r="847" spans="1:35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2"/>
      <c r="AE847" s="2"/>
      <c r="AF847" s="2"/>
      <c r="AG847" s="2"/>
      <c r="AH847" s="2"/>
      <c r="AI847" s="2"/>
    </row>
    <row r="848" spans="1:35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2"/>
      <c r="AE848" s="2"/>
      <c r="AF848" s="2"/>
      <c r="AG848" s="2"/>
      <c r="AH848" s="2"/>
      <c r="AI848" s="2"/>
    </row>
    <row r="849" spans="1:35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2"/>
      <c r="AE849" s="2"/>
      <c r="AF849" s="2"/>
      <c r="AG849" s="2"/>
      <c r="AH849" s="2"/>
      <c r="AI849" s="2"/>
    </row>
    <row r="850" spans="1:35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2"/>
      <c r="AE850" s="2"/>
      <c r="AF850" s="2"/>
      <c r="AG850" s="2"/>
      <c r="AH850" s="2"/>
      <c r="AI850" s="2"/>
    </row>
    <row r="851" spans="1:35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2"/>
      <c r="AE851" s="2"/>
      <c r="AF851" s="2"/>
      <c r="AG851" s="2"/>
      <c r="AH851" s="2"/>
      <c r="AI851" s="2"/>
    </row>
    <row r="852" spans="1:35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2"/>
      <c r="AE852" s="2"/>
      <c r="AF852" s="2"/>
      <c r="AG852" s="2"/>
      <c r="AH852" s="2"/>
      <c r="AI852" s="2"/>
    </row>
    <row r="853" spans="1:35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2"/>
      <c r="AE853" s="2"/>
      <c r="AF853" s="2"/>
      <c r="AG853" s="2"/>
      <c r="AH853" s="2"/>
      <c r="AI853" s="2"/>
    </row>
    <row r="854" spans="1:35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2"/>
      <c r="AE854" s="2"/>
      <c r="AF854" s="2"/>
      <c r="AG854" s="2"/>
      <c r="AH854" s="2"/>
      <c r="AI854" s="2"/>
    </row>
    <row r="855" spans="1:3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2"/>
      <c r="AE855" s="2"/>
      <c r="AF855" s="2"/>
      <c r="AG855" s="2"/>
      <c r="AH855" s="2"/>
      <c r="AI855" s="2"/>
    </row>
    <row r="856" spans="1:35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2"/>
      <c r="AE856" s="2"/>
      <c r="AF856" s="2"/>
      <c r="AG856" s="2"/>
      <c r="AH856" s="2"/>
      <c r="AI856" s="2"/>
    </row>
    <row r="857" spans="1:35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2"/>
      <c r="AE857" s="2"/>
      <c r="AF857" s="2"/>
      <c r="AG857" s="2"/>
      <c r="AH857" s="2"/>
      <c r="AI857" s="2"/>
    </row>
    <row r="858" spans="1:35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2"/>
      <c r="AE858" s="2"/>
      <c r="AF858" s="2"/>
      <c r="AG858" s="2"/>
      <c r="AH858" s="2"/>
      <c r="AI858" s="2"/>
    </row>
    <row r="859" spans="1:35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2"/>
      <c r="AE859" s="2"/>
      <c r="AF859" s="2"/>
      <c r="AG859" s="2"/>
      <c r="AH859" s="2"/>
      <c r="AI859" s="2"/>
    </row>
    <row r="860" spans="1:35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2"/>
      <c r="AE860" s="2"/>
      <c r="AF860" s="2"/>
      <c r="AG860" s="2"/>
      <c r="AH860" s="2"/>
      <c r="AI860" s="2"/>
    </row>
    <row r="861" spans="1:35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2"/>
      <c r="AE861" s="2"/>
      <c r="AF861" s="2"/>
      <c r="AG861" s="2"/>
      <c r="AH861" s="2"/>
      <c r="AI861" s="2"/>
    </row>
    <row r="862" spans="1:35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2"/>
      <c r="AE862" s="2"/>
      <c r="AF862" s="2"/>
      <c r="AG862" s="2"/>
      <c r="AH862" s="2"/>
      <c r="AI862" s="2"/>
    </row>
    <row r="863" spans="1:35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2"/>
      <c r="AE863" s="2"/>
      <c r="AF863" s="2"/>
      <c r="AG863" s="2"/>
      <c r="AH863" s="2"/>
      <c r="AI863" s="2"/>
    </row>
    <row r="864" spans="1:35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2"/>
      <c r="AE864" s="2"/>
      <c r="AF864" s="2"/>
      <c r="AG864" s="2"/>
      <c r="AH864" s="2"/>
      <c r="AI864" s="2"/>
    </row>
    <row r="865" spans="1:3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2"/>
      <c r="AE865" s="2"/>
      <c r="AF865" s="2"/>
      <c r="AG865" s="2"/>
      <c r="AH865" s="2"/>
      <c r="AI865" s="2"/>
    </row>
    <row r="866" spans="1:35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2"/>
      <c r="AE866" s="2"/>
      <c r="AF866" s="2"/>
      <c r="AG866" s="2"/>
      <c r="AH866" s="2"/>
      <c r="AI866" s="2"/>
    </row>
    <row r="867" spans="1:35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2"/>
      <c r="AE867" s="2"/>
      <c r="AF867" s="2"/>
      <c r="AG867" s="2"/>
      <c r="AH867" s="2"/>
      <c r="AI867" s="2"/>
    </row>
    <row r="868" spans="1:35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2"/>
      <c r="AE868" s="2"/>
      <c r="AF868" s="2"/>
      <c r="AG868" s="2"/>
      <c r="AH868" s="2"/>
      <c r="AI868" s="2"/>
    </row>
    <row r="869" spans="1:35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2"/>
      <c r="AE869" s="2"/>
      <c r="AF869" s="2"/>
      <c r="AG869" s="2"/>
      <c r="AH869" s="2"/>
      <c r="AI869" s="2"/>
    </row>
    <row r="870" spans="1:35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2"/>
      <c r="AE870" s="2"/>
      <c r="AF870" s="2"/>
      <c r="AG870" s="2"/>
      <c r="AH870" s="2"/>
      <c r="AI870" s="2"/>
    </row>
    <row r="871" spans="1:35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2"/>
      <c r="AE871" s="2"/>
      <c r="AF871" s="2"/>
      <c r="AG871" s="2"/>
      <c r="AH871" s="2"/>
      <c r="AI871" s="2"/>
    </row>
    <row r="872" spans="1:35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2"/>
      <c r="AE872" s="2"/>
      <c r="AF872" s="2"/>
      <c r="AG872" s="2"/>
      <c r="AH872" s="2"/>
      <c r="AI872" s="2"/>
    </row>
    <row r="873" spans="1:35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2"/>
      <c r="AE873" s="2"/>
      <c r="AF873" s="2"/>
      <c r="AG873" s="2"/>
      <c r="AH873" s="2"/>
      <c r="AI873" s="2"/>
    </row>
    <row r="874" spans="1:35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2"/>
      <c r="AE874" s="2"/>
      <c r="AF874" s="2"/>
      <c r="AG874" s="2"/>
      <c r="AH874" s="2"/>
      <c r="AI874" s="2"/>
    </row>
    <row r="875" spans="1:3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2"/>
      <c r="AE875" s="2"/>
      <c r="AF875" s="2"/>
      <c r="AG875" s="2"/>
      <c r="AH875" s="2"/>
      <c r="AI875" s="2"/>
    </row>
    <row r="876" spans="1:35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2"/>
      <c r="AE876" s="2"/>
      <c r="AF876" s="2"/>
      <c r="AG876" s="2"/>
      <c r="AH876" s="2"/>
      <c r="AI876" s="2"/>
    </row>
    <row r="877" spans="1:35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2"/>
      <c r="AE877" s="2"/>
      <c r="AF877" s="2"/>
      <c r="AG877" s="2"/>
      <c r="AH877" s="2"/>
      <c r="AI877" s="2"/>
    </row>
    <row r="878" spans="1:35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2"/>
      <c r="AE878" s="2"/>
      <c r="AF878" s="2"/>
      <c r="AG878" s="2"/>
      <c r="AH878" s="2"/>
      <c r="AI878" s="2"/>
    </row>
    <row r="879" spans="1:35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2"/>
      <c r="AE879" s="2"/>
      <c r="AF879" s="2"/>
      <c r="AG879" s="2"/>
      <c r="AH879" s="2"/>
      <c r="AI879" s="2"/>
    </row>
    <row r="880" spans="1:35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2"/>
      <c r="AE880" s="2"/>
      <c r="AF880" s="2"/>
      <c r="AG880" s="2"/>
      <c r="AH880" s="2"/>
      <c r="AI880" s="2"/>
    </row>
    <row r="881" spans="1:35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2"/>
      <c r="AE881" s="2"/>
      <c r="AF881" s="2"/>
      <c r="AG881" s="2"/>
      <c r="AH881" s="2"/>
      <c r="AI881" s="2"/>
    </row>
    <row r="882" spans="1:35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2"/>
      <c r="AE882" s="2"/>
      <c r="AF882" s="2"/>
      <c r="AG882" s="2"/>
      <c r="AH882" s="2"/>
      <c r="AI882" s="2"/>
    </row>
    <row r="883" spans="1:35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2"/>
      <c r="AE883" s="2"/>
      <c r="AF883" s="2"/>
      <c r="AG883" s="2"/>
      <c r="AH883" s="2"/>
      <c r="AI883" s="2"/>
    </row>
    <row r="884" spans="1:35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2"/>
      <c r="AE884" s="2"/>
      <c r="AF884" s="2"/>
      <c r="AG884" s="2"/>
      <c r="AH884" s="2"/>
      <c r="AI884" s="2"/>
    </row>
    <row r="885" spans="1:3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2"/>
      <c r="AE885" s="2"/>
      <c r="AF885" s="2"/>
      <c r="AG885" s="2"/>
      <c r="AH885" s="2"/>
      <c r="AI885" s="2"/>
    </row>
    <row r="886" spans="1:35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2"/>
      <c r="AE886" s="2"/>
      <c r="AF886" s="2"/>
      <c r="AG886" s="2"/>
      <c r="AH886" s="2"/>
      <c r="AI886" s="2"/>
    </row>
    <row r="887" spans="1:35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2"/>
      <c r="AE887" s="2"/>
      <c r="AF887" s="2"/>
      <c r="AG887" s="2"/>
      <c r="AH887" s="2"/>
      <c r="AI887" s="2"/>
    </row>
    <row r="888" spans="1:35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2"/>
      <c r="AE888" s="2"/>
      <c r="AF888" s="2"/>
      <c r="AG888" s="2"/>
      <c r="AH888" s="2"/>
      <c r="AI888" s="2"/>
    </row>
    <row r="889" spans="1:35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2"/>
      <c r="AE889" s="2"/>
      <c r="AF889" s="2"/>
      <c r="AG889" s="2"/>
      <c r="AH889" s="2"/>
      <c r="AI889" s="2"/>
    </row>
    <row r="890" spans="1:35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2"/>
      <c r="AE890" s="2"/>
      <c r="AF890" s="2"/>
      <c r="AG890" s="2"/>
      <c r="AH890" s="2"/>
      <c r="AI890" s="2"/>
    </row>
    <row r="891" spans="1:35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2"/>
      <c r="AE891" s="2"/>
      <c r="AF891" s="2"/>
      <c r="AG891" s="2"/>
      <c r="AH891" s="2"/>
      <c r="AI891" s="2"/>
    </row>
    <row r="892" spans="1:35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2"/>
      <c r="AE892" s="2"/>
      <c r="AF892" s="2"/>
      <c r="AG892" s="2"/>
      <c r="AH892" s="2"/>
      <c r="AI892" s="2"/>
    </row>
    <row r="893" spans="1:35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2"/>
      <c r="AE893" s="2"/>
      <c r="AF893" s="2"/>
      <c r="AG893" s="2"/>
      <c r="AH893" s="2"/>
      <c r="AI893" s="2"/>
    </row>
    <row r="894" spans="1:35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2"/>
      <c r="AE894" s="2"/>
      <c r="AF894" s="2"/>
      <c r="AG894" s="2"/>
      <c r="AH894" s="2"/>
      <c r="AI894" s="2"/>
    </row>
    <row r="895" spans="1:3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2"/>
      <c r="AE895" s="2"/>
      <c r="AF895" s="2"/>
      <c r="AG895" s="2"/>
      <c r="AH895" s="2"/>
      <c r="AI895" s="2"/>
    </row>
    <row r="896" spans="1:35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2"/>
      <c r="AE896" s="2"/>
      <c r="AF896" s="2"/>
      <c r="AG896" s="2"/>
      <c r="AH896" s="2"/>
      <c r="AI896" s="2"/>
    </row>
    <row r="897" spans="1:35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2"/>
      <c r="AE897" s="2"/>
      <c r="AF897" s="2"/>
      <c r="AG897" s="2"/>
      <c r="AH897" s="2"/>
      <c r="AI897" s="2"/>
    </row>
    <row r="898" spans="1:35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2"/>
      <c r="AE898" s="2"/>
      <c r="AF898" s="2"/>
      <c r="AG898" s="2"/>
      <c r="AH898" s="2"/>
      <c r="AI898" s="2"/>
    </row>
    <row r="899" spans="1:35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2"/>
      <c r="AE899" s="2"/>
      <c r="AF899" s="2"/>
      <c r="AG899" s="2"/>
      <c r="AH899" s="2"/>
      <c r="AI899" s="2"/>
    </row>
    <row r="900" spans="1:35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2"/>
      <c r="AE900" s="2"/>
      <c r="AF900" s="2"/>
      <c r="AG900" s="2"/>
      <c r="AH900" s="2"/>
      <c r="AI900" s="2"/>
    </row>
    <row r="901" spans="1:35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2"/>
      <c r="AE901" s="2"/>
      <c r="AF901" s="2"/>
      <c r="AG901" s="2"/>
      <c r="AH901" s="2"/>
      <c r="AI901" s="2"/>
    </row>
    <row r="902" spans="1:35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2"/>
      <c r="AE902" s="2"/>
      <c r="AF902" s="2"/>
      <c r="AG902" s="2"/>
      <c r="AH902" s="2"/>
      <c r="AI902" s="2"/>
    </row>
    <row r="903" spans="1:35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2"/>
      <c r="AE903" s="2"/>
      <c r="AF903" s="2"/>
      <c r="AG903" s="2"/>
      <c r="AH903" s="2"/>
      <c r="AI903" s="2"/>
    </row>
    <row r="904" spans="1:35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2"/>
      <c r="AE904" s="2"/>
      <c r="AF904" s="2"/>
      <c r="AG904" s="2"/>
      <c r="AH904" s="2"/>
      <c r="AI904" s="2"/>
    </row>
    <row r="905" spans="1:3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2"/>
      <c r="AE905" s="2"/>
      <c r="AF905" s="2"/>
      <c r="AG905" s="2"/>
      <c r="AH905" s="2"/>
      <c r="AI905" s="2"/>
    </row>
    <row r="906" spans="1:35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2"/>
      <c r="AE906" s="2"/>
      <c r="AF906" s="2"/>
      <c r="AG906" s="2"/>
      <c r="AH906" s="2"/>
      <c r="AI906" s="2"/>
    </row>
    <row r="907" spans="1:35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2"/>
      <c r="AE907" s="2"/>
      <c r="AF907" s="2"/>
      <c r="AG907" s="2"/>
      <c r="AH907" s="2"/>
      <c r="AI907" s="2"/>
    </row>
    <row r="908" spans="1:35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2"/>
      <c r="AE908" s="2"/>
      <c r="AF908" s="2"/>
      <c r="AG908" s="2"/>
      <c r="AH908" s="2"/>
      <c r="AI908" s="2"/>
    </row>
    <row r="909" spans="1:35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2"/>
      <c r="AE909" s="2"/>
      <c r="AF909" s="2"/>
      <c r="AG909" s="2"/>
      <c r="AH909" s="2"/>
      <c r="AI909" s="2"/>
    </row>
    <row r="910" spans="1:35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2"/>
      <c r="AE910" s="2"/>
      <c r="AF910" s="2"/>
      <c r="AG910" s="2"/>
      <c r="AH910" s="2"/>
      <c r="AI910" s="2"/>
    </row>
    <row r="911" spans="1:35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2"/>
      <c r="AE911" s="2"/>
      <c r="AF911" s="2"/>
      <c r="AG911" s="2"/>
      <c r="AH911" s="2"/>
      <c r="AI911" s="2"/>
    </row>
    <row r="912" spans="1:35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2"/>
      <c r="AE912" s="2"/>
      <c r="AF912" s="2"/>
      <c r="AG912" s="2"/>
      <c r="AH912" s="2"/>
      <c r="AI912" s="2"/>
    </row>
    <row r="913" spans="1:35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2"/>
      <c r="AE913" s="2"/>
      <c r="AF913" s="2"/>
      <c r="AG913" s="2"/>
      <c r="AH913" s="2"/>
      <c r="AI913" s="2"/>
    </row>
    <row r="914" spans="1:35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2"/>
      <c r="AE914" s="2"/>
      <c r="AF914" s="2"/>
      <c r="AG914" s="2"/>
      <c r="AH914" s="2"/>
      <c r="AI914" s="2"/>
    </row>
    <row r="915" spans="1:3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2"/>
      <c r="AE915" s="2"/>
      <c r="AF915" s="2"/>
      <c r="AG915" s="2"/>
      <c r="AH915" s="2"/>
      <c r="AI915" s="2"/>
    </row>
    <row r="916" spans="1:35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2"/>
      <c r="AE916" s="2"/>
      <c r="AF916" s="2"/>
      <c r="AG916" s="2"/>
      <c r="AH916" s="2"/>
      <c r="AI916" s="2"/>
    </row>
    <row r="917" spans="1:35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2"/>
      <c r="AE917" s="2"/>
      <c r="AF917" s="2"/>
      <c r="AG917" s="2"/>
      <c r="AH917" s="2"/>
      <c r="AI917" s="2"/>
    </row>
    <row r="918" spans="1:35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2"/>
      <c r="AE918" s="2"/>
      <c r="AF918" s="2"/>
      <c r="AG918" s="2"/>
      <c r="AH918" s="2"/>
      <c r="AI918" s="2"/>
    </row>
    <row r="919" spans="1:35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2"/>
      <c r="AE919" s="2"/>
      <c r="AF919" s="2"/>
      <c r="AG919" s="2"/>
      <c r="AH919" s="2"/>
      <c r="AI919" s="2"/>
    </row>
    <row r="920" spans="1:35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2"/>
      <c r="AE920" s="2"/>
      <c r="AF920" s="2"/>
      <c r="AG920" s="2"/>
      <c r="AH920" s="2"/>
      <c r="AI920" s="2"/>
    </row>
    <row r="921" spans="1:35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2"/>
      <c r="AE921" s="2"/>
      <c r="AF921" s="2"/>
      <c r="AG921" s="2"/>
      <c r="AH921" s="2"/>
      <c r="AI921" s="2"/>
    </row>
    <row r="922" spans="1:35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2"/>
      <c r="AE922" s="2"/>
      <c r="AF922" s="2"/>
      <c r="AG922" s="2"/>
      <c r="AH922" s="2"/>
      <c r="AI922" s="2"/>
    </row>
    <row r="923" spans="1:35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2"/>
      <c r="AE923" s="2"/>
      <c r="AF923" s="2"/>
      <c r="AG923" s="2"/>
      <c r="AH923" s="2"/>
      <c r="AI923" s="2"/>
    </row>
    <row r="924" spans="1:35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2"/>
      <c r="AE924" s="2"/>
      <c r="AF924" s="2"/>
      <c r="AG924" s="2"/>
      <c r="AH924" s="2"/>
      <c r="AI924" s="2"/>
    </row>
    <row r="925" spans="1:3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2"/>
      <c r="AE925" s="2"/>
      <c r="AF925" s="2"/>
      <c r="AG925" s="2"/>
      <c r="AH925" s="2"/>
      <c r="AI925" s="2"/>
    </row>
    <row r="926" spans="1:35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2"/>
      <c r="AE926" s="2"/>
      <c r="AF926" s="2"/>
      <c r="AG926" s="2"/>
      <c r="AH926" s="2"/>
      <c r="AI926" s="2"/>
    </row>
    <row r="927" spans="1:35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2"/>
      <c r="AE927" s="2"/>
      <c r="AF927" s="2"/>
      <c r="AG927" s="2"/>
      <c r="AH927" s="2"/>
      <c r="AI927" s="2"/>
    </row>
    <row r="928" spans="1:35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2"/>
      <c r="AE928" s="2"/>
      <c r="AF928" s="2"/>
      <c r="AG928" s="2"/>
      <c r="AH928" s="2"/>
      <c r="AI928" s="2"/>
    </row>
    <row r="929" spans="1:35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2"/>
      <c r="AE929" s="2"/>
      <c r="AF929" s="2"/>
      <c r="AG929" s="2"/>
      <c r="AH929" s="2"/>
      <c r="AI929" s="2"/>
    </row>
    <row r="930" spans="1:35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2"/>
      <c r="AE930" s="2"/>
      <c r="AF930" s="2"/>
      <c r="AG930" s="2"/>
      <c r="AH930" s="2"/>
      <c r="AI930" s="2"/>
    </row>
    <row r="931" spans="1:35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2"/>
      <c r="AE931" s="2"/>
      <c r="AF931" s="2"/>
      <c r="AG931" s="2"/>
      <c r="AH931" s="2"/>
      <c r="AI931" s="2"/>
    </row>
    <row r="932" spans="1:35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2"/>
      <c r="AE932" s="2"/>
      <c r="AF932" s="2"/>
      <c r="AG932" s="2"/>
      <c r="AH932" s="2"/>
      <c r="AI932" s="2"/>
    </row>
    <row r="933" spans="1:35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2"/>
      <c r="AE933" s="2"/>
      <c r="AF933" s="2"/>
      <c r="AG933" s="2"/>
      <c r="AH933" s="2"/>
      <c r="AI933" s="2"/>
    </row>
    <row r="934" spans="1:35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2"/>
      <c r="AE934" s="2"/>
      <c r="AF934" s="2"/>
      <c r="AG934" s="2"/>
      <c r="AH934" s="2"/>
      <c r="AI934" s="2"/>
    </row>
    <row r="935" spans="1: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2"/>
      <c r="AE935" s="2"/>
      <c r="AF935" s="2"/>
      <c r="AG935" s="2"/>
      <c r="AH935" s="2"/>
      <c r="AI935" s="2"/>
    </row>
    <row r="936" spans="1:35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2"/>
      <c r="AE936" s="2"/>
      <c r="AF936" s="2"/>
      <c r="AG936" s="2"/>
      <c r="AH936" s="2"/>
      <c r="AI936" s="2"/>
    </row>
    <row r="937" spans="1:35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2"/>
      <c r="AE937" s="2"/>
      <c r="AF937" s="2"/>
      <c r="AG937" s="2"/>
      <c r="AH937" s="2"/>
      <c r="AI937" s="2"/>
    </row>
    <row r="938" spans="1:35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2"/>
      <c r="AE938" s="2"/>
      <c r="AF938" s="2"/>
      <c r="AG938" s="2"/>
      <c r="AH938" s="2"/>
      <c r="AI938" s="2"/>
    </row>
    <row r="939" spans="1:35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2"/>
      <c r="AE939" s="2"/>
      <c r="AF939" s="2"/>
      <c r="AG939" s="2"/>
      <c r="AH939" s="2"/>
      <c r="AI939" s="2"/>
    </row>
    <row r="940" spans="1:35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2"/>
      <c r="AE940" s="2"/>
      <c r="AF940" s="2"/>
      <c r="AG940" s="2"/>
      <c r="AH940" s="2"/>
      <c r="AI940" s="2"/>
    </row>
    <row r="941" spans="1:35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2"/>
      <c r="AE941" s="2"/>
      <c r="AF941" s="2"/>
      <c r="AG941" s="2"/>
      <c r="AH941" s="2"/>
      <c r="AI941" s="2"/>
    </row>
    <row r="942" spans="1:35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2"/>
      <c r="AE942" s="2"/>
      <c r="AF942" s="2"/>
      <c r="AG942" s="2"/>
      <c r="AH942" s="2"/>
      <c r="AI942" s="2"/>
    </row>
    <row r="943" spans="1:35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2"/>
      <c r="AE943" s="2"/>
      <c r="AF943" s="2"/>
      <c r="AG943" s="2"/>
      <c r="AH943" s="2"/>
      <c r="AI943" s="2"/>
    </row>
    <row r="944" spans="1:35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2"/>
      <c r="AE944" s="2"/>
      <c r="AF944" s="2"/>
      <c r="AG944" s="2"/>
      <c r="AH944" s="2"/>
      <c r="AI944" s="2"/>
    </row>
    <row r="945" spans="1:3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2"/>
      <c r="AE945" s="2"/>
      <c r="AF945" s="2"/>
      <c r="AG945" s="2"/>
      <c r="AH945" s="2"/>
      <c r="AI945" s="2"/>
    </row>
    <row r="946" spans="1:35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2"/>
      <c r="AE946" s="2"/>
      <c r="AF946" s="2"/>
      <c r="AG946" s="2"/>
      <c r="AH946" s="2"/>
      <c r="AI946" s="2"/>
    </row>
    <row r="947" spans="1:35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2"/>
      <c r="AE947" s="2"/>
      <c r="AF947" s="2"/>
      <c r="AG947" s="2"/>
      <c r="AH947" s="2"/>
      <c r="AI947" s="2"/>
    </row>
    <row r="948" spans="1:35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2"/>
      <c r="AE948" s="2"/>
      <c r="AF948" s="2"/>
      <c r="AG948" s="2"/>
      <c r="AH948" s="2"/>
      <c r="AI948" s="2"/>
    </row>
    <row r="949" spans="1:35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2"/>
      <c r="AE949" s="2"/>
      <c r="AF949" s="2"/>
      <c r="AG949" s="2"/>
      <c r="AH949" s="2"/>
      <c r="AI949" s="2"/>
    </row>
    <row r="950" spans="1:35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2"/>
      <c r="AE950" s="2"/>
      <c r="AF950" s="2"/>
      <c r="AG950" s="2"/>
      <c r="AH950" s="2"/>
      <c r="AI950" s="2"/>
    </row>
    <row r="951" spans="1:35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2"/>
      <c r="AE951" s="2"/>
      <c r="AF951" s="2"/>
      <c r="AG951" s="2"/>
      <c r="AH951" s="2"/>
      <c r="AI951" s="2"/>
    </row>
    <row r="952" spans="1:35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2"/>
      <c r="AE952" s="2"/>
      <c r="AF952" s="2"/>
      <c r="AG952" s="2"/>
      <c r="AH952" s="2"/>
      <c r="AI952" s="2"/>
    </row>
    <row r="953" spans="1:35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2"/>
      <c r="AE953" s="2"/>
      <c r="AF953" s="2"/>
      <c r="AG953" s="2"/>
      <c r="AH953" s="2"/>
      <c r="AI953" s="2"/>
    </row>
    <row r="954" spans="1:35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2"/>
      <c r="AE954" s="2"/>
      <c r="AF954" s="2"/>
      <c r="AG954" s="2"/>
      <c r="AH954" s="2"/>
      <c r="AI954" s="2"/>
    </row>
    <row r="955" spans="1:3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2"/>
      <c r="AE955" s="2"/>
      <c r="AF955" s="2"/>
      <c r="AG955" s="2"/>
      <c r="AH955" s="2"/>
      <c r="AI955" s="2"/>
    </row>
    <row r="956" spans="1:35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2"/>
      <c r="AE956" s="2"/>
      <c r="AF956" s="2"/>
      <c r="AG956" s="2"/>
      <c r="AH956" s="2"/>
      <c r="AI956" s="2"/>
    </row>
    <row r="957" spans="1:35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2"/>
      <c r="AE957" s="2"/>
      <c r="AF957" s="2"/>
      <c r="AG957" s="2"/>
      <c r="AH957" s="2"/>
      <c r="AI957" s="2"/>
    </row>
    <row r="958" spans="1:35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2"/>
      <c r="AE958" s="2"/>
      <c r="AF958" s="2"/>
      <c r="AG958" s="2"/>
      <c r="AH958" s="2"/>
      <c r="AI958" s="2"/>
    </row>
    <row r="959" spans="1:35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2"/>
      <c r="AE959" s="2"/>
      <c r="AF959" s="2"/>
      <c r="AG959" s="2"/>
      <c r="AH959" s="2"/>
      <c r="AI959" s="2"/>
    </row>
    <row r="960" spans="1:35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2"/>
      <c r="AE960" s="2"/>
      <c r="AF960" s="2"/>
      <c r="AG960" s="2"/>
      <c r="AH960" s="2"/>
      <c r="AI960" s="2"/>
    </row>
    <row r="961" spans="1:35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2"/>
      <c r="AE961" s="2"/>
      <c r="AF961" s="2"/>
      <c r="AG961" s="2"/>
      <c r="AH961" s="2"/>
      <c r="AI961" s="2"/>
    </row>
    <row r="962" spans="1:35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2"/>
      <c r="AE962" s="2"/>
      <c r="AF962" s="2"/>
      <c r="AG962" s="2"/>
      <c r="AH962" s="2"/>
      <c r="AI962" s="2"/>
    </row>
    <row r="963" spans="1:35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2"/>
      <c r="AE963" s="2"/>
      <c r="AF963" s="2"/>
      <c r="AG963" s="2"/>
      <c r="AH963" s="2"/>
      <c r="AI963" s="2"/>
    </row>
    <row r="964" spans="1:35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2"/>
      <c r="AE964" s="2"/>
      <c r="AF964" s="2"/>
      <c r="AG964" s="2"/>
      <c r="AH964" s="2"/>
      <c r="AI964" s="2"/>
    </row>
    <row r="965" spans="1:3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2"/>
      <c r="AE965" s="2"/>
      <c r="AF965" s="2"/>
      <c r="AG965" s="2"/>
      <c r="AH965" s="2"/>
      <c r="AI965" s="2"/>
    </row>
    <row r="966" spans="1:35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2"/>
      <c r="AE966" s="2"/>
      <c r="AF966" s="2"/>
      <c r="AG966" s="2"/>
      <c r="AH966" s="2"/>
      <c r="AI966" s="2"/>
    </row>
    <row r="967" spans="1:35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2"/>
      <c r="AE967" s="2"/>
      <c r="AF967" s="2"/>
      <c r="AG967" s="2"/>
      <c r="AH967" s="2"/>
      <c r="AI967" s="2"/>
    </row>
    <row r="968" spans="1:35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2"/>
      <c r="AE968" s="2"/>
      <c r="AF968" s="2"/>
      <c r="AG968" s="2"/>
      <c r="AH968" s="2"/>
      <c r="AI968" s="2"/>
    </row>
    <row r="969" spans="1:35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2"/>
      <c r="AE969" s="2"/>
      <c r="AF969" s="2"/>
      <c r="AG969" s="2"/>
      <c r="AH969" s="2"/>
      <c r="AI969" s="2"/>
    </row>
    <row r="970" spans="1:35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2"/>
      <c r="AE970" s="2"/>
      <c r="AF970" s="2"/>
      <c r="AG970" s="2"/>
      <c r="AH970" s="2"/>
      <c r="AI970" s="2"/>
    </row>
    <row r="971" spans="1:35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2"/>
      <c r="AE971" s="2"/>
      <c r="AF971" s="2"/>
      <c r="AG971" s="2"/>
      <c r="AH971" s="2"/>
      <c r="AI971" s="2"/>
    </row>
    <row r="972" spans="1:35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2"/>
      <c r="AE972" s="2"/>
      <c r="AF972" s="2"/>
      <c r="AG972" s="2"/>
      <c r="AH972" s="2"/>
      <c r="AI972" s="2"/>
    </row>
    <row r="973" spans="1:35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2"/>
      <c r="AE973" s="2"/>
      <c r="AF973" s="2"/>
      <c r="AG973" s="2"/>
      <c r="AH973" s="2"/>
      <c r="AI973" s="2"/>
    </row>
    <row r="974" spans="1:35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2"/>
      <c r="AE974" s="2"/>
      <c r="AF974" s="2"/>
      <c r="AG974" s="2"/>
      <c r="AH974" s="2"/>
      <c r="AI974" s="2"/>
    </row>
    <row r="975" spans="1:3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2"/>
      <c r="AE975" s="2"/>
      <c r="AF975" s="2"/>
      <c r="AG975" s="2"/>
      <c r="AH975" s="2"/>
      <c r="AI975" s="2"/>
    </row>
    <row r="976" spans="1:35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2"/>
      <c r="AE976" s="2"/>
      <c r="AF976" s="2"/>
      <c r="AG976" s="2"/>
      <c r="AH976" s="2"/>
      <c r="AI976" s="2"/>
    </row>
    <row r="977" spans="1:35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2"/>
      <c r="AE977" s="2"/>
      <c r="AF977" s="2"/>
      <c r="AG977" s="2"/>
      <c r="AH977" s="2"/>
      <c r="AI977" s="2"/>
    </row>
    <row r="978" spans="1:35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2"/>
      <c r="AE978" s="2"/>
      <c r="AF978" s="2"/>
      <c r="AG978" s="2"/>
      <c r="AH978" s="2"/>
      <c r="AI978" s="2"/>
    </row>
    <row r="979" spans="1:35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2"/>
      <c r="AE979" s="2"/>
      <c r="AF979" s="2"/>
      <c r="AG979" s="2"/>
      <c r="AH979" s="2"/>
      <c r="AI979" s="2"/>
    </row>
    <row r="980" spans="1:35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2"/>
      <c r="AE980" s="2"/>
      <c r="AF980" s="2"/>
      <c r="AG980" s="2"/>
      <c r="AH980" s="2"/>
      <c r="AI980" s="2"/>
    </row>
    <row r="981" spans="1:35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2"/>
      <c r="AE981" s="2"/>
      <c r="AF981" s="2"/>
      <c r="AG981" s="2"/>
      <c r="AH981" s="2"/>
      <c r="AI981" s="2"/>
    </row>
    <row r="982" spans="1:35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2"/>
      <c r="AE982" s="2"/>
      <c r="AF982" s="2"/>
      <c r="AG982" s="2"/>
      <c r="AH982" s="2"/>
      <c r="AI982" s="2"/>
    </row>
    <row r="983" spans="1:35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2"/>
      <c r="AE983" s="2"/>
      <c r="AF983" s="2"/>
      <c r="AG983" s="2"/>
      <c r="AH983" s="2"/>
      <c r="AI983" s="2"/>
    </row>
    <row r="984" spans="1:35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2"/>
      <c r="AE984" s="2"/>
      <c r="AF984" s="2"/>
      <c r="AG984" s="2"/>
      <c r="AH984" s="2"/>
      <c r="AI984" s="2"/>
    </row>
    <row r="985" spans="1:3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2"/>
      <c r="AE985" s="2"/>
      <c r="AF985" s="2"/>
      <c r="AG985" s="2"/>
      <c r="AH985" s="2"/>
      <c r="AI985" s="2"/>
    </row>
    <row r="986" spans="1:35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2"/>
      <c r="AE986" s="2"/>
      <c r="AF986" s="2"/>
      <c r="AG986" s="2"/>
      <c r="AH986" s="2"/>
      <c r="AI986" s="2"/>
    </row>
    <row r="987" spans="1:35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2"/>
      <c r="AE987" s="2"/>
      <c r="AF987" s="2"/>
      <c r="AG987" s="2"/>
      <c r="AH987" s="2"/>
      <c r="AI987" s="2"/>
    </row>
    <row r="988" spans="1:35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2"/>
      <c r="AE988" s="2"/>
      <c r="AF988" s="2"/>
      <c r="AG988" s="2"/>
      <c r="AH988" s="2"/>
      <c r="AI988" s="2"/>
    </row>
    <row r="989" spans="1:35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2"/>
      <c r="AE989" s="2"/>
      <c r="AF989" s="2"/>
      <c r="AG989" s="2"/>
      <c r="AH989" s="2"/>
      <c r="AI989" s="2"/>
    </row>
    <row r="990" spans="1:35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2"/>
      <c r="AE990" s="2"/>
      <c r="AF990" s="2"/>
      <c r="AG990" s="2"/>
      <c r="AH990" s="2"/>
      <c r="AI990" s="2"/>
    </row>
    <row r="991" spans="1:35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2"/>
      <c r="AE991" s="2"/>
      <c r="AF991" s="2"/>
      <c r="AG991" s="2"/>
      <c r="AH991" s="2"/>
      <c r="AI991" s="2"/>
    </row>
    <row r="992" spans="1:35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2"/>
      <c r="AE992" s="2"/>
      <c r="AF992" s="2"/>
      <c r="AG992" s="2"/>
      <c r="AH992" s="2"/>
      <c r="AI992" s="2"/>
    </row>
    <row r="993" spans="1:35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2"/>
      <c r="AE993" s="2"/>
      <c r="AF993" s="2"/>
      <c r="AG993" s="2"/>
      <c r="AH993" s="2"/>
      <c r="AI993" s="2"/>
    </row>
    <row r="994" spans="1:35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2"/>
      <c r="AE994" s="2"/>
      <c r="AF994" s="2"/>
      <c r="AG994" s="2"/>
      <c r="AH994" s="2"/>
      <c r="AI994" s="2"/>
    </row>
    <row r="995" spans="1:3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2"/>
      <c r="AE995" s="2"/>
      <c r="AF995" s="2"/>
      <c r="AG995" s="2"/>
      <c r="AH995" s="2"/>
      <c r="AI995" s="2"/>
    </row>
    <row r="996" spans="1:35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2"/>
      <c r="AE996" s="2"/>
      <c r="AF996" s="2"/>
      <c r="AG996" s="2"/>
      <c r="AH996" s="2"/>
      <c r="AI996" s="2"/>
    </row>
    <row r="997" spans="1:35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2"/>
      <c r="AE997" s="2"/>
      <c r="AF997" s="2"/>
      <c r="AG997" s="2"/>
      <c r="AH997" s="2"/>
      <c r="AI997" s="2"/>
    </row>
    <row r="998" spans="1:35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2"/>
      <c r="AE998" s="2"/>
      <c r="AF998" s="2"/>
      <c r="AG998" s="2"/>
      <c r="AH998" s="2"/>
      <c r="AI998" s="2"/>
    </row>
    <row r="999" spans="1:35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2"/>
      <c r="AE999" s="2"/>
      <c r="AF999" s="2"/>
      <c r="AG999" s="2"/>
      <c r="AH999" s="2"/>
      <c r="AI999" s="2"/>
    </row>
    <row r="1000" spans="1:35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2"/>
      <c r="AE1000" s="2"/>
      <c r="AF1000" s="2"/>
      <c r="AG1000" s="2"/>
      <c r="AH1000" s="2"/>
      <c r="AI1000" s="2"/>
    </row>
  </sheetData>
  <phoneticPr fontId="12" type="noConversion"/>
  <pageMargins left="0.74805557727813721" right="0.74805557727813721" top="0.98430556058883667" bottom="0.98430556058883667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991"/>
  <sheetViews>
    <sheetView workbookViewId="0">
      <pane ySplit="3" topLeftCell="A4" activePane="bottomLeft" state="frozen"/>
      <selection pane="bottomLeft" activeCell="B4" sqref="B4:B115"/>
    </sheetView>
  </sheetViews>
  <sheetFormatPr defaultColWidth="12.5703125" defaultRowHeight="12.75"/>
  <cols>
    <col min="1" max="1" width="8.5703125" customWidth="1"/>
    <col min="2" max="2" width="8.140625" bestFit="1" customWidth="1"/>
    <col min="3" max="3" width="10.5703125" customWidth="1"/>
    <col min="4" max="4" width="17.140625" bestFit="1" customWidth="1"/>
    <col min="5" max="5" width="23" customWidth="1"/>
    <col min="6" max="6" width="8.42578125" customWidth="1"/>
    <col min="7" max="8" width="8" hidden="1" customWidth="1"/>
    <col min="9" max="9" width="8.42578125" hidden="1" customWidth="1"/>
    <col min="10" max="10" width="10.5703125" customWidth="1"/>
    <col min="11" max="11" width="8.5703125" customWidth="1"/>
    <col min="12" max="12" width="8.7109375" bestFit="1" customWidth="1"/>
    <col min="13" max="13" width="8.42578125" bestFit="1" customWidth="1"/>
    <col min="14" max="19" width="8.5703125" customWidth="1"/>
    <col min="20" max="20" width="14" customWidth="1"/>
    <col min="21" max="24" width="8.42578125" customWidth="1"/>
    <col min="25" max="30" width="7.42578125" customWidth="1"/>
    <col min="31" max="31" width="8.42578125" customWidth="1"/>
    <col min="32" max="34" width="8.5703125" customWidth="1"/>
  </cols>
  <sheetData>
    <row r="1" spans="2:31">
      <c r="B1" s="2"/>
      <c r="C1" s="2"/>
      <c r="D1" s="2"/>
      <c r="E1" s="5"/>
      <c r="F1" s="2"/>
      <c r="G1" s="2"/>
      <c r="H1" s="2"/>
      <c r="I1" s="2"/>
      <c r="J1" s="2"/>
    </row>
    <row r="2" spans="2:31">
      <c r="B2" s="2"/>
      <c r="C2" s="2">
        <v>1</v>
      </c>
      <c r="D2" s="2">
        <v>2</v>
      </c>
      <c r="E2" s="5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</row>
    <row r="3" spans="2:31" ht="16.5">
      <c r="B3" s="42" t="s">
        <v>415</v>
      </c>
      <c r="C3" s="6" t="s">
        <v>1</v>
      </c>
      <c r="D3" s="6" t="s">
        <v>0</v>
      </c>
      <c r="E3" s="7" t="s">
        <v>161</v>
      </c>
      <c r="F3" s="6" t="s">
        <v>162</v>
      </c>
      <c r="G3" s="6" t="s">
        <v>163</v>
      </c>
      <c r="H3" s="6" t="s">
        <v>164</v>
      </c>
      <c r="I3" s="6" t="s">
        <v>8</v>
      </c>
      <c r="J3" s="6" t="s">
        <v>165</v>
      </c>
      <c r="L3" s="44" t="s">
        <v>421</v>
      </c>
      <c r="M3" s="44" t="s">
        <v>422</v>
      </c>
      <c r="T3" s="8" t="s">
        <v>166</v>
      </c>
    </row>
    <row r="4" spans="2:31" ht="16.5">
      <c r="B4" s="2">
        <v>1</v>
      </c>
      <c r="C4" s="35" t="s">
        <v>354</v>
      </c>
      <c r="D4" s="9" t="s">
        <v>197</v>
      </c>
      <c r="E4" s="39" t="s">
        <v>198</v>
      </c>
      <c r="F4" s="39">
        <v>1</v>
      </c>
      <c r="G4" s="9">
        <v>1</v>
      </c>
      <c r="H4" s="9"/>
      <c r="I4" s="9">
        <v>1</v>
      </c>
      <c r="J4" s="43">
        <f t="shared" ref="J4:J35" si="0">VLOOKUP(F4,$L$3:$M$8,2,0)</f>
        <v>18000</v>
      </c>
      <c r="L4" s="37">
        <v>1</v>
      </c>
      <c r="M4" s="38">
        <v>18000</v>
      </c>
    </row>
    <row r="5" spans="2:31" ht="16.5">
      <c r="B5" s="2">
        <v>2</v>
      </c>
      <c r="C5" s="35" t="s">
        <v>330</v>
      </c>
      <c r="D5" s="9" t="s">
        <v>197</v>
      </c>
      <c r="E5" s="39" t="s">
        <v>200</v>
      </c>
      <c r="F5" s="39">
        <v>1</v>
      </c>
      <c r="G5" s="9">
        <v>1</v>
      </c>
      <c r="H5" s="9"/>
      <c r="I5" s="9">
        <v>1</v>
      </c>
      <c r="J5" s="43">
        <f t="shared" si="0"/>
        <v>18000</v>
      </c>
      <c r="L5" s="37">
        <v>1.5</v>
      </c>
      <c r="M5" s="38">
        <v>20000</v>
      </c>
      <c r="T5" s="11" t="s">
        <v>162</v>
      </c>
      <c r="U5" s="12">
        <v>11000</v>
      </c>
      <c r="V5" s="12">
        <v>14000</v>
      </c>
      <c r="W5" s="12">
        <v>17000</v>
      </c>
      <c r="X5" s="12">
        <v>20000</v>
      </c>
    </row>
    <row r="6" spans="2:31" ht="16.5">
      <c r="B6" s="2">
        <v>3</v>
      </c>
      <c r="C6" s="35" t="s">
        <v>336</v>
      </c>
      <c r="D6" s="9" t="s">
        <v>197</v>
      </c>
      <c r="E6" s="39" t="s">
        <v>201</v>
      </c>
      <c r="F6" s="39">
        <v>1</v>
      </c>
      <c r="G6" s="9">
        <v>1</v>
      </c>
      <c r="H6" s="9"/>
      <c r="I6" s="9">
        <v>1</v>
      </c>
      <c r="J6" s="43">
        <f t="shared" si="0"/>
        <v>18000</v>
      </c>
      <c r="L6" s="37" t="s">
        <v>423</v>
      </c>
      <c r="M6" s="38">
        <v>20000</v>
      </c>
      <c r="T6" s="8" t="s">
        <v>168</v>
      </c>
      <c r="U6" s="12">
        <v>2000</v>
      </c>
      <c r="V6" s="12"/>
      <c r="W6" s="12"/>
      <c r="X6" s="12"/>
    </row>
    <row r="7" spans="2:31" ht="16.5">
      <c r="B7" s="2">
        <v>4</v>
      </c>
      <c r="C7" s="35" t="s">
        <v>341</v>
      </c>
      <c r="D7" s="9" t="s">
        <v>197</v>
      </c>
      <c r="E7" s="39" t="s">
        <v>202</v>
      </c>
      <c r="F7" s="39">
        <v>2</v>
      </c>
      <c r="G7" s="9"/>
      <c r="H7" s="9">
        <v>3</v>
      </c>
      <c r="I7" s="9">
        <v>1</v>
      </c>
      <c r="J7" s="43">
        <f t="shared" si="0"/>
        <v>23000</v>
      </c>
      <c r="L7" s="37">
        <v>2</v>
      </c>
      <c r="M7" s="38">
        <v>23000</v>
      </c>
      <c r="T7" s="8" t="s">
        <v>169</v>
      </c>
      <c r="U7" s="12">
        <v>2000</v>
      </c>
      <c r="V7" s="12"/>
      <c r="W7" s="12"/>
      <c r="X7" s="12"/>
    </row>
    <row r="8" spans="2:31" ht="16.5">
      <c r="B8" s="2">
        <v>5</v>
      </c>
      <c r="C8" s="35" t="s">
        <v>337</v>
      </c>
      <c r="D8" s="9" t="s">
        <v>197</v>
      </c>
      <c r="E8" s="39" t="s">
        <v>203</v>
      </c>
      <c r="F8" s="39">
        <v>1</v>
      </c>
      <c r="G8" s="9">
        <v>1</v>
      </c>
      <c r="H8" s="9"/>
      <c r="I8" s="9">
        <v>1</v>
      </c>
      <c r="J8" s="43">
        <f t="shared" si="0"/>
        <v>18000</v>
      </c>
      <c r="L8" s="37">
        <v>3</v>
      </c>
      <c r="M8" s="38">
        <v>30000</v>
      </c>
    </row>
    <row r="9" spans="2:31" ht="16.5">
      <c r="B9" s="2">
        <v>6</v>
      </c>
      <c r="C9" s="35" t="s">
        <v>371</v>
      </c>
      <c r="D9" s="9" t="s">
        <v>197</v>
      </c>
      <c r="E9" s="39" t="s">
        <v>204</v>
      </c>
      <c r="F9" s="39">
        <v>1</v>
      </c>
      <c r="G9" s="9">
        <v>1</v>
      </c>
      <c r="H9" s="9"/>
      <c r="I9" s="9">
        <v>1</v>
      </c>
      <c r="J9" s="43">
        <f t="shared" si="0"/>
        <v>18000</v>
      </c>
      <c r="L9" s="54" t="s">
        <v>445</v>
      </c>
      <c r="M9" s="38">
        <v>50000</v>
      </c>
      <c r="U9" s="8" t="s">
        <v>162</v>
      </c>
      <c r="Y9" s="8" t="s">
        <v>168</v>
      </c>
      <c r="AC9" s="8" t="s">
        <v>169</v>
      </c>
      <c r="AE9" s="8" t="s">
        <v>165</v>
      </c>
    </row>
    <row r="10" spans="2:31" ht="16.5">
      <c r="B10" s="2">
        <v>7</v>
      </c>
      <c r="C10" s="35" t="s">
        <v>372</v>
      </c>
      <c r="D10" s="9" t="s">
        <v>197</v>
      </c>
      <c r="E10" s="39" t="s">
        <v>205</v>
      </c>
      <c r="F10" s="39">
        <v>1</v>
      </c>
      <c r="G10" s="9">
        <v>1</v>
      </c>
      <c r="H10" s="9"/>
      <c r="I10" s="9">
        <v>1</v>
      </c>
      <c r="J10" s="43">
        <f t="shared" si="0"/>
        <v>18000</v>
      </c>
      <c r="L10" s="54" t="s">
        <v>446</v>
      </c>
      <c r="M10" s="38">
        <v>30000</v>
      </c>
      <c r="U10" s="13">
        <v>1</v>
      </c>
      <c r="V10" s="13">
        <v>1.5</v>
      </c>
      <c r="W10" s="13">
        <v>2</v>
      </c>
      <c r="X10" s="13">
        <v>3</v>
      </c>
      <c r="Y10" s="13">
        <v>1</v>
      </c>
      <c r="Z10" s="13">
        <v>2</v>
      </c>
      <c r="AA10" s="13">
        <v>3</v>
      </c>
      <c r="AB10" s="13">
        <v>4</v>
      </c>
      <c r="AC10" s="13">
        <v>1</v>
      </c>
      <c r="AD10" s="13">
        <v>2</v>
      </c>
    </row>
    <row r="11" spans="2:31" ht="16.5">
      <c r="B11" s="2">
        <v>8</v>
      </c>
      <c r="C11" s="35" t="s">
        <v>326</v>
      </c>
      <c r="D11" s="9" t="s">
        <v>197</v>
      </c>
      <c r="E11" s="39" t="s">
        <v>206</v>
      </c>
      <c r="F11" s="39">
        <v>1</v>
      </c>
      <c r="G11" s="9">
        <v>1</v>
      </c>
      <c r="H11" s="9"/>
      <c r="I11" s="9">
        <v>1</v>
      </c>
      <c r="J11" s="43">
        <f t="shared" si="0"/>
        <v>18000</v>
      </c>
      <c r="U11" s="12">
        <f>U5</f>
        <v>11000</v>
      </c>
      <c r="V11" s="12">
        <f>V5</f>
        <v>14000</v>
      </c>
      <c r="W11" s="12">
        <f>W5</f>
        <v>17000</v>
      </c>
      <c r="X11" s="12">
        <f>X5</f>
        <v>20000</v>
      </c>
      <c r="Y11" s="12">
        <f>$U$6*Y10</f>
        <v>2000</v>
      </c>
      <c r="Z11" s="12">
        <f>$U$6*Z10</f>
        <v>4000</v>
      </c>
      <c r="AA11" s="12">
        <f>$U$6*AA10</f>
        <v>6000</v>
      </c>
      <c r="AB11" s="12">
        <f>$U$6*AB10</f>
        <v>8000</v>
      </c>
      <c r="AC11" s="12">
        <f>$U$7*AC10</f>
        <v>2000</v>
      </c>
      <c r="AD11" s="12">
        <f>$U$7*AD10</f>
        <v>4000</v>
      </c>
      <c r="AE11" s="12"/>
    </row>
    <row r="12" spans="2:31" ht="16.5">
      <c r="B12" s="2">
        <v>9</v>
      </c>
      <c r="C12" s="35" t="s">
        <v>342</v>
      </c>
      <c r="D12" s="9" t="s">
        <v>197</v>
      </c>
      <c r="E12" s="39" t="s">
        <v>207</v>
      </c>
      <c r="F12" s="39">
        <v>1</v>
      </c>
      <c r="G12" s="9">
        <v>1</v>
      </c>
      <c r="H12" s="9"/>
      <c r="I12" s="9">
        <v>1</v>
      </c>
      <c r="J12" s="43">
        <f t="shared" si="0"/>
        <v>18000</v>
      </c>
      <c r="T12" s="8" t="s">
        <v>170</v>
      </c>
      <c r="U12" s="12">
        <f>$U$11</f>
        <v>11000</v>
      </c>
      <c r="V12" s="12"/>
      <c r="W12" s="12"/>
      <c r="X12" s="12"/>
      <c r="Y12" s="12">
        <f>$Y$11</f>
        <v>2000</v>
      </c>
      <c r="Z12" s="12"/>
      <c r="AA12" s="12"/>
      <c r="AB12" s="12"/>
      <c r="AC12" s="12">
        <f t="shared" ref="AC12:AC21" si="1">$AC$11</f>
        <v>2000</v>
      </c>
      <c r="AD12" s="12"/>
      <c r="AE12" s="12">
        <f t="shared" ref="AE12:AE26" si="2">SUM(U12:AD12)</f>
        <v>15000</v>
      </c>
    </row>
    <row r="13" spans="2:31" ht="16.5">
      <c r="B13" s="2">
        <v>10</v>
      </c>
      <c r="C13" s="35" t="s">
        <v>616</v>
      </c>
      <c r="D13" s="9" t="s">
        <v>208</v>
      </c>
      <c r="E13" s="39" t="s">
        <v>619</v>
      </c>
      <c r="F13" s="39">
        <v>1</v>
      </c>
      <c r="J13">
        <f t="shared" si="0"/>
        <v>18000</v>
      </c>
      <c r="T13" s="14" t="s">
        <v>171</v>
      </c>
      <c r="U13" s="12">
        <f>$U$11</f>
        <v>11000</v>
      </c>
      <c r="V13" s="12"/>
      <c r="W13" s="12"/>
      <c r="X13" s="12"/>
      <c r="Y13" s="12"/>
      <c r="Z13" s="12">
        <f>$Z$11</f>
        <v>4000</v>
      </c>
      <c r="AA13" s="12"/>
      <c r="AB13" s="12"/>
      <c r="AC13" s="12">
        <f t="shared" si="1"/>
        <v>2000</v>
      </c>
      <c r="AD13" s="12"/>
      <c r="AE13" s="12">
        <f t="shared" si="2"/>
        <v>17000</v>
      </c>
    </row>
    <row r="14" spans="2:31" ht="16.5">
      <c r="B14" s="2">
        <v>11</v>
      </c>
      <c r="C14" s="35" t="s">
        <v>617</v>
      </c>
      <c r="D14" s="9" t="s">
        <v>208</v>
      </c>
      <c r="E14" s="39" t="s">
        <v>620</v>
      </c>
      <c r="F14" s="39">
        <v>1</v>
      </c>
      <c r="J14">
        <f t="shared" si="0"/>
        <v>18000</v>
      </c>
      <c r="T14" s="14" t="s">
        <v>174</v>
      </c>
      <c r="U14" s="12">
        <f>$U$11</f>
        <v>11000</v>
      </c>
      <c r="V14" s="12"/>
      <c r="W14" s="12"/>
      <c r="X14" s="12"/>
      <c r="Y14" s="12"/>
      <c r="Z14" s="12"/>
      <c r="AA14" s="12">
        <f>$AA$11</f>
        <v>6000</v>
      </c>
      <c r="AB14" s="12"/>
      <c r="AC14" s="12">
        <f t="shared" si="1"/>
        <v>2000</v>
      </c>
      <c r="AD14" s="12"/>
      <c r="AE14" s="12">
        <f t="shared" si="2"/>
        <v>19000</v>
      </c>
    </row>
    <row r="15" spans="2:31" ht="16.5">
      <c r="B15" s="2">
        <v>12</v>
      </c>
      <c r="C15" s="35" t="s">
        <v>618</v>
      </c>
      <c r="D15" s="9" t="s">
        <v>208</v>
      </c>
      <c r="E15" s="39" t="s">
        <v>621</v>
      </c>
      <c r="F15" s="39">
        <v>1</v>
      </c>
      <c r="J15">
        <f t="shared" si="0"/>
        <v>18000</v>
      </c>
      <c r="T15" s="16" t="s">
        <v>176</v>
      </c>
      <c r="U15" s="17"/>
      <c r="V15" s="17">
        <f>$V$11</f>
        <v>14000</v>
      </c>
      <c r="W15" s="17"/>
      <c r="X15" s="17"/>
      <c r="Y15" s="17">
        <f>$Y$11</f>
        <v>2000</v>
      </c>
      <c r="Z15" s="17"/>
      <c r="AA15" s="17"/>
      <c r="AB15" s="17"/>
      <c r="AC15" s="17">
        <f t="shared" si="1"/>
        <v>2000</v>
      </c>
      <c r="AD15" s="17"/>
      <c r="AE15" s="17">
        <f t="shared" si="2"/>
        <v>18000</v>
      </c>
    </row>
    <row r="16" spans="2:31" ht="16.5">
      <c r="B16" s="2">
        <v>13</v>
      </c>
      <c r="C16" s="35" t="s">
        <v>496</v>
      </c>
      <c r="D16" s="9" t="s">
        <v>208</v>
      </c>
      <c r="E16" s="39" t="s">
        <v>535</v>
      </c>
      <c r="F16" s="40">
        <v>1</v>
      </c>
      <c r="G16" s="9"/>
      <c r="I16" s="2"/>
      <c r="J16" s="43">
        <f t="shared" si="0"/>
        <v>18000</v>
      </c>
      <c r="T16" s="16" t="s">
        <v>178</v>
      </c>
      <c r="U16" s="17"/>
      <c r="V16" s="17">
        <f>$V$11</f>
        <v>14000</v>
      </c>
      <c r="W16" s="17"/>
      <c r="X16" s="17"/>
      <c r="Y16" s="17"/>
      <c r="Z16" s="17">
        <f>$Z$11</f>
        <v>4000</v>
      </c>
      <c r="AA16" s="17"/>
      <c r="AB16" s="17"/>
      <c r="AC16" s="17">
        <f t="shared" si="1"/>
        <v>2000</v>
      </c>
      <c r="AD16" s="17"/>
      <c r="AE16" s="17">
        <f t="shared" si="2"/>
        <v>20000</v>
      </c>
    </row>
    <row r="17" spans="2:31" ht="16.5">
      <c r="B17" s="2">
        <v>14</v>
      </c>
      <c r="C17" s="35" t="s">
        <v>497</v>
      </c>
      <c r="D17" s="9" t="s">
        <v>208</v>
      </c>
      <c r="E17" s="39" t="s">
        <v>536</v>
      </c>
      <c r="F17" s="40">
        <v>1</v>
      </c>
      <c r="J17" s="43">
        <f t="shared" si="0"/>
        <v>18000</v>
      </c>
      <c r="T17" s="16" t="s">
        <v>180</v>
      </c>
      <c r="U17" s="17"/>
      <c r="V17" s="17">
        <f>$V$11</f>
        <v>14000</v>
      </c>
      <c r="W17" s="17"/>
      <c r="X17" s="17"/>
      <c r="Y17" s="17"/>
      <c r="Z17" s="17"/>
      <c r="AA17" s="17">
        <f>$AA$11</f>
        <v>6000</v>
      </c>
      <c r="AB17" s="17"/>
      <c r="AC17" s="17">
        <f t="shared" si="1"/>
        <v>2000</v>
      </c>
      <c r="AD17" s="17"/>
      <c r="AE17" s="17">
        <f t="shared" si="2"/>
        <v>22000</v>
      </c>
    </row>
    <row r="18" spans="2:31" ht="16.5">
      <c r="B18" s="2">
        <v>15</v>
      </c>
      <c r="C18" s="35" t="s">
        <v>498</v>
      </c>
      <c r="D18" s="9" t="s">
        <v>208</v>
      </c>
      <c r="E18" s="39" t="s">
        <v>537</v>
      </c>
      <c r="F18" s="40">
        <v>1.5</v>
      </c>
      <c r="J18" s="43">
        <f t="shared" si="0"/>
        <v>20000</v>
      </c>
      <c r="T18" s="8" t="s">
        <v>182</v>
      </c>
      <c r="U18" s="12"/>
      <c r="V18" s="12">
        <f>$V$11</f>
        <v>14000</v>
      </c>
      <c r="W18" s="12"/>
      <c r="X18" s="12"/>
      <c r="Y18" s="12">
        <f>$Y$11</f>
        <v>2000</v>
      </c>
      <c r="Z18" s="12"/>
      <c r="AA18" s="12"/>
      <c r="AB18" s="12"/>
      <c r="AC18" s="12">
        <f t="shared" si="1"/>
        <v>2000</v>
      </c>
      <c r="AD18" s="12"/>
      <c r="AE18" s="12">
        <f t="shared" si="2"/>
        <v>18000</v>
      </c>
    </row>
    <row r="19" spans="2:31" ht="16.5">
      <c r="B19" s="2">
        <v>16</v>
      </c>
      <c r="C19" s="35" t="s">
        <v>948</v>
      </c>
      <c r="D19" s="9" t="s">
        <v>208</v>
      </c>
      <c r="E19" s="39" t="s">
        <v>954</v>
      </c>
      <c r="F19" s="40">
        <v>1</v>
      </c>
      <c r="J19">
        <f t="shared" si="0"/>
        <v>18000</v>
      </c>
      <c r="T19" s="8" t="s">
        <v>185</v>
      </c>
      <c r="U19" s="12"/>
      <c r="V19" s="12">
        <f>$V$11</f>
        <v>14000</v>
      </c>
      <c r="W19" s="12"/>
      <c r="X19" s="12"/>
      <c r="Y19" s="12"/>
      <c r="Z19" s="12">
        <f>$Z$11</f>
        <v>4000</v>
      </c>
      <c r="AA19" s="12"/>
      <c r="AB19" s="12"/>
      <c r="AC19" s="12">
        <f t="shared" si="1"/>
        <v>2000</v>
      </c>
      <c r="AD19" s="12"/>
      <c r="AE19" s="12">
        <f t="shared" si="2"/>
        <v>20000</v>
      </c>
    </row>
    <row r="20" spans="2:31" ht="16.5">
      <c r="B20" s="2">
        <v>17</v>
      </c>
      <c r="C20" s="35" t="s">
        <v>949</v>
      </c>
      <c r="D20" s="9" t="s">
        <v>208</v>
      </c>
      <c r="E20" s="39" t="s">
        <v>951</v>
      </c>
      <c r="F20" s="40">
        <v>1</v>
      </c>
      <c r="J20">
        <f t="shared" si="0"/>
        <v>18000</v>
      </c>
      <c r="T20" s="16" t="s">
        <v>187</v>
      </c>
      <c r="U20" s="17"/>
      <c r="V20" s="17"/>
      <c r="W20" s="17">
        <f>$W$11</f>
        <v>17000</v>
      </c>
      <c r="X20" s="17"/>
      <c r="Y20" s="17"/>
      <c r="Z20" s="17">
        <f>$Z$11</f>
        <v>4000</v>
      </c>
      <c r="AA20" s="17"/>
      <c r="AB20" s="17"/>
      <c r="AC20" s="17">
        <f t="shared" si="1"/>
        <v>2000</v>
      </c>
      <c r="AD20" s="17"/>
      <c r="AE20" s="17">
        <f t="shared" si="2"/>
        <v>23000</v>
      </c>
    </row>
    <row r="21" spans="2:31" ht="16.5">
      <c r="B21" s="2">
        <v>18</v>
      </c>
      <c r="C21" s="35" t="s">
        <v>373</v>
      </c>
      <c r="D21" s="9" t="s">
        <v>208</v>
      </c>
      <c r="E21" s="39" t="s">
        <v>953</v>
      </c>
      <c r="F21" s="39">
        <v>1</v>
      </c>
      <c r="G21" s="9">
        <v>1</v>
      </c>
      <c r="H21" s="9"/>
      <c r="I21" s="9">
        <v>1</v>
      </c>
      <c r="J21" s="43">
        <f t="shared" si="0"/>
        <v>18000</v>
      </c>
      <c r="T21" s="16" t="s">
        <v>188</v>
      </c>
      <c r="U21" s="17"/>
      <c r="V21" s="17"/>
      <c r="W21" s="17">
        <f>$W$11</f>
        <v>17000</v>
      </c>
      <c r="X21" s="17"/>
      <c r="Y21" s="17"/>
      <c r="Z21" s="17"/>
      <c r="AA21" s="17">
        <f>$AA$11</f>
        <v>6000</v>
      </c>
      <c r="AB21" s="17"/>
      <c r="AC21" s="17">
        <f t="shared" si="1"/>
        <v>2000</v>
      </c>
      <c r="AD21" s="17"/>
      <c r="AE21" s="17">
        <f t="shared" si="2"/>
        <v>25000</v>
      </c>
    </row>
    <row r="22" spans="2:31" ht="16.5">
      <c r="B22" s="2">
        <v>19</v>
      </c>
      <c r="C22" s="35" t="s">
        <v>950</v>
      </c>
      <c r="D22" s="9" t="s">
        <v>208</v>
      </c>
      <c r="E22" s="39" t="s">
        <v>952</v>
      </c>
      <c r="F22" s="40">
        <v>1</v>
      </c>
      <c r="J22" s="43">
        <f t="shared" si="0"/>
        <v>18000</v>
      </c>
      <c r="T22" s="16" t="s">
        <v>190</v>
      </c>
      <c r="U22" s="17"/>
      <c r="V22" s="17"/>
      <c r="W22" s="17">
        <f>$W$11</f>
        <v>17000</v>
      </c>
      <c r="X22" s="17"/>
      <c r="Y22" s="17"/>
      <c r="Z22" s="17">
        <f>$Z$11</f>
        <v>4000</v>
      </c>
      <c r="AA22" s="17"/>
      <c r="AB22" s="17"/>
      <c r="AC22" s="17"/>
      <c r="AD22" s="17">
        <f>$AD$11</f>
        <v>4000</v>
      </c>
      <c r="AE22" s="17">
        <f t="shared" si="2"/>
        <v>25000</v>
      </c>
    </row>
    <row r="23" spans="2:31" ht="16.5">
      <c r="B23" s="2">
        <v>20</v>
      </c>
      <c r="C23" s="35" t="s">
        <v>374</v>
      </c>
      <c r="D23" s="9" t="s">
        <v>208</v>
      </c>
      <c r="E23" s="39" t="s">
        <v>316</v>
      </c>
      <c r="F23" s="39">
        <v>1</v>
      </c>
      <c r="G23" s="9">
        <v>1</v>
      </c>
      <c r="H23" s="9"/>
      <c r="I23" s="9">
        <v>1</v>
      </c>
      <c r="J23" s="43">
        <f t="shared" si="0"/>
        <v>18000</v>
      </c>
      <c r="T23" s="16" t="s">
        <v>192</v>
      </c>
      <c r="U23" s="17"/>
      <c r="V23" s="17"/>
      <c r="W23" s="17">
        <f>$W$11</f>
        <v>17000</v>
      </c>
      <c r="X23" s="17"/>
      <c r="Y23" s="17"/>
      <c r="Z23" s="17"/>
      <c r="AA23" s="17">
        <f>$AA$11</f>
        <v>6000</v>
      </c>
      <c r="AB23" s="17"/>
      <c r="AC23" s="17"/>
      <c r="AD23" s="17">
        <f>$AD$11</f>
        <v>4000</v>
      </c>
      <c r="AE23" s="17">
        <f t="shared" si="2"/>
        <v>27000</v>
      </c>
    </row>
    <row r="24" spans="2:31" ht="16.5">
      <c r="B24" s="2">
        <v>21</v>
      </c>
      <c r="C24" s="35" t="s">
        <v>364</v>
      </c>
      <c r="D24" s="9" t="s">
        <v>208</v>
      </c>
      <c r="E24" s="39" t="s">
        <v>321</v>
      </c>
      <c r="F24" s="39">
        <v>1</v>
      </c>
      <c r="G24" s="9">
        <v>1</v>
      </c>
      <c r="H24" s="9"/>
      <c r="I24" s="9">
        <v>1</v>
      </c>
      <c r="J24" s="43">
        <f t="shared" si="0"/>
        <v>18000</v>
      </c>
      <c r="T24" s="8" t="s">
        <v>194</v>
      </c>
      <c r="U24" s="12"/>
      <c r="V24" s="12"/>
      <c r="W24" s="12"/>
      <c r="X24" s="12">
        <f>$X$11</f>
        <v>20000</v>
      </c>
      <c r="Y24" s="12"/>
      <c r="Z24" s="12"/>
      <c r="AA24" s="12">
        <f>$AA$11</f>
        <v>6000</v>
      </c>
      <c r="AB24" s="12"/>
      <c r="AC24" s="12">
        <f>$AC$11</f>
        <v>2000</v>
      </c>
      <c r="AD24" s="12"/>
      <c r="AE24" s="12">
        <f t="shared" si="2"/>
        <v>28000</v>
      </c>
    </row>
    <row r="25" spans="2:31" ht="16.5">
      <c r="B25" s="2">
        <v>22</v>
      </c>
      <c r="C25" s="35" t="s">
        <v>360</v>
      </c>
      <c r="D25" s="9" t="s">
        <v>208</v>
      </c>
      <c r="E25" s="39" t="s">
        <v>358</v>
      </c>
      <c r="F25" s="40">
        <v>1.5</v>
      </c>
      <c r="G25" s="2">
        <v>2</v>
      </c>
      <c r="H25" s="2"/>
      <c r="I25" s="2">
        <v>1</v>
      </c>
      <c r="J25" s="43">
        <f t="shared" si="0"/>
        <v>20000</v>
      </c>
      <c r="T25" s="8" t="s">
        <v>196</v>
      </c>
      <c r="U25" s="12"/>
      <c r="V25" s="12"/>
      <c r="W25" s="12"/>
      <c r="X25" s="12">
        <f>$X$11</f>
        <v>20000</v>
      </c>
      <c r="Y25" s="12"/>
      <c r="Z25" s="12"/>
      <c r="AA25" s="12">
        <f>$AA$11</f>
        <v>6000</v>
      </c>
      <c r="AB25" s="12"/>
      <c r="AC25" s="18"/>
      <c r="AD25" s="12">
        <f>$AD$11</f>
        <v>4000</v>
      </c>
      <c r="AE25" s="12">
        <f t="shared" si="2"/>
        <v>30000</v>
      </c>
    </row>
    <row r="26" spans="2:31" ht="16.5">
      <c r="B26" s="2">
        <v>23</v>
      </c>
      <c r="C26" s="35" t="s">
        <v>390</v>
      </c>
      <c r="D26" s="9" t="s">
        <v>208</v>
      </c>
      <c r="E26" s="39" t="s">
        <v>391</v>
      </c>
      <c r="F26" s="40">
        <v>1.5</v>
      </c>
      <c r="G26" s="2">
        <v>1</v>
      </c>
      <c r="I26" s="2">
        <v>1</v>
      </c>
      <c r="J26" s="43">
        <f t="shared" si="0"/>
        <v>20000</v>
      </c>
      <c r="T26" s="8" t="s">
        <v>199</v>
      </c>
      <c r="X26" s="12">
        <f>$X$11</f>
        <v>20000</v>
      </c>
      <c r="AB26" s="12">
        <f>$AB$11</f>
        <v>8000</v>
      </c>
      <c r="AC26" s="12">
        <f>$AC$11</f>
        <v>2000</v>
      </c>
      <c r="AE26" s="12">
        <f t="shared" si="2"/>
        <v>30000</v>
      </c>
    </row>
    <row r="27" spans="2:31" ht="16.5">
      <c r="B27" s="2">
        <v>24</v>
      </c>
      <c r="C27" s="35" t="s">
        <v>417</v>
      </c>
      <c r="D27" s="9" t="s">
        <v>208</v>
      </c>
      <c r="E27" s="39" t="s">
        <v>419</v>
      </c>
      <c r="F27" s="39">
        <v>1</v>
      </c>
      <c r="G27" s="9">
        <v>1</v>
      </c>
      <c r="H27" s="9"/>
      <c r="I27" s="9">
        <v>1</v>
      </c>
      <c r="J27" s="43">
        <f t="shared" si="0"/>
        <v>18000</v>
      </c>
    </row>
    <row r="28" spans="2:31" ht="16.5">
      <c r="B28" s="2">
        <v>25</v>
      </c>
      <c r="C28" s="35" t="s">
        <v>418</v>
      </c>
      <c r="D28" s="9" t="s">
        <v>208</v>
      </c>
      <c r="E28" s="39" t="s">
        <v>420</v>
      </c>
      <c r="F28" s="39">
        <v>1</v>
      </c>
      <c r="G28" s="9">
        <v>1</v>
      </c>
      <c r="H28" s="9"/>
      <c r="I28" s="9">
        <v>1</v>
      </c>
      <c r="J28" s="43">
        <f t="shared" si="0"/>
        <v>18000</v>
      </c>
    </row>
    <row r="29" spans="2:31" ht="16.5">
      <c r="B29" s="2">
        <v>26</v>
      </c>
      <c r="C29" s="35" t="s">
        <v>361</v>
      </c>
      <c r="D29" s="9" t="s">
        <v>208</v>
      </c>
      <c r="E29" s="39" t="s">
        <v>359</v>
      </c>
      <c r="F29" s="40">
        <v>1.5</v>
      </c>
      <c r="G29" s="2">
        <v>2</v>
      </c>
      <c r="H29" s="2"/>
      <c r="I29" s="2">
        <v>1</v>
      </c>
      <c r="J29" s="43">
        <f t="shared" si="0"/>
        <v>20000</v>
      </c>
    </row>
    <row r="30" spans="2:31" ht="16.5">
      <c r="B30" s="2">
        <v>27</v>
      </c>
      <c r="C30" s="35" t="s">
        <v>387</v>
      </c>
      <c r="D30" s="9" t="s">
        <v>208</v>
      </c>
      <c r="E30" s="39" t="s">
        <v>388</v>
      </c>
      <c r="F30" s="39">
        <v>1</v>
      </c>
      <c r="G30" s="9">
        <v>1</v>
      </c>
      <c r="H30" s="9"/>
      <c r="I30" s="9">
        <v>1</v>
      </c>
      <c r="J30" s="43">
        <f t="shared" si="0"/>
        <v>18000</v>
      </c>
    </row>
    <row r="31" spans="2:31" ht="16.5">
      <c r="B31" s="2">
        <v>28</v>
      </c>
      <c r="C31" s="35" t="s">
        <v>1353</v>
      </c>
      <c r="D31" s="9" t="s">
        <v>208</v>
      </c>
      <c r="E31" s="39" t="s">
        <v>1354</v>
      </c>
      <c r="F31" s="40">
        <v>1.5</v>
      </c>
      <c r="G31" s="9">
        <v>1</v>
      </c>
      <c r="H31" s="9"/>
      <c r="I31" s="9">
        <v>1</v>
      </c>
      <c r="J31" s="43">
        <f t="shared" ref="J31" si="3">VLOOKUP(F31,$L$3:$M$8,2,0)</f>
        <v>20000</v>
      </c>
    </row>
    <row r="32" spans="2:31" ht="16.5">
      <c r="B32" s="2">
        <v>29</v>
      </c>
      <c r="C32" s="35" t="s">
        <v>870</v>
      </c>
      <c r="D32" s="9" t="s">
        <v>208</v>
      </c>
      <c r="E32" s="39" t="s">
        <v>873</v>
      </c>
      <c r="F32" s="39">
        <v>1</v>
      </c>
      <c r="J32" s="43">
        <f t="shared" si="0"/>
        <v>18000</v>
      </c>
    </row>
    <row r="33" spans="2:24" ht="16.5">
      <c r="B33" s="2">
        <v>30</v>
      </c>
      <c r="C33" s="35" t="s">
        <v>871</v>
      </c>
      <c r="D33" s="9" t="s">
        <v>208</v>
      </c>
      <c r="E33" s="39" t="s">
        <v>874</v>
      </c>
      <c r="F33" s="39">
        <v>1</v>
      </c>
      <c r="J33" s="43">
        <f t="shared" si="0"/>
        <v>18000</v>
      </c>
    </row>
    <row r="34" spans="2:24" ht="16.5">
      <c r="B34" s="2">
        <v>31</v>
      </c>
      <c r="C34" s="35" t="s">
        <v>869</v>
      </c>
      <c r="D34" s="9" t="s">
        <v>208</v>
      </c>
      <c r="E34" s="39" t="s">
        <v>875</v>
      </c>
      <c r="F34" s="39">
        <v>1</v>
      </c>
      <c r="J34" s="43">
        <f t="shared" si="0"/>
        <v>18000</v>
      </c>
      <c r="U34" s="37" t="s">
        <v>162</v>
      </c>
      <c r="V34" s="37"/>
      <c r="W34" s="37"/>
      <c r="X34" s="37"/>
    </row>
    <row r="35" spans="2:24" ht="16.5">
      <c r="B35" s="2">
        <v>32</v>
      </c>
      <c r="C35" s="35" t="s">
        <v>872</v>
      </c>
      <c r="D35" s="9" t="s">
        <v>208</v>
      </c>
      <c r="E35" s="39" t="s">
        <v>876</v>
      </c>
      <c r="F35" s="39">
        <v>1</v>
      </c>
      <c r="J35" s="43">
        <f t="shared" si="0"/>
        <v>18000</v>
      </c>
      <c r="U35" s="37">
        <v>1</v>
      </c>
      <c r="V35" s="36" t="s">
        <v>363</v>
      </c>
      <c r="W35" s="37">
        <v>2</v>
      </c>
      <c r="X35" s="37">
        <v>3</v>
      </c>
    </row>
    <row r="36" spans="2:24" ht="16.5">
      <c r="B36" s="2">
        <v>33</v>
      </c>
      <c r="C36" s="35" t="s">
        <v>416</v>
      </c>
      <c r="D36" s="9" t="s">
        <v>214</v>
      </c>
      <c r="E36" s="39" t="s">
        <v>215</v>
      </c>
      <c r="F36" s="39"/>
      <c r="G36" s="9"/>
      <c r="H36" s="9"/>
      <c r="I36" s="9"/>
      <c r="J36" s="43">
        <v>10000</v>
      </c>
      <c r="U36" s="38">
        <v>11000</v>
      </c>
      <c r="V36" s="38">
        <v>14000</v>
      </c>
      <c r="W36" s="38">
        <v>17000</v>
      </c>
      <c r="X36" s="38">
        <v>20000</v>
      </c>
    </row>
    <row r="37" spans="2:24" ht="16.5">
      <c r="B37" s="2">
        <v>34</v>
      </c>
      <c r="C37" s="35" t="s">
        <v>294</v>
      </c>
      <c r="D37" s="9" t="s">
        <v>214</v>
      </c>
      <c r="E37" s="39" t="s">
        <v>216</v>
      </c>
      <c r="F37" s="39">
        <v>1</v>
      </c>
      <c r="G37" s="9"/>
      <c r="H37" s="9">
        <v>2</v>
      </c>
      <c r="I37" s="9">
        <v>1</v>
      </c>
      <c r="J37" s="43">
        <f t="shared" ref="J37:J59" si="4">VLOOKUP(F37,$L$3:$M$8,2,0)</f>
        <v>18000</v>
      </c>
      <c r="U37" s="37" t="s">
        <v>168</v>
      </c>
      <c r="V37" s="37"/>
      <c r="W37" s="37"/>
      <c r="X37" s="37"/>
    </row>
    <row r="38" spans="2:24" ht="16.5">
      <c r="B38" s="2">
        <v>35</v>
      </c>
      <c r="C38" s="35" t="s">
        <v>322</v>
      </c>
      <c r="D38" s="9" t="s">
        <v>214</v>
      </c>
      <c r="E38" s="39" t="s">
        <v>217</v>
      </c>
      <c r="F38" s="39">
        <v>1</v>
      </c>
      <c r="G38" s="9">
        <v>1</v>
      </c>
      <c r="H38" s="9"/>
      <c r="I38" s="9">
        <v>1</v>
      </c>
      <c r="J38" s="43">
        <f t="shared" si="4"/>
        <v>18000</v>
      </c>
      <c r="U38" s="37">
        <v>1</v>
      </c>
      <c r="V38" s="37">
        <v>2</v>
      </c>
      <c r="W38" s="37">
        <v>3</v>
      </c>
      <c r="X38" s="37">
        <v>4</v>
      </c>
    </row>
    <row r="39" spans="2:24" ht="16.5">
      <c r="B39" s="2">
        <v>36</v>
      </c>
      <c r="C39" s="35" t="s">
        <v>308</v>
      </c>
      <c r="D39" s="9" t="s">
        <v>214</v>
      </c>
      <c r="E39" s="39" t="s">
        <v>218</v>
      </c>
      <c r="F39" s="39">
        <v>1</v>
      </c>
      <c r="G39" s="9">
        <v>1</v>
      </c>
      <c r="H39" s="9"/>
      <c r="I39" s="9">
        <v>1</v>
      </c>
      <c r="J39" s="43">
        <f t="shared" si="4"/>
        <v>18000</v>
      </c>
      <c r="U39" s="38">
        <v>2000</v>
      </c>
      <c r="V39" s="38">
        <v>4000</v>
      </c>
      <c r="W39" s="38">
        <v>6000</v>
      </c>
      <c r="X39" s="38">
        <v>8000</v>
      </c>
    </row>
    <row r="40" spans="2:24" ht="16.5">
      <c r="B40" s="2">
        <v>37</v>
      </c>
      <c r="C40" s="35" t="s">
        <v>352</v>
      </c>
      <c r="D40" s="9" t="s">
        <v>214</v>
      </c>
      <c r="E40" s="39" t="s">
        <v>219</v>
      </c>
      <c r="F40" s="39">
        <v>1</v>
      </c>
      <c r="G40" s="9">
        <v>1</v>
      </c>
      <c r="H40" s="9"/>
      <c r="I40" s="9">
        <v>1</v>
      </c>
      <c r="J40" s="43">
        <f t="shared" si="4"/>
        <v>18000</v>
      </c>
      <c r="U40" s="37" t="s">
        <v>169</v>
      </c>
      <c r="V40" s="37"/>
      <c r="W40" s="37"/>
      <c r="X40" s="37"/>
    </row>
    <row r="41" spans="2:24" ht="16.5">
      <c r="B41" s="2">
        <v>38</v>
      </c>
      <c r="C41" s="35" t="s">
        <v>284</v>
      </c>
      <c r="D41" s="9" t="s">
        <v>214</v>
      </c>
      <c r="E41" s="39" t="s">
        <v>220</v>
      </c>
      <c r="F41" s="39">
        <v>1</v>
      </c>
      <c r="G41" s="9">
        <v>1</v>
      </c>
      <c r="H41" s="9"/>
      <c r="I41" s="9">
        <v>1</v>
      </c>
      <c r="J41" s="43">
        <f t="shared" si="4"/>
        <v>18000</v>
      </c>
      <c r="U41" s="37">
        <v>1</v>
      </c>
      <c r="V41" s="37">
        <v>2</v>
      </c>
      <c r="W41" s="37"/>
      <c r="X41" s="37"/>
    </row>
    <row r="42" spans="2:24" ht="16.5">
      <c r="B42" s="2">
        <v>39</v>
      </c>
      <c r="C42" s="35" t="s">
        <v>285</v>
      </c>
      <c r="D42" s="9" t="s">
        <v>214</v>
      </c>
      <c r="E42" s="39" t="s">
        <v>221</v>
      </c>
      <c r="F42" s="39">
        <v>1</v>
      </c>
      <c r="G42" s="9"/>
      <c r="H42" s="9">
        <v>2</v>
      </c>
      <c r="I42" s="9">
        <v>1</v>
      </c>
      <c r="J42" s="43">
        <f t="shared" si="4"/>
        <v>18000</v>
      </c>
      <c r="U42" s="38">
        <v>2000</v>
      </c>
      <c r="V42" s="38">
        <v>4000</v>
      </c>
      <c r="W42" s="37"/>
      <c r="X42" s="37"/>
    </row>
    <row r="43" spans="2:24" ht="16.5">
      <c r="B43" s="2">
        <v>40</v>
      </c>
      <c r="C43" s="35" t="s">
        <v>286</v>
      </c>
      <c r="D43" s="9" t="s">
        <v>222</v>
      </c>
      <c r="E43" s="39" t="s">
        <v>223</v>
      </c>
      <c r="F43" s="39">
        <v>1</v>
      </c>
      <c r="G43" s="9">
        <v>1</v>
      </c>
      <c r="H43" s="9"/>
      <c r="I43" s="9">
        <v>1</v>
      </c>
      <c r="J43" s="43">
        <f t="shared" si="4"/>
        <v>18000</v>
      </c>
    </row>
    <row r="44" spans="2:24" ht="16.5">
      <c r="B44" s="2">
        <v>41</v>
      </c>
      <c r="C44" s="35" t="s">
        <v>289</v>
      </c>
      <c r="D44" s="9" t="s">
        <v>222</v>
      </c>
      <c r="E44" s="39" t="s">
        <v>224</v>
      </c>
      <c r="F44" s="39">
        <v>1</v>
      </c>
      <c r="G44" s="9">
        <v>1</v>
      </c>
      <c r="H44" s="9"/>
      <c r="I44" s="9">
        <v>1</v>
      </c>
      <c r="J44" s="43">
        <f t="shared" si="4"/>
        <v>18000</v>
      </c>
    </row>
    <row r="45" spans="2:24" ht="16.5">
      <c r="B45" s="2">
        <v>42</v>
      </c>
      <c r="C45" s="35" t="s">
        <v>301</v>
      </c>
      <c r="D45" s="9" t="s">
        <v>222</v>
      </c>
      <c r="E45" s="39" t="s">
        <v>225</v>
      </c>
      <c r="F45" s="39">
        <v>1</v>
      </c>
      <c r="G45" s="9">
        <v>1</v>
      </c>
      <c r="H45" s="9"/>
      <c r="I45" s="9">
        <v>1</v>
      </c>
      <c r="J45" s="43">
        <f t="shared" si="4"/>
        <v>18000</v>
      </c>
    </row>
    <row r="46" spans="2:24" ht="16.5">
      <c r="B46" s="2">
        <v>43</v>
      </c>
      <c r="C46" s="35" t="s">
        <v>310</v>
      </c>
      <c r="D46" s="9" t="s">
        <v>222</v>
      </c>
      <c r="E46" s="39" t="s">
        <v>226</v>
      </c>
      <c r="F46" s="39">
        <v>1</v>
      </c>
      <c r="G46" s="9">
        <v>1</v>
      </c>
      <c r="H46" s="9"/>
      <c r="I46" s="9">
        <v>1</v>
      </c>
      <c r="J46" s="43">
        <f t="shared" si="4"/>
        <v>18000</v>
      </c>
    </row>
    <row r="47" spans="2:24" ht="16.5">
      <c r="B47" s="2">
        <v>44</v>
      </c>
      <c r="C47" s="35" t="s">
        <v>303</v>
      </c>
      <c r="D47" s="9" t="s">
        <v>222</v>
      </c>
      <c r="E47" s="39" t="s">
        <v>227</v>
      </c>
      <c r="F47" s="39">
        <v>1</v>
      </c>
      <c r="G47" s="9">
        <v>1</v>
      </c>
      <c r="H47" s="9"/>
      <c r="I47" s="9">
        <v>1</v>
      </c>
      <c r="J47" s="43">
        <f t="shared" si="4"/>
        <v>18000</v>
      </c>
    </row>
    <row r="48" spans="2:24" ht="16.5">
      <c r="B48" s="2">
        <v>45</v>
      </c>
      <c r="C48" s="35" t="s">
        <v>287</v>
      </c>
      <c r="D48" s="9" t="s">
        <v>222</v>
      </c>
      <c r="E48" s="39" t="s">
        <v>228</v>
      </c>
      <c r="F48" s="39">
        <v>1</v>
      </c>
      <c r="G48" s="9">
        <v>1</v>
      </c>
      <c r="H48" s="9"/>
      <c r="I48" s="9">
        <v>1</v>
      </c>
      <c r="J48" s="43">
        <f t="shared" si="4"/>
        <v>18000</v>
      </c>
    </row>
    <row r="49" spans="2:32" ht="16.5">
      <c r="B49" s="2">
        <v>46</v>
      </c>
      <c r="C49" s="35" t="s">
        <v>288</v>
      </c>
      <c r="D49" s="9" t="s">
        <v>222</v>
      </c>
      <c r="E49" s="39" t="s">
        <v>229</v>
      </c>
      <c r="F49" s="39">
        <v>1</v>
      </c>
      <c r="G49" s="9">
        <v>1</v>
      </c>
      <c r="H49" s="9"/>
      <c r="I49" s="9">
        <v>1</v>
      </c>
      <c r="J49" s="43">
        <f t="shared" si="4"/>
        <v>18000</v>
      </c>
    </row>
    <row r="50" spans="2:32" ht="16.5">
      <c r="B50" s="2">
        <v>47</v>
      </c>
      <c r="C50" s="35" t="s">
        <v>283</v>
      </c>
      <c r="D50" s="9" t="s">
        <v>222</v>
      </c>
      <c r="E50" s="41" t="s">
        <v>392</v>
      </c>
      <c r="F50" s="39">
        <v>1</v>
      </c>
      <c r="G50" s="9">
        <v>1</v>
      </c>
      <c r="H50" s="9"/>
      <c r="I50" s="9">
        <v>1</v>
      </c>
      <c r="J50" s="43">
        <f t="shared" si="4"/>
        <v>18000</v>
      </c>
    </row>
    <row r="51" spans="2:32" ht="16.5">
      <c r="B51" s="2">
        <v>48</v>
      </c>
      <c r="C51" s="35" t="s">
        <v>295</v>
      </c>
      <c r="D51" s="9" t="s">
        <v>230</v>
      </c>
      <c r="E51" s="39" t="s">
        <v>231</v>
      </c>
      <c r="F51" s="39" t="s">
        <v>232</v>
      </c>
      <c r="G51" s="9">
        <v>1</v>
      </c>
      <c r="H51" s="9">
        <v>1</v>
      </c>
      <c r="I51" s="9">
        <v>1</v>
      </c>
      <c r="J51" s="43">
        <f t="shared" si="4"/>
        <v>20000</v>
      </c>
    </row>
    <row r="52" spans="2:32" ht="16.5">
      <c r="B52" s="2">
        <v>49</v>
      </c>
      <c r="C52" s="35" t="s">
        <v>296</v>
      </c>
      <c r="D52" s="9" t="s">
        <v>230</v>
      </c>
      <c r="E52" s="39" t="s">
        <v>233</v>
      </c>
      <c r="F52" s="39" t="s">
        <v>232</v>
      </c>
      <c r="G52" s="9">
        <v>2</v>
      </c>
      <c r="H52" s="9"/>
      <c r="I52" s="9">
        <v>1</v>
      </c>
      <c r="J52" s="43">
        <f t="shared" si="4"/>
        <v>20000</v>
      </c>
    </row>
    <row r="53" spans="2:32" ht="16.5">
      <c r="B53" s="2">
        <v>50</v>
      </c>
      <c r="C53" s="35" t="s">
        <v>290</v>
      </c>
      <c r="D53" s="9" t="s">
        <v>230</v>
      </c>
      <c r="E53" s="39" t="s">
        <v>234</v>
      </c>
      <c r="F53" s="39">
        <v>1</v>
      </c>
      <c r="G53" s="9">
        <v>1</v>
      </c>
      <c r="H53" s="9"/>
      <c r="I53" s="9">
        <v>1</v>
      </c>
      <c r="J53" s="43">
        <f t="shared" si="4"/>
        <v>18000</v>
      </c>
    </row>
    <row r="54" spans="2:32" ht="16.5">
      <c r="B54" s="2">
        <v>51</v>
      </c>
      <c r="C54" s="35" t="s">
        <v>304</v>
      </c>
      <c r="D54" s="9" t="s">
        <v>230</v>
      </c>
      <c r="E54" s="39" t="s">
        <v>235</v>
      </c>
      <c r="F54" s="39">
        <v>1</v>
      </c>
      <c r="G54" s="9">
        <v>1</v>
      </c>
      <c r="H54" s="9"/>
      <c r="I54" s="9">
        <v>1</v>
      </c>
      <c r="J54" s="43">
        <f t="shared" si="4"/>
        <v>18000</v>
      </c>
    </row>
    <row r="55" spans="2:32" ht="16.5">
      <c r="B55" s="2">
        <v>52</v>
      </c>
      <c r="C55" s="35" t="s">
        <v>315</v>
      </c>
      <c r="D55" s="9" t="s">
        <v>230</v>
      </c>
      <c r="E55" s="39" t="s">
        <v>236</v>
      </c>
      <c r="F55" s="39" t="s">
        <v>232</v>
      </c>
      <c r="G55" s="9">
        <v>2</v>
      </c>
      <c r="H55" s="9"/>
      <c r="I55" s="9">
        <v>1</v>
      </c>
      <c r="J55" s="43">
        <f t="shared" si="4"/>
        <v>20000</v>
      </c>
    </row>
    <row r="56" spans="2:32" ht="16.5">
      <c r="B56" s="2">
        <v>53</v>
      </c>
      <c r="C56" s="35" t="s">
        <v>291</v>
      </c>
      <c r="D56" s="9" t="s">
        <v>237</v>
      </c>
      <c r="E56" s="39" t="s">
        <v>238</v>
      </c>
      <c r="F56" s="39">
        <v>1</v>
      </c>
      <c r="G56" s="9">
        <v>1</v>
      </c>
      <c r="H56" s="9"/>
      <c r="I56" s="9">
        <v>1</v>
      </c>
      <c r="J56" s="43">
        <f t="shared" si="4"/>
        <v>18000</v>
      </c>
    </row>
    <row r="57" spans="2:32" ht="16.5">
      <c r="B57" s="2">
        <v>54</v>
      </c>
      <c r="C57" s="35" t="s">
        <v>292</v>
      </c>
      <c r="D57" s="9" t="s">
        <v>237</v>
      </c>
      <c r="E57" s="39" t="s">
        <v>239</v>
      </c>
      <c r="F57" s="39">
        <v>1</v>
      </c>
      <c r="G57" s="9">
        <v>1</v>
      </c>
      <c r="H57" s="9"/>
      <c r="I57" s="9">
        <v>1</v>
      </c>
      <c r="J57" s="43">
        <f t="shared" si="4"/>
        <v>18000</v>
      </c>
    </row>
    <row r="58" spans="2:32" ht="16.5">
      <c r="B58" s="2">
        <v>55</v>
      </c>
      <c r="C58" s="35" t="s">
        <v>297</v>
      </c>
      <c r="D58" s="9" t="s">
        <v>237</v>
      </c>
      <c r="E58" s="39" t="s">
        <v>240</v>
      </c>
      <c r="F58" s="39">
        <v>2</v>
      </c>
      <c r="G58" s="9"/>
      <c r="H58" s="9">
        <v>2</v>
      </c>
      <c r="I58" s="9">
        <v>1</v>
      </c>
      <c r="J58" s="43">
        <f t="shared" si="4"/>
        <v>23000</v>
      </c>
    </row>
    <row r="59" spans="2:32" ht="16.5">
      <c r="B59" s="2">
        <v>56</v>
      </c>
      <c r="C59" s="35" t="s">
        <v>340</v>
      </c>
      <c r="D59" s="9" t="s">
        <v>241</v>
      </c>
      <c r="E59" s="39" t="s">
        <v>242</v>
      </c>
      <c r="F59" s="39">
        <v>1</v>
      </c>
      <c r="G59" s="9">
        <v>2</v>
      </c>
      <c r="H59" s="9"/>
      <c r="I59" s="9">
        <v>1</v>
      </c>
      <c r="J59" s="43">
        <f t="shared" si="4"/>
        <v>18000</v>
      </c>
    </row>
    <row r="60" spans="2:32" ht="16.5">
      <c r="B60" s="2">
        <v>57</v>
      </c>
      <c r="C60" s="35" t="s">
        <v>331</v>
      </c>
      <c r="D60" s="9" t="s">
        <v>241</v>
      </c>
      <c r="E60" s="39" t="s">
        <v>243</v>
      </c>
      <c r="F60" s="39">
        <v>1</v>
      </c>
      <c r="G60" s="9">
        <v>1</v>
      </c>
      <c r="H60" s="9"/>
      <c r="I60" s="9">
        <v>1</v>
      </c>
      <c r="J60" s="43">
        <v>20000</v>
      </c>
    </row>
    <row r="61" spans="2:32" ht="16.5">
      <c r="B61" s="2">
        <v>58</v>
      </c>
      <c r="C61" s="35" t="s">
        <v>379</v>
      </c>
      <c r="D61" s="9" t="s">
        <v>241</v>
      </c>
      <c r="E61" s="39" t="s">
        <v>244</v>
      </c>
      <c r="F61" s="39">
        <v>1</v>
      </c>
      <c r="G61" s="9">
        <v>1</v>
      </c>
      <c r="H61" s="9"/>
      <c r="I61" s="9">
        <v>1</v>
      </c>
      <c r="J61" s="43">
        <v>20000</v>
      </c>
    </row>
    <row r="62" spans="2:32" ht="16.5">
      <c r="B62" s="2">
        <v>59</v>
      </c>
      <c r="C62" s="35" t="s">
        <v>350</v>
      </c>
      <c r="D62" s="9" t="s">
        <v>245</v>
      </c>
      <c r="E62" s="39" t="s">
        <v>246</v>
      </c>
      <c r="F62" s="39"/>
      <c r="G62" s="9"/>
      <c r="H62" s="9"/>
      <c r="I62" s="9"/>
      <c r="J62" s="43">
        <v>0</v>
      </c>
    </row>
    <row r="63" spans="2:32" ht="16.5">
      <c r="B63" s="2">
        <v>60</v>
      </c>
      <c r="C63" s="35" t="s">
        <v>347</v>
      </c>
      <c r="D63" s="9" t="s">
        <v>245</v>
      </c>
      <c r="E63" s="39" t="s">
        <v>247</v>
      </c>
      <c r="F63" s="39">
        <v>1</v>
      </c>
      <c r="G63" s="9">
        <v>1</v>
      </c>
      <c r="H63" s="9"/>
      <c r="I63" s="9">
        <v>1</v>
      </c>
      <c r="J63" s="43">
        <f t="shared" ref="J63:J71" si="5">VLOOKUP(F63,$L$3:$M$8,2,0)</f>
        <v>18000</v>
      </c>
    </row>
    <row r="64" spans="2:32" ht="16.5">
      <c r="B64" s="2">
        <v>61</v>
      </c>
      <c r="C64" s="35" t="s">
        <v>329</v>
      </c>
      <c r="D64" s="9" t="s">
        <v>245</v>
      </c>
      <c r="E64" s="39" t="s">
        <v>248</v>
      </c>
      <c r="F64" s="39">
        <v>1</v>
      </c>
      <c r="G64" s="9"/>
      <c r="H64" s="9">
        <v>1</v>
      </c>
      <c r="I64" s="9">
        <v>1</v>
      </c>
      <c r="J64" s="43">
        <f t="shared" si="5"/>
        <v>18000</v>
      </c>
      <c r="AF64" s="2"/>
    </row>
    <row r="65" spans="2:21" ht="16.5">
      <c r="B65" s="2">
        <v>62</v>
      </c>
      <c r="C65" s="35" t="s">
        <v>332</v>
      </c>
      <c r="D65" s="9" t="s">
        <v>245</v>
      </c>
      <c r="E65" s="39" t="s">
        <v>249</v>
      </c>
      <c r="F65" s="39">
        <v>1</v>
      </c>
      <c r="G65" s="9">
        <v>1</v>
      </c>
      <c r="H65" s="9"/>
      <c r="I65" s="9">
        <v>1</v>
      </c>
      <c r="J65" s="43">
        <f t="shared" si="5"/>
        <v>18000</v>
      </c>
    </row>
    <row r="66" spans="2:21" ht="16.5">
      <c r="B66" s="2">
        <v>63</v>
      </c>
      <c r="C66" s="35" t="s">
        <v>357</v>
      </c>
      <c r="D66" s="9" t="s">
        <v>245</v>
      </c>
      <c r="E66" s="39" t="s">
        <v>250</v>
      </c>
      <c r="F66" s="39">
        <v>1</v>
      </c>
      <c r="G66" s="9"/>
      <c r="H66" s="9">
        <v>1</v>
      </c>
      <c r="I66" s="9">
        <v>1</v>
      </c>
      <c r="J66" s="43">
        <f t="shared" si="5"/>
        <v>18000</v>
      </c>
    </row>
    <row r="67" spans="2:21" ht="16.5">
      <c r="B67" s="2">
        <v>64</v>
      </c>
      <c r="C67" s="35" t="s">
        <v>380</v>
      </c>
      <c r="D67" s="9" t="s">
        <v>245</v>
      </c>
      <c r="E67" s="39" t="s">
        <v>251</v>
      </c>
      <c r="F67" s="39">
        <v>1</v>
      </c>
      <c r="G67" s="9"/>
      <c r="H67" s="9">
        <v>2</v>
      </c>
      <c r="I67" s="9">
        <v>1</v>
      </c>
      <c r="J67" s="43">
        <f t="shared" si="5"/>
        <v>18000</v>
      </c>
    </row>
    <row r="68" spans="2:21" ht="16.5">
      <c r="B68" s="2">
        <v>65</v>
      </c>
      <c r="C68" s="35" t="s">
        <v>338</v>
      </c>
      <c r="D68" s="9" t="s">
        <v>245</v>
      </c>
      <c r="E68" s="39" t="s">
        <v>306</v>
      </c>
      <c r="F68" s="39">
        <v>1</v>
      </c>
      <c r="H68" s="9">
        <v>1</v>
      </c>
      <c r="I68" s="9">
        <v>1</v>
      </c>
      <c r="J68" s="43">
        <f t="shared" si="5"/>
        <v>18000</v>
      </c>
    </row>
    <row r="69" spans="2:21" ht="16.5">
      <c r="B69" s="2">
        <v>66</v>
      </c>
      <c r="C69" s="35" t="s">
        <v>381</v>
      </c>
      <c r="D69" s="9" t="s">
        <v>245</v>
      </c>
      <c r="E69" s="39" t="s">
        <v>252</v>
      </c>
      <c r="F69" s="39">
        <v>1</v>
      </c>
      <c r="G69" s="9">
        <v>1</v>
      </c>
      <c r="H69" s="9"/>
      <c r="I69" s="9">
        <v>1</v>
      </c>
      <c r="J69" s="43">
        <f t="shared" si="5"/>
        <v>18000</v>
      </c>
    </row>
    <row r="70" spans="2:21" ht="16.5">
      <c r="B70" s="2">
        <v>67</v>
      </c>
      <c r="C70" s="35" t="s">
        <v>344</v>
      </c>
      <c r="D70" s="9" t="s">
        <v>245</v>
      </c>
      <c r="E70" s="39" t="s">
        <v>253</v>
      </c>
      <c r="F70" s="39">
        <v>1</v>
      </c>
      <c r="G70" s="9">
        <v>1</v>
      </c>
      <c r="H70" s="9"/>
      <c r="I70" s="9">
        <v>1</v>
      </c>
      <c r="J70" s="43">
        <f t="shared" si="5"/>
        <v>18000</v>
      </c>
    </row>
    <row r="71" spans="2:21" ht="16.5">
      <c r="B71" s="2">
        <v>68</v>
      </c>
      <c r="C71" s="35" t="s">
        <v>484</v>
      </c>
      <c r="D71" s="35" t="s">
        <v>998</v>
      </c>
      <c r="E71" s="35" t="s">
        <v>999</v>
      </c>
      <c r="F71" s="35">
        <v>1</v>
      </c>
      <c r="G71" s="35"/>
      <c r="H71" s="35"/>
      <c r="I71" s="35"/>
      <c r="J71" s="35">
        <f t="shared" si="5"/>
        <v>18000</v>
      </c>
    </row>
    <row r="72" spans="2:21" ht="16.5">
      <c r="B72" s="2">
        <v>69</v>
      </c>
      <c r="C72" s="35" t="s">
        <v>309</v>
      </c>
      <c r="D72" s="9" t="s">
        <v>254</v>
      </c>
      <c r="E72" s="39" t="s">
        <v>255</v>
      </c>
      <c r="F72" s="39">
        <v>1</v>
      </c>
      <c r="G72" s="9">
        <v>1</v>
      </c>
      <c r="H72" s="9"/>
      <c r="I72" s="9">
        <v>1</v>
      </c>
      <c r="J72" s="43">
        <v>25000</v>
      </c>
    </row>
    <row r="73" spans="2:21" ht="16.5">
      <c r="B73" s="2">
        <v>70</v>
      </c>
      <c r="C73" s="35" t="s">
        <v>307</v>
      </c>
      <c r="D73" s="9" t="s">
        <v>254</v>
      </c>
      <c r="E73" s="39" t="s">
        <v>256</v>
      </c>
      <c r="F73" s="39">
        <v>1</v>
      </c>
      <c r="G73" s="9">
        <v>1</v>
      </c>
      <c r="H73" s="9"/>
      <c r="I73" s="9">
        <v>1</v>
      </c>
      <c r="J73" s="43">
        <v>25000</v>
      </c>
    </row>
    <row r="74" spans="2:21" ht="16.5">
      <c r="B74" s="2">
        <v>71</v>
      </c>
      <c r="C74" s="35" t="s">
        <v>355</v>
      </c>
      <c r="D74" s="9" t="s">
        <v>254</v>
      </c>
      <c r="E74" s="39" t="s">
        <v>257</v>
      </c>
      <c r="F74" s="39">
        <v>1</v>
      </c>
      <c r="G74" s="9">
        <v>1</v>
      </c>
      <c r="H74" s="9"/>
      <c r="I74" s="9">
        <v>1</v>
      </c>
      <c r="J74" s="43">
        <v>25000</v>
      </c>
    </row>
    <row r="75" spans="2:21" ht="16.5">
      <c r="B75" s="2">
        <v>72</v>
      </c>
      <c r="C75" s="35" t="s">
        <v>375</v>
      </c>
      <c r="D75" s="9" t="s">
        <v>208</v>
      </c>
      <c r="E75" s="39" t="s">
        <v>209</v>
      </c>
      <c r="F75" s="39">
        <v>2</v>
      </c>
      <c r="G75" s="9">
        <v>1</v>
      </c>
      <c r="H75" s="9">
        <v>2</v>
      </c>
      <c r="I75" s="9">
        <v>1</v>
      </c>
      <c r="J75" s="43">
        <f t="shared" ref="J75:J82" si="6">VLOOKUP(F75,$L$3:$M$8,2,0)</f>
        <v>23000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2:21" ht="16.5">
      <c r="B76" s="2">
        <v>73</v>
      </c>
      <c r="C76" s="35" t="s">
        <v>376</v>
      </c>
      <c r="D76" s="9" t="s">
        <v>210</v>
      </c>
      <c r="E76" s="39" t="s">
        <v>211</v>
      </c>
      <c r="F76" s="39">
        <v>1</v>
      </c>
      <c r="G76" s="9"/>
      <c r="H76" s="9">
        <v>3</v>
      </c>
      <c r="I76" s="9">
        <v>1</v>
      </c>
      <c r="J76" s="43">
        <f t="shared" si="6"/>
        <v>18000</v>
      </c>
    </row>
    <row r="77" spans="2:21" ht="16.5">
      <c r="B77" s="2">
        <v>74</v>
      </c>
      <c r="C77" s="35" t="s">
        <v>377</v>
      </c>
      <c r="D77" s="9" t="s">
        <v>210</v>
      </c>
      <c r="E77" s="39" t="s">
        <v>212</v>
      </c>
      <c r="F77" s="39">
        <v>1.5</v>
      </c>
      <c r="G77" s="9">
        <v>1</v>
      </c>
      <c r="H77" s="9">
        <v>1</v>
      </c>
      <c r="I77" s="9">
        <v>1</v>
      </c>
      <c r="J77" s="43">
        <f t="shared" si="6"/>
        <v>20000</v>
      </c>
    </row>
    <row r="78" spans="2:21" ht="16.5">
      <c r="B78" s="2">
        <v>75</v>
      </c>
      <c r="C78" s="35" t="s">
        <v>378</v>
      </c>
      <c r="D78" s="9" t="s">
        <v>210</v>
      </c>
      <c r="E78" s="39" t="s">
        <v>213</v>
      </c>
      <c r="F78" s="39">
        <v>1</v>
      </c>
      <c r="G78" s="9">
        <v>1</v>
      </c>
      <c r="H78" s="9"/>
      <c r="I78" s="9">
        <v>1</v>
      </c>
      <c r="J78" s="43">
        <f t="shared" si="6"/>
        <v>18000</v>
      </c>
    </row>
    <row r="79" spans="2:21" ht="16.5">
      <c r="B79" s="2">
        <v>76</v>
      </c>
      <c r="C79" s="35" t="s">
        <v>298</v>
      </c>
      <c r="D79" s="9" t="s">
        <v>258</v>
      </c>
      <c r="E79" s="39" t="s">
        <v>259</v>
      </c>
      <c r="F79" s="39">
        <v>2</v>
      </c>
      <c r="G79" s="9">
        <v>3</v>
      </c>
      <c r="H79" s="9"/>
      <c r="I79" s="9">
        <v>1</v>
      </c>
      <c r="J79" s="43">
        <f t="shared" si="6"/>
        <v>23000</v>
      </c>
    </row>
    <row r="80" spans="2:21" ht="16.5">
      <c r="B80" s="2">
        <v>77</v>
      </c>
      <c r="C80" s="35" t="s">
        <v>382</v>
      </c>
      <c r="D80" s="9" t="s">
        <v>258</v>
      </c>
      <c r="E80" s="39" t="s">
        <v>260</v>
      </c>
      <c r="F80" s="39">
        <v>3</v>
      </c>
      <c r="G80" s="9">
        <v>4</v>
      </c>
      <c r="H80" s="9"/>
      <c r="I80" s="9">
        <v>2</v>
      </c>
      <c r="J80" s="43">
        <f t="shared" si="6"/>
        <v>30000</v>
      </c>
    </row>
    <row r="81" spans="2:10" ht="16.5">
      <c r="B81" s="2">
        <v>78</v>
      </c>
      <c r="C81" s="35" t="s">
        <v>305</v>
      </c>
      <c r="D81" s="9" t="s">
        <v>258</v>
      </c>
      <c r="E81" s="39" t="s">
        <v>261</v>
      </c>
      <c r="F81" s="39">
        <v>1</v>
      </c>
      <c r="G81" s="9"/>
      <c r="H81" s="9">
        <v>1</v>
      </c>
      <c r="I81" s="9">
        <v>1</v>
      </c>
      <c r="J81" s="43">
        <f t="shared" si="6"/>
        <v>18000</v>
      </c>
    </row>
    <row r="82" spans="2:10" ht="16.5">
      <c r="B82" s="2">
        <v>79</v>
      </c>
      <c r="C82" s="35" t="s">
        <v>299</v>
      </c>
      <c r="D82" s="9" t="s">
        <v>262</v>
      </c>
      <c r="E82" s="39" t="s">
        <v>263</v>
      </c>
      <c r="F82" s="39">
        <v>2</v>
      </c>
      <c r="G82" s="9">
        <v>1</v>
      </c>
      <c r="H82" s="9">
        <v>2</v>
      </c>
      <c r="I82" s="9">
        <v>1</v>
      </c>
      <c r="J82" s="43">
        <f t="shared" si="6"/>
        <v>23000</v>
      </c>
    </row>
    <row r="83" spans="2:10" ht="16.5">
      <c r="B83" s="2">
        <v>80</v>
      </c>
      <c r="C83" s="35" t="s">
        <v>383</v>
      </c>
      <c r="D83" s="9" t="s">
        <v>262</v>
      </c>
      <c r="E83" s="39" t="s">
        <v>264</v>
      </c>
      <c r="F83" s="39" t="s">
        <v>232</v>
      </c>
      <c r="G83" s="9"/>
      <c r="H83" s="9">
        <v>1</v>
      </c>
      <c r="I83" s="9">
        <v>1</v>
      </c>
      <c r="J83" s="43">
        <v>25000</v>
      </c>
    </row>
    <row r="84" spans="2:10" ht="16.5">
      <c r="B84" s="2">
        <v>81</v>
      </c>
      <c r="C84" s="35" t="s">
        <v>324</v>
      </c>
      <c r="D84" s="9" t="s">
        <v>262</v>
      </c>
      <c r="E84" s="39" t="s">
        <v>265</v>
      </c>
      <c r="F84" s="39">
        <v>1</v>
      </c>
      <c r="G84" s="9">
        <v>1</v>
      </c>
      <c r="H84" s="9"/>
      <c r="I84" s="9">
        <v>1</v>
      </c>
      <c r="J84" s="43">
        <v>30000</v>
      </c>
    </row>
    <row r="85" spans="2:10" ht="16.5">
      <c r="B85" s="2">
        <v>82</v>
      </c>
      <c r="C85" s="35" t="s">
        <v>300</v>
      </c>
      <c r="D85" s="9" t="s">
        <v>266</v>
      </c>
      <c r="E85" s="39" t="s">
        <v>267</v>
      </c>
      <c r="F85" s="39">
        <v>2</v>
      </c>
      <c r="G85" s="9">
        <v>2</v>
      </c>
      <c r="H85" s="9"/>
      <c r="I85" s="9">
        <v>1</v>
      </c>
      <c r="J85" s="43">
        <f>VLOOKUP(F85,$L$3:$M$8,2,0)</f>
        <v>23000</v>
      </c>
    </row>
    <row r="86" spans="2:10" ht="16.5">
      <c r="B86" s="2">
        <v>83</v>
      </c>
      <c r="C86" s="35" t="s">
        <v>302</v>
      </c>
      <c r="D86" s="9" t="s">
        <v>266</v>
      </c>
      <c r="E86" s="39" t="s">
        <v>268</v>
      </c>
      <c r="F86" s="39">
        <v>2</v>
      </c>
      <c r="G86" s="9">
        <v>2</v>
      </c>
      <c r="H86" s="9"/>
      <c r="I86" s="9">
        <v>1</v>
      </c>
      <c r="J86" s="43">
        <f>VLOOKUP(F86,$L$3:$M$8,2,0)</f>
        <v>23000</v>
      </c>
    </row>
    <row r="87" spans="2:10" ht="16.5">
      <c r="B87" s="2">
        <v>84</v>
      </c>
      <c r="C87" s="35" t="s">
        <v>343</v>
      </c>
      <c r="D87" s="9" t="s">
        <v>266</v>
      </c>
      <c r="E87" s="39" t="s">
        <v>946</v>
      </c>
      <c r="F87" s="39">
        <v>2</v>
      </c>
      <c r="G87" s="9">
        <v>1</v>
      </c>
      <c r="H87" s="9">
        <v>1</v>
      </c>
      <c r="I87" s="9">
        <v>1</v>
      </c>
      <c r="J87" s="43">
        <f>VLOOKUP(F87,$L$3:$M$8,2,0)</f>
        <v>23000</v>
      </c>
    </row>
    <row r="88" spans="2:10" ht="16.5">
      <c r="B88" s="2">
        <v>85</v>
      </c>
      <c r="C88" s="35" t="s">
        <v>385</v>
      </c>
      <c r="D88" s="9" t="s">
        <v>266</v>
      </c>
      <c r="E88" s="39" t="s">
        <v>386</v>
      </c>
      <c r="F88" s="39">
        <v>2</v>
      </c>
      <c r="G88" s="9"/>
      <c r="H88" s="9">
        <v>6</v>
      </c>
      <c r="I88" s="9">
        <v>1</v>
      </c>
      <c r="J88" s="43">
        <f>VLOOKUP(F88,$L$3:$M$8,2,0)</f>
        <v>23000</v>
      </c>
    </row>
    <row r="89" spans="2:10" ht="16.5">
      <c r="B89" s="2">
        <v>86</v>
      </c>
      <c r="C89" s="35" t="s">
        <v>389</v>
      </c>
      <c r="D89" s="9" t="s">
        <v>262</v>
      </c>
      <c r="E89" s="39" t="s">
        <v>424</v>
      </c>
      <c r="F89" s="39">
        <v>2</v>
      </c>
      <c r="G89" s="9">
        <v>2</v>
      </c>
      <c r="H89" s="9"/>
      <c r="I89" s="9">
        <v>1</v>
      </c>
      <c r="J89" s="43">
        <v>30000</v>
      </c>
    </row>
    <row r="90" spans="2:10" ht="16.5">
      <c r="B90" s="2">
        <v>87</v>
      </c>
      <c r="C90" s="35" t="s">
        <v>311</v>
      </c>
      <c r="D90" s="9" t="s">
        <v>269</v>
      </c>
      <c r="E90" s="39" t="s">
        <v>270</v>
      </c>
      <c r="F90" s="39">
        <v>3</v>
      </c>
      <c r="G90" s="9">
        <v>1</v>
      </c>
      <c r="H90" s="9">
        <v>2</v>
      </c>
      <c r="I90" s="9">
        <v>2</v>
      </c>
      <c r="J90" s="43" t="e">
        <f>#REF!</f>
        <v>#REF!</v>
      </c>
    </row>
    <row r="91" spans="2:10" ht="16.5">
      <c r="B91" s="2">
        <v>88</v>
      </c>
      <c r="C91" s="35" t="s">
        <v>323</v>
      </c>
      <c r="D91" s="9" t="s">
        <v>269</v>
      </c>
      <c r="E91" s="39" t="s">
        <v>271</v>
      </c>
      <c r="F91" s="39">
        <v>2</v>
      </c>
      <c r="G91" s="9">
        <v>1</v>
      </c>
      <c r="H91" s="9">
        <v>1</v>
      </c>
      <c r="I91" s="9">
        <v>2</v>
      </c>
      <c r="J91" s="43" t="e">
        <f>#REF!</f>
        <v>#REF!</v>
      </c>
    </row>
    <row r="92" spans="2:10" ht="16.5">
      <c r="B92" s="2">
        <v>89</v>
      </c>
      <c r="C92" s="35" t="s">
        <v>314</v>
      </c>
      <c r="D92" s="9" t="s">
        <v>272</v>
      </c>
      <c r="E92" s="39" t="s">
        <v>273</v>
      </c>
      <c r="F92" s="39" t="s">
        <v>232</v>
      </c>
      <c r="G92" s="9">
        <v>2</v>
      </c>
      <c r="H92" s="9">
        <v>1</v>
      </c>
      <c r="I92" s="9">
        <v>1</v>
      </c>
      <c r="J92" s="43">
        <v>30000</v>
      </c>
    </row>
    <row r="93" spans="2:10" ht="16.5">
      <c r="B93" s="2">
        <v>90</v>
      </c>
      <c r="C93" s="35" t="s">
        <v>293</v>
      </c>
      <c r="D93" s="9" t="s">
        <v>272</v>
      </c>
      <c r="E93" s="39" t="s">
        <v>274</v>
      </c>
      <c r="F93" s="39" t="s">
        <v>232</v>
      </c>
      <c r="G93" s="9">
        <v>2</v>
      </c>
      <c r="H93" s="9">
        <v>1</v>
      </c>
      <c r="I93" s="9">
        <v>1</v>
      </c>
      <c r="J93" s="43">
        <v>30000</v>
      </c>
    </row>
    <row r="94" spans="2:10" ht="16.5">
      <c r="B94" s="2">
        <v>91</v>
      </c>
      <c r="C94" s="35" t="s">
        <v>384</v>
      </c>
      <c r="D94" s="9" t="s">
        <v>272</v>
      </c>
      <c r="E94" s="39" t="s">
        <v>275</v>
      </c>
      <c r="F94" s="39">
        <v>2</v>
      </c>
      <c r="G94" s="9"/>
      <c r="H94" s="9">
        <v>2</v>
      </c>
      <c r="I94" s="9">
        <v>1</v>
      </c>
      <c r="J94" s="43">
        <v>30000</v>
      </c>
    </row>
    <row r="95" spans="2:10" ht="16.5">
      <c r="B95" s="2">
        <v>92</v>
      </c>
      <c r="C95" s="35" t="s">
        <v>312</v>
      </c>
      <c r="D95" s="9" t="s">
        <v>272</v>
      </c>
      <c r="E95" s="39" t="s">
        <v>313</v>
      </c>
      <c r="F95" s="40">
        <v>1</v>
      </c>
      <c r="G95" s="2"/>
      <c r="H95" s="2">
        <v>1</v>
      </c>
      <c r="I95" s="2">
        <v>1</v>
      </c>
      <c r="J95" s="43">
        <f>VLOOKUP(F95,$L$3:$M$8,2,0)</f>
        <v>18000</v>
      </c>
    </row>
    <row r="96" spans="2:10" ht="16.5">
      <c r="B96" s="2">
        <v>93</v>
      </c>
      <c r="C96" s="35" t="s">
        <v>365</v>
      </c>
      <c r="D96" s="9" t="s">
        <v>167</v>
      </c>
      <c r="E96" s="10" t="s">
        <v>362</v>
      </c>
      <c r="F96" s="9"/>
      <c r="G96" s="9"/>
      <c r="H96" s="9"/>
      <c r="I96" s="9"/>
      <c r="J96" s="43">
        <v>10000</v>
      </c>
    </row>
    <row r="97" spans="2:10" ht="16.5">
      <c r="B97" s="2">
        <v>94</v>
      </c>
      <c r="C97" s="35" t="s">
        <v>1315</v>
      </c>
      <c r="D97" s="9" t="s">
        <v>1316</v>
      </c>
      <c r="E97" s="9" t="s">
        <v>1317</v>
      </c>
      <c r="F97" s="9">
        <v>1.5</v>
      </c>
      <c r="G97" s="9"/>
      <c r="H97" s="9"/>
      <c r="I97" s="9"/>
      <c r="J97" s="9">
        <f>VLOOKUP(F97,$L$3:$M$8,2,0)</f>
        <v>20000</v>
      </c>
    </row>
    <row r="98" spans="2:10" ht="16.5">
      <c r="B98" s="2">
        <v>95</v>
      </c>
      <c r="C98" s="35" t="s">
        <v>367</v>
      </c>
      <c r="D98" s="15" t="s">
        <v>172</v>
      </c>
      <c r="E98" s="39" t="s">
        <v>173</v>
      </c>
      <c r="F98" s="39">
        <v>1.5</v>
      </c>
      <c r="G98" s="9">
        <v>1</v>
      </c>
      <c r="H98" s="9"/>
      <c r="I98" s="9">
        <v>1</v>
      </c>
      <c r="J98" s="43">
        <f t="shared" ref="J98:J115" si="7">VLOOKUP(F98,$L$3:$M$8,2,0)</f>
        <v>20000</v>
      </c>
    </row>
    <row r="99" spans="2:10" ht="16.5">
      <c r="B99" s="2">
        <v>96</v>
      </c>
      <c r="C99" s="35" t="s">
        <v>366</v>
      </c>
      <c r="D99" s="15" t="s">
        <v>172</v>
      </c>
      <c r="E99" s="39" t="s">
        <v>175</v>
      </c>
      <c r="F99" s="39">
        <v>1.5</v>
      </c>
      <c r="G99" s="9"/>
      <c r="H99" s="9"/>
      <c r="I99" s="9">
        <v>1</v>
      </c>
      <c r="J99" s="43">
        <f t="shared" si="7"/>
        <v>20000</v>
      </c>
    </row>
    <row r="100" spans="2:10" ht="16.5">
      <c r="B100" s="2">
        <v>97</v>
      </c>
      <c r="C100" s="35" t="s">
        <v>334</v>
      </c>
      <c r="D100" s="15" t="s">
        <v>172</v>
      </c>
      <c r="E100" s="39" t="s">
        <v>177</v>
      </c>
      <c r="F100" s="39">
        <v>1.5</v>
      </c>
      <c r="G100" s="9">
        <v>1</v>
      </c>
      <c r="H100" s="9"/>
      <c r="I100" s="9">
        <v>1</v>
      </c>
      <c r="J100" s="43">
        <f t="shared" si="7"/>
        <v>20000</v>
      </c>
    </row>
    <row r="101" spans="2:10" ht="16.5">
      <c r="B101" s="2">
        <v>98</v>
      </c>
      <c r="C101" s="35" t="s">
        <v>325</v>
      </c>
      <c r="D101" s="15" t="s">
        <v>172</v>
      </c>
      <c r="E101" s="39" t="s">
        <v>179</v>
      </c>
      <c r="F101" s="39">
        <v>1.5</v>
      </c>
      <c r="G101" s="9">
        <v>1</v>
      </c>
      <c r="H101" s="9"/>
      <c r="I101" s="9">
        <v>1</v>
      </c>
      <c r="J101" s="43">
        <f t="shared" si="7"/>
        <v>20000</v>
      </c>
    </row>
    <row r="102" spans="2:10" ht="16.5">
      <c r="B102" s="2">
        <v>99</v>
      </c>
      <c r="C102" s="35" t="s">
        <v>339</v>
      </c>
      <c r="D102" s="15" t="s">
        <v>172</v>
      </c>
      <c r="E102" s="39" t="s">
        <v>319</v>
      </c>
      <c r="F102" s="39">
        <v>1.5</v>
      </c>
      <c r="G102" s="9">
        <v>1</v>
      </c>
      <c r="H102" s="9"/>
      <c r="I102" s="9">
        <v>1</v>
      </c>
      <c r="J102" s="43">
        <f t="shared" si="7"/>
        <v>20000</v>
      </c>
    </row>
    <row r="103" spans="2:10" ht="16.5">
      <c r="B103" s="2">
        <v>100</v>
      </c>
      <c r="C103" s="35" t="s">
        <v>368</v>
      </c>
      <c r="D103" s="15" t="s">
        <v>172</v>
      </c>
      <c r="E103" s="39" t="s">
        <v>181</v>
      </c>
      <c r="F103" s="39">
        <v>1.5</v>
      </c>
      <c r="G103" s="9"/>
      <c r="H103" s="9"/>
      <c r="I103" s="9">
        <v>1</v>
      </c>
      <c r="J103" s="43">
        <f t="shared" si="7"/>
        <v>20000</v>
      </c>
    </row>
    <row r="104" spans="2:10" ht="16.5">
      <c r="B104" s="2">
        <v>101</v>
      </c>
      <c r="C104" s="35" t="s">
        <v>327</v>
      </c>
      <c r="D104" s="9" t="s">
        <v>183</v>
      </c>
      <c r="E104" s="39" t="s">
        <v>184</v>
      </c>
      <c r="F104" s="39">
        <v>2</v>
      </c>
      <c r="G104" s="9">
        <v>1</v>
      </c>
      <c r="H104" s="9">
        <v>1</v>
      </c>
      <c r="I104" s="9">
        <v>1</v>
      </c>
      <c r="J104" s="43">
        <f t="shared" si="7"/>
        <v>23000</v>
      </c>
    </row>
    <row r="105" spans="2:10" ht="16.5">
      <c r="B105" s="2">
        <v>102</v>
      </c>
      <c r="C105" s="35" t="s">
        <v>328</v>
      </c>
      <c r="D105" s="9" t="s">
        <v>183</v>
      </c>
      <c r="E105" s="39" t="s">
        <v>186</v>
      </c>
      <c r="F105" s="39">
        <v>2</v>
      </c>
      <c r="G105" s="9"/>
      <c r="H105" s="9">
        <v>3</v>
      </c>
      <c r="I105" s="9">
        <v>1</v>
      </c>
      <c r="J105" s="43">
        <f t="shared" si="7"/>
        <v>23000</v>
      </c>
    </row>
    <row r="106" spans="2:10" ht="16.5">
      <c r="B106" s="2">
        <v>103</v>
      </c>
      <c r="C106" s="35" t="s">
        <v>335</v>
      </c>
      <c r="D106" s="9" t="s">
        <v>183</v>
      </c>
      <c r="E106" s="39" t="s">
        <v>320</v>
      </c>
      <c r="F106" s="39">
        <v>2</v>
      </c>
      <c r="G106" s="9">
        <v>1</v>
      </c>
      <c r="H106" s="9">
        <v>1</v>
      </c>
      <c r="I106" s="9">
        <v>1</v>
      </c>
      <c r="J106" s="43">
        <f t="shared" si="7"/>
        <v>23000</v>
      </c>
    </row>
    <row r="107" spans="2:10" ht="16.5">
      <c r="B107" s="2">
        <v>104</v>
      </c>
      <c r="C107" s="35" t="s">
        <v>351</v>
      </c>
      <c r="D107" s="9" t="s">
        <v>183</v>
      </c>
      <c r="E107" s="39" t="s">
        <v>353</v>
      </c>
      <c r="F107" s="39">
        <v>2</v>
      </c>
      <c r="G107" s="9">
        <v>2</v>
      </c>
      <c r="H107" s="9"/>
      <c r="I107" s="9">
        <v>1</v>
      </c>
      <c r="J107" s="43">
        <f t="shared" si="7"/>
        <v>23000</v>
      </c>
    </row>
    <row r="108" spans="2:10" ht="16.5">
      <c r="B108" s="2">
        <v>105</v>
      </c>
      <c r="C108" s="35" t="s">
        <v>369</v>
      </c>
      <c r="D108" s="9" t="s">
        <v>183</v>
      </c>
      <c r="E108" s="39" t="s">
        <v>189</v>
      </c>
      <c r="F108" s="39">
        <v>3</v>
      </c>
      <c r="G108" s="9">
        <v>1</v>
      </c>
      <c r="H108" s="9">
        <v>2</v>
      </c>
      <c r="I108" s="9">
        <v>1</v>
      </c>
      <c r="J108" s="43">
        <f t="shared" si="7"/>
        <v>30000</v>
      </c>
    </row>
    <row r="109" spans="2:10" ht="16.5">
      <c r="B109" s="2">
        <v>106</v>
      </c>
      <c r="C109" s="35" t="s">
        <v>348</v>
      </c>
      <c r="D109" s="9" t="s">
        <v>183</v>
      </c>
      <c r="E109" s="39" t="s">
        <v>349</v>
      </c>
      <c r="F109" s="39">
        <v>2</v>
      </c>
      <c r="G109" s="9">
        <v>1</v>
      </c>
      <c r="H109" s="9">
        <v>1</v>
      </c>
      <c r="I109" s="9">
        <v>1</v>
      </c>
      <c r="J109" s="43">
        <f t="shared" si="7"/>
        <v>23000</v>
      </c>
    </row>
    <row r="110" spans="2:10" ht="16.5">
      <c r="B110" s="2">
        <v>107</v>
      </c>
      <c r="C110" s="9" t="s">
        <v>356</v>
      </c>
      <c r="D110" s="9" t="s">
        <v>183</v>
      </c>
      <c r="E110" s="39" t="s">
        <v>191</v>
      </c>
      <c r="F110" s="39">
        <v>3</v>
      </c>
      <c r="G110" s="9">
        <v>1</v>
      </c>
      <c r="H110" s="9">
        <v>2</v>
      </c>
      <c r="I110" s="9">
        <v>1</v>
      </c>
      <c r="J110" s="43">
        <f t="shared" si="7"/>
        <v>30000</v>
      </c>
    </row>
    <row r="111" spans="2:10" ht="16.5">
      <c r="B111" s="2">
        <v>108</v>
      </c>
      <c r="C111" s="9" t="s">
        <v>370</v>
      </c>
      <c r="D111" s="9" t="s">
        <v>183</v>
      </c>
      <c r="E111" s="39" t="s">
        <v>193</v>
      </c>
      <c r="F111" s="39">
        <v>3</v>
      </c>
      <c r="G111" s="9">
        <v>1</v>
      </c>
      <c r="H111" s="9">
        <v>2</v>
      </c>
      <c r="I111" s="9">
        <v>1</v>
      </c>
      <c r="J111" s="43">
        <f t="shared" si="7"/>
        <v>30000</v>
      </c>
    </row>
    <row r="112" spans="2:10" ht="16.5">
      <c r="B112" s="2">
        <v>109</v>
      </c>
      <c r="C112" s="9" t="s">
        <v>333</v>
      </c>
      <c r="D112" s="9" t="s">
        <v>183</v>
      </c>
      <c r="E112" s="39" t="s">
        <v>195</v>
      </c>
      <c r="F112" s="39">
        <v>2</v>
      </c>
      <c r="G112" s="9">
        <v>1</v>
      </c>
      <c r="H112" s="9">
        <v>1</v>
      </c>
      <c r="I112" s="9">
        <v>1</v>
      </c>
      <c r="J112" s="43">
        <f t="shared" si="7"/>
        <v>23000</v>
      </c>
    </row>
    <row r="113" spans="2:10" ht="16.5">
      <c r="B113" s="2">
        <v>110</v>
      </c>
      <c r="C113" s="9" t="s">
        <v>396</v>
      </c>
      <c r="D113" s="9" t="s">
        <v>394</v>
      </c>
      <c r="E113" s="39" t="s">
        <v>398</v>
      </c>
      <c r="F113" s="40">
        <v>2</v>
      </c>
      <c r="G113" s="9"/>
      <c r="I113" s="2">
        <v>1</v>
      </c>
      <c r="J113" s="43">
        <f t="shared" si="7"/>
        <v>23000</v>
      </c>
    </row>
    <row r="114" spans="2:10" ht="16.5">
      <c r="B114" s="2">
        <v>111</v>
      </c>
      <c r="C114" s="9" t="s">
        <v>397</v>
      </c>
      <c r="D114" s="9" t="s">
        <v>394</v>
      </c>
      <c r="E114" s="39" t="s">
        <v>399</v>
      </c>
      <c r="F114" s="40">
        <v>1</v>
      </c>
      <c r="G114" s="9"/>
      <c r="I114" s="2">
        <v>1</v>
      </c>
      <c r="J114" s="43">
        <f t="shared" si="7"/>
        <v>18000</v>
      </c>
    </row>
    <row r="115" spans="2:10" ht="16.5">
      <c r="B115" s="2">
        <v>112</v>
      </c>
      <c r="C115" s="9" t="s">
        <v>393</v>
      </c>
      <c r="D115" s="9" t="s">
        <v>394</v>
      </c>
      <c r="E115" s="39" t="s">
        <v>395</v>
      </c>
      <c r="F115" s="40">
        <v>1.5</v>
      </c>
      <c r="G115" s="9">
        <v>1</v>
      </c>
      <c r="I115" s="2">
        <v>1</v>
      </c>
      <c r="J115" s="43">
        <f t="shared" si="7"/>
        <v>20000</v>
      </c>
    </row>
    <row r="116" spans="2:10">
      <c r="B116" s="2"/>
    </row>
    <row r="117" spans="2:10">
      <c r="B117" s="2"/>
    </row>
    <row r="118" spans="2:10">
      <c r="B118" s="2"/>
    </row>
    <row r="119" spans="2:10">
      <c r="B119" s="2"/>
    </row>
    <row r="120" spans="2:10">
      <c r="B120" s="2"/>
    </row>
    <row r="121" spans="2:10">
      <c r="B121" s="2"/>
    </row>
    <row r="122" spans="2:10">
      <c r="B122" s="2"/>
    </row>
    <row r="123" spans="2:10">
      <c r="B123" s="2"/>
    </row>
    <row r="124" spans="2:10">
      <c r="B124" s="2"/>
    </row>
    <row r="125" spans="2:10">
      <c r="B125" s="2"/>
    </row>
    <row r="126" spans="2:10">
      <c r="B126" s="2"/>
    </row>
    <row r="127" spans="2:10">
      <c r="B127" s="2"/>
    </row>
    <row r="128" spans="2:10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10">
      <c r="B177" s="2"/>
    </row>
    <row r="178" spans="2:10">
      <c r="B178" s="2"/>
    </row>
    <row r="179" spans="2:10">
      <c r="B179" s="2"/>
    </row>
    <row r="180" spans="2:10">
      <c r="B180" s="2"/>
    </row>
    <row r="181" spans="2:10">
      <c r="B181" s="2"/>
    </row>
    <row r="182" spans="2:10">
      <c r="B182" s="2"/>
    </row>
    <row r="183" spans="2:10">
      <c r="B183" s="2"/>
    </row>
    <row r="184" spans="2:10">
      <c r="B184" s="2"/>
    </row>
    <row r="185" spans="2:10">
      <c r="B185" s="2"/>
    </row>
    <row r="186" spans="2:10">
      <c r="B186" s="2"/>
    </row>
    <row r="187" spans="2:10">
      <c r="B187" s="2"/>
    </row>
    <row r="188" spans="2:10">
      <c r="B188" s="2"/>
    </row>
    <row r="189" spans="2:10">
      <c r="B189" s="2"/>
      <c r="C189" s="2"/>
      <c r="D189" s="2"/>
      <c r="E189" s="5"/>
      <c r="F189" s="2"/>
      <c r="G189" s="2"/>
      <c r="H189" s="2"/>
      <c r="I189" s="2"/>
      <c r="J189" s="2"/>
    </row>
    <row r="190" spans="2:10">
      <c r="B190" s="2"/>
      <c r="C190" s="2"/>
      <c r="D190" s="2"/>
      <c r="E190" s="5"/>
      <c r="F190" s="2"/>
      <c r="G190" s="2"/>
      <c r="H190" s="2"/>
      <c r="I190" s="2"/>
      <c r="J190" s="2"/>
    </row>
    <row r="191" spans="2:10">
      <c r="B191" s="2"/>
      <c r="C191" s="2"/>
      <c r="D191" s="2"/>
      <c r="E191" s="5"/>
      <c r="F191" s="2"/>
      <c r="G191" s="2"/>
      <c r="H191" s="2"/>
      <c r="I191" s="2"/>
      <c r="J191" s="2"/>
    </row>
    <row r="192" spans="2:10">
      <c r="B192" s="2"/>
      <c r="C192" s="2"/>
      <c r="D192" s="2"/>
      <c r="E192" s="5"/>
      <c r="F192" s="2"/>
      <c r="G192" s="2"/>
      <c r="H192" s="2"/>
      <c r="I192" s="2"/>
      <c r="J192" s="2"/>
    </row>
    <row r="193" spans="2:10">
      <c r="B193" s="2"/>
      <c r="C193" s="2"/>
      <c r="D193" s="2"/>
      <c r="E193" s="5"/>
      <c r="F193" s="2"/>
      <c r="G193" s="2"/>
      <c r="H193" s="2"/>
      <c r="I193" s="2"/>
      <c r="J193" s="2"/>
    </row>
    <row r="194" spans="2:10">
      <c r="B194" s="2"/>
      <c r="C194" s="2"/>
      <c r="D194" s="2"/>
      <c r="E194" s="5"/>
      <c r="F194" s="2"/>
      <c r="G194" s="2"/>
      <c r="H194" s="2"/>
      <c r="I194" s="2"/>
      <c r="J194" s="2"/>
    </row>
    <row r="195" spans="2:10">
      <c r="B195" s="2"/>
      <c r="C195" s="2"/>
      <c r="D195" s="2"/>
      <c r="E195" s="5"/>
      <c r="F195" s="2"/>
      <c r="G195" s="2"/>
      <c r="H195" s="2"/>
      <c r="I195" s="2"/>
      <c r="J195" s="2"/>
    </row>
    <row r="196" spans="2:10">
      <c r="B196" s="2"/>
      <c r="C196" s="2"/>
      <c r="D196" s="2"/>
      <c r="E196" s="5"/>
      <c r="F196" s="2"/>
      <c r="G196" s="2"/>
      <c r="H196" s="2"/>
      <c r="I196" s="2"/>
      <c r="J196" s="2"/>
    </row>
    <row r="197" spans="2:10">
      <c r="B197" s="2"/>
      <c r="C197" s="2"/>
      <c r="D197" s="2"/>
      <c r="E197" s="5"/>
      <c r="F197" s="2"/>
      <c r="G197" s="2"/>
      <c r="H197" s="2"/>
      <c r="I197" s="2"/>
      <c r="J197" s="2"/>
    </row>
    <row r="198" spans="2:10">
      <c r="B198" s="2"/>
      <c r="C198" s="2"/>
      <c r="D198" s="2"/>
      <c r="E198" s="5"/>
      <c r="F198" s="2"/>
      <c r="G198" s="2"/>
      <c r="H198" s="2"/>
      <c r="I198" s="2"/>
      <c r="J198" s="2"/>
    </row>
    <row r="199" spans="2:10">
      <c r="B199" s="2"/>
      <c r="C199" s="2"/>
      <c r="D199" s="2"/>
      <c r="E199" s="5"/>
      <c r="F199" s="2"/>
      <c r="G199" s="2"/>
      <c r="H199" s="2"/>
      <c r="I199" s="2"/>
      <c r="J199" s="2"/>
    </row>
    <row r="200" spans="2:10">
      <c r="B200" s="2"/>
      <c r="C200" s="2"/>
      <c r="D200" s="2"/>
      <c r="E200" s="5"/>
      <c r="F200" s="2"/>
      <c r="G200" s="2"/>
      <c r="H200" s="2"/>
      <c r="I200" s="2"/>
      <c r="J200" s="2"/>
    </row>
    <row r="201" spans="2:10">
      <c r="B201" s="2"/>
      <c r="C201" s="2"/>
      <c r="D201" s="2"/>
      <c r="E201" s="5"/>
      <c r="F201" s="2"/>
      <c r="G201" s="2"/>
      <c r="H201" s="2"/>
      <c r="I201" s="2"/>
      <c r="J201" s="2"/>
    </row>
    <row r="202" spans="2:10">
      <c r="B202" s="2"/>
      <c r="C202" s="2"/>
      <c r="D202" s="2"/>
      <c r="E202" s="5"/>
      <c r="F202" s="2"/>
      <c r="G202" s="2"/>
      <c r="H202" s="2"/>
      <c r="I202" s="2"/>
      <c r="J202" s="2"/>
    </row>
    <row r="203" spans="2:10">
      <c r="B203" s="2"/>
      <c r="C203" s="2"/>
      <c r="D203" s="2"/>
      <c r="E203" s="5"/>
      <c r="F203" s="2"/>
      <c r="G203" s="2"/>
      <c r="H203" s="2"/>
      <c r="I203" s="2"/>
      <c r="J203" s="2"/>
    </row>
    <row r="204" spans="2:10">
      <c r="B204" s="2"/>
      <c r="C204" s="2"/>
      <c r="D204" s="2"/>
      <c r="E204" s="5"/>
      <c r="F204" s="2"/>
      <c r="G204" s="2"/>
      <c r="H204" s="2"/>
      <c r="I204" s="2"/>
      <c r="J204" s="2"/>
    </row>
    <row r="205" spans="2:10">
      <c r="B205" s="2"/>
      <c r="C205" s="2"/>
      <c r="D205" s="2"/>
      <c r="E205" s="5"/>
      <c r="F205" s="2"/>
      <c r="G205" s="2"/>
      <c r="H205" s="2"/>
      <c r="I205" s="2"/>
      <c r="J205" s="2"/>
    </row>
    <row r="206" spans="2:10">
      <c r="B206" s="2"/>
      <c r="C206" s="2"/>
      <c r="D206" s="2"/>
      <c r="E206" s="5"/>
      <c r="F206" s="2"/>
      <c r="G206" s="2"/>
      <c r="H206" s="2"/>
      <c r="I206" s="2"/>
      <c r="J206" s="2"/>
    </row>
    <row r="207" spans="2:10">
      <c r="B207" s="2"/>
      <c r="C207" s="2"/>
      <c r="D207" s="2"/>
      <c r="E207" s="5"/>
      <c r="F207" s="2"/>
      <c r="G207" s="2"/>
      <c r="H207" s="2"/>
      <c r="I207" s="2"/>
      <c r="J207" s="2"/>
    </row>
    <row r="208" spans="2:10">
      <c r="B208" s="2"/>
      <c r="C208" s="2"/>
      <c r="D208" s="2"/>
      <c r="E208" s="5"/>
      <c r="F208" s="2"/>
      <c r="G208" s="2"/>
      <c r="H208" s="2"/>
      <c r="I208" s="2"/>
      <c r="J208" s="2"/>
    </row>
    <row r="209" spans="2:10">
      <c r="B209" s="2"/>
      <c r="C209" s="2"/>
      <c r="D209" s="2"/>
      <c r="E209" s="5"/>
      <c r="F209" s="2"/>
      <c r="G209" s="2"/>
      <c r="H209" s="2"/>
      <c r="I209" s="2"/>
      <c r="J209" s="2"/>
    </row>
    <row r="210" spans="2:10">
      <c r="B210" s="2"/>
      <c r="C210" s="2"/>
      <c r="D210" s="2"/>
      <c r="E210" s="5"/>
      <c r="F210" s="2"/>
      <c r="G210" s="2"/>
      <c r="H210" s="2"/>
      <c r="I210" s="2"/>
      <c r="J210" s="2"/>
    </row>
    <row r="211" spans="2:10">
      <c r="B211" s="2"/>
      <c r="C211" s="2"/>
      <c r="D211" s="2"/>
      <c r="E211" s="5"/>
      <c r="F211" s="2"/>
      <c r="G211" s="2"/>
      <c r="H211" s="2"/>
      <c r="I211" s="2"/>
      <c r="J211" s="2"/>
    </row>
    <row r="212" spans="2:10">
      <c r="B212" s="2"/>
      <c r="C212" s="2"/>
      <c r="D212" s="2"/>
      <c r="E212" s="5"/>
      <c r="F212" s="2"/>
      <c r="G212" s="2"/>
      <c r="H212" s="2"/>
      <c r="I212" s="2"/>
      <c r="J212" s="2"/>
    </row>
    <row r="213" spans="2:10">
      <c r="B213" s="2"/>
      <c r="C213" s="2"/>
      <c r="D213" s="2"/>
      <c r="E213" s="5"/>
      <c r="F213" s="2"/>
      <c r="G213" s="2"/>
      <c r="H213" s="2"/>
      <c r="I213" s="2"/>
      <c r="J213" s="2"/>
    </row>
    <row r="214" spans="2:10">
      <c r="B214" s="2"/>
      <c r="C214" s="2"/>
      <c r="D214" s="2"/>
      <c r="E214" s="5"/>
      <c r="F214" s="2"/>
      <c r="G214" s="2"/>
      <c r="H214" s="2"/>
      <c r="I214" s="2"/>
      <c r="J214" s="2"/>
    </row>
    <row r="215" spans="2:10">
      <c r="B215" s="2"/>
      <c r="C215" s="2"/>
      <c r="D215" s="2"/>
      <c r="E215" s="5"/>
      <c r="F215" s="2"/>
      <c r="G215" s="2"/>
      <c r="H215" s="2"/>
      <c r="I215" s="2"/>
      <c r="J215" s="2"/>
    </row>
    <row r="216" spans="2:10">
      <c r="B216" s="2"/>
      <c r="C216" s="2"/>
      <c r="D216" s="2"/>
      <c r="E216" s="5"/>
      <c r="F216" s="2"/>
      <c r="G216" s="2"/>
      <c r="H216" s="2"/>
      <c r="I216" s="2"/>
      <c r="J216" s="2"/>
    </row>
    <row r="217" spans="2:10">
      <c r="B217" s="2"/>
      <c r="C217" s="2"/>
      <c r="D217" s="2"/>
      <c r="E217" s="5"/>
      <c r="F217" s="2"/>
      <c r="G217" s="2"/>
      <c r="H217" s="2"/>
      <c r="I217" s="2"/>
      <c r="J217" s="2"/>
    </row>
    <row r="218" spans="2:10">
      <c r="B218" s="2"/>
      <c r="C218" s="2"/>
      <c r="D218" s="2"/>
      <c r="E218" s="5"/>
      <c r="F218" s="2"/>
      <c r="G218" s="2"/>
      <c r="H218" s="2"/>
      <c r="I218" s="2"/>
      <c r="J218" s="2"/>
    </row>
    <row r="219" spans="2:10">
      <c r="B219" s="2"/>
      <c r="C219" s="2"/>
      <c r="D219" s="2"/>
      <c r="E219" s="5"/>
      <c r="F219" s="2"/>
      <c r="G219" s="2"/>
      <c r="H219" s="2"/>
      <c r="I219" s="2"/>
      <c r="J219" s="2"/>
    </row>
    <row r="220" spans="2:10">
      <c r="B220" s="2"/>
      <c r="C220" s="2"/>
      <c r="D220" s="2"/>
      <c r="E220" s="5"/>
      <c r="F220" s="2"/>
      <c r="G220" s="2"/>
      <c r="H220" s="2"/>
      <c r="I220" s="2"/>
      <c r="J220" s="2"/>
    </row>
    <row r="221" spans="2:10">
      <c r="B221" s="2"/>
      <c r="C221" s="2"/>
      <c r="D221" s="2"/>
      <c r="E221" s="5"/>
      <c r="F221" s="2"/>
      <c r="G221" s="2"/>
      <c r="H221" s="2"/>
      <c r="I221" s="2"/>
      <c r="J221" s="2"/>
    </row>
    <row r="222" spans="2:10">
      <c r="B222" s="2"/>
      <c r="C222" s="2"/>
      <c r="D222" s="2"/>
      <c r="E222" s="5"/>
      <c r="F222" s="2"/>
      <c r="G222" s="2"/>
      <c r="H222" s="2"/>
      <c r="I222" s="2"/>
      <c r="J222" s="2"/>
    </row>
    <row r="223" spans="2:10">
      <c r="B223" s="2"/>
      <c r="C223" s="2"/>
      <c r="D223" s="2"/>
      <c r="E223" s="5"/>
      <c r="F223" s="2"/>
      <c r="G223" s="2"/>
      <c r="H223" s="2"/>
      <c r="I223" s="2"/>
      <c r="J223" s="2"/>
    </row>
    <row r="224" spans="2:10">
      <c r="B224" s="2"/>
      <c r="C224" s="2"/>
      <c r="D224" s="2"/>
      <c r="E224" s="5"/>
      <c r="F224" s="2"/>
      <c r="G224" s="2"/>
      <c r="H224" s="2"/>
      <c r="I224" s="2"/>
      <c r="J224" s="2"/>
    </row>
    <row r="225" spans="2:10">
      <c r="B225" s="2"/>
      <c r="C225" s="2"/>
      <c r="D225" s="2"/>
      <c r="E225" s="5"/>
      <c r="F225" s="2"/>
      <c r="G225" s="2"/>
      <c r="H225" s="2"/>
      <c r="I225" s="2"/>
      <c r="J225" s="2"/>
    </row>
    <row r="226" spans="2:10">
      <c r="B226" s="2"/>
      <c r="C226" s="2"/>
      <c r="D226" s="2"/>
      <c r="E226" s="5"/>
      <c r="F226" s="2"/>
      <c r="G226" s="2"/>
      <c r="H226" s="2"/>
      <c r="I226" s="2"/>
      <c r="J226" s="2"/>
    </row>
    <row r="227" spans="2:10">
      <c r="B227" s="2"/>
      <c r="C227" s="2"/>
      <c r="D227" s="2"/>
      <c r="E227" s="5"/>
      <c r="F227" s="2"/>
      <c r="G227" s="2"/>
      <c r="H227" s="2"/>
      <c r="I227" s="2"/>
      <c r="J227" s="2"/>
    </row>
    <row r="228" spans="2:10">
      <c r="B228" s="2"/>
      <c r="C228" s="2"/>
      <c r="D228" s="2"/>
      <c r="E228" s="5"/>
      <c r="F228" s="2"/>
      <c r="G228" s="2"/>
      <c r="H228" s="2"/>
      <c r="I228" s="2"/>
      <c r="J228" s="2"/>
    </row>
    <row r="229" spans="2:10">
      <c r="B229" s="2"/>
      <c r="C229" s="2"/>
      <c r="D229" s="2"/>
      <c r="E229" s="5"/>
      <c r="F229" s="2"/>
      <c r="G229" s="2"/>
      <c r="H229" s="2"/>
      <c r="I229" s="2"/>
      <c r="J229" s="2"/>
    </row>
    <row r="230" spans="2:10">
      <c r="B230" s="2"/>
      <c r="C230" s="2"/>
      <c r="D230" s="2"/>
      <c r="E230" s="5"/>
      <c r="F230" s="2"/>
      <c r="G230" s="2"/>
      <c r="H230" s="2"/>
      <c r="I230" s="2"/>
      <c r="J230" s="2"/>
    </row>
    <row r="231" spans="2:10">
      <c r="B231" s="2"/>
      <c r="C231" s="2"/>
      <c r="D231" s="2"/>
      <c r="E231" s="5"/>
      <c r="F231" s="2"/>
      <c r="G231" s="2"/>
      <c r="H231" s="2"/>
      <c r="I231" s="2"/>
      <c r="J231" s="2"/>
    </row>
    <row r="232" spans="2:10">
      <c r="B232" s="2"/>
      <c r="C232" s="2"/>
      <c r="D232" s="2"/>
      <c r="E232" s="5"/>
      <c r="F232" s="2"/>
      <c r="G232" s="2"/>
      <c r="H232" s="2"/>
      <c r="I232" s="2"/>
      <c r="J232" s="2"/>
    </row>
    <row r="233" spans="2:10">
      <c r="B233" s="2"/>
      <c r="C233" s="2"/>
      <c r="D233" s="2"/>
      <c r="E233" s="5"/>
      <c r="F233" s="2"/>
      <c r="G233" s="2"/>
      <c r="H233" s="2"/>
      <c r="I233" s="2"/>
      <c r="J233" s="2"/>
    </row>
    <row r="234" spans="2:10">
      <c r="B234" s="2"/>
      <c r="C234" s="2"/>
      <c r="D234" s="2"/>
      <c r="E234" s="5"/>
      <c r="F234" s="2"/>
      <c r="G234" s="2"/>
      <c r="H234" s="2"/>
      <c r="I234" s="2"/>
      <c r="J234" s="2"/>
    </row>
    <row r="235" spans="2:10">
      <c r="B235" s="2"/>
      <c r="C235" s="2"/>
      <c r="D235" s="2"/>
      <c r="E235" s="5"/>
      <c r="F235" s="2"/>
      <c r="G235" s="2"/>
      <c r="H235" s="2"/>
      <c r="I235" s="2"/>
      <c r="J235" s="2"/>
    </row>
    <row r="236" spans="2:10">
      <c r="B236" s="2"/>
      <c r="C236" s="2"/>
      <c r="D236" s="2"/>
      <c r="E236" s="5"/>
      <c r="F236" s="2"/>
      <c r="G236" s="2"/>
      <c r="H236" s="2"/>
      <c r="I236" s="2"/>
      <c r="J236" s="2"/>
    </row>
    <row r="237" spans="2:10">
      <c r="B237" s="2"/>
      <c r="C237" s="2"/>
      <c r="D237" s="2"/>
      <c r="E237" s="5"/>
      <c r="F237" s="2"/>
      <c r="G237" s="2"/>
      <c r="H237" s="2"/>
      <c r="I237" s="2"/>
      <c r="J237" s="2"/>
    </row>
    <row r="238" spans="2:10">
      <c r="B238" s="2"/>
      <c r="C238" s="2"/>
      <c r="D238" s="2"/>
      <c r="E238" s="5"/>
      <c r="F238" s="2"/>
      <c r="G238" s="2"/>
      <c r="H238" s="2"/>
      <c r="I238" s="2"/>
      <c r="J238" s="2"/>
    </row>
    <row r="239" spans="2:10">
      <c r="B239" s="2"/>
      <c r="C239" s="2"/>
      <c r="D239" s="2"/>
      <c r="E239" s="5"/>
      <c r="F239" s="2"/>
      <c r="G239" s="2"/>
      <c r="H239" s="2"/>
      <c r="I239" s="2"/>
      <c r="J239" s="2"/>
    </row>
    <row r="240" spans="2:10">
      <c r="B240" s="2"/>
      <c r="C240" s="2"/>
      <c r="D240" s="2"/>
      <c r="E240" s="5"/>
      <c r="F240" s="2"/>
      <c r="G240" s="2"/>
      <c r="H240" s="2"/>
      <c r="I240" s="2"/>
      <c r="J240" s="2"/>
    </row>
    <row r="241" spans="2:10">
      <c r="B241" s="2"/>
      <c r="C241" s="2"/>
      <c r="D241" s="2"/>
      <c r="E241" s="5"/>
      <c r="F241" s="2"/>
      <c r="G241" s="2"/>
      <c r="H241" s="2"/>
      <c r="I241" s="2"/>
      <c r="J241" s="2"/>
    </row>
    <row r="242" spans="2:10">
      <c r="B242" s="2"/>
      <c r="C242" s="2"/>
      <c r="D242" s="2"/>
      <c r="E242" s="5"/>
      <c r="F242" s="2"/>
      <c r="G242" s="2"/>
      <c r="H242" s="2"/>
      <c r="I242" s="2"/>
      <c r="J242" s="2"/>
    </row>
    <row r="243" spans="2:10">
      <c r="B243" s="2"/>
      <c r="C243" s="2"/>
      <c r="D243" s="2"/>
      <c r="E243" s="5"/>
      <c r="F243" s="2"/>
      <c r="G243" s="2"/>
      <c r="H243" s="2"/>
      <c r="I243" s="2"/>
      <c r="J243" s="2"/>
    </row>
    <row r="244" spans="2:10">
      <c r="B244" s="2"/>
      <c r="C244" s="2"/>
      <c r="D244" s="2"/>
      <c r="E244" s="5"/>
      <c r="F244" s="2"/>
      <c r="G244" s="2"/>
      <c r="H244" s="2"/>
      <c r="I244" s="2"/>
      <c r="J244" s="2"/>
    </row>
    <row r="245" spans="2:10">
      <c r="B245" s="2"/>
      <c r="C245" s="2"/>
      <c r="D245" s="2"/>
      <c r="E245" s="5"/>
      <c r="F245" s="2"/>
      <c r="G245" s="2"/>
      <c r="H245" s="2"/>
      <c r="I245" s="2"/>
      <c r="J245" s="2"/>
    </row>
    <row r="246" spans="2:10">
      <c r="B246" s="2"/>
      <c r="C246" s="2"/>
      <c r="D246" s="2"/>
      <c r="E246" s="5"/>
      <c r="F246" s="2"/>
      <c r="G246" s="2"/>
      <c r="H246" s="2"/>
      <c r="I246" s="2"/>
      <c r="J246" s="2"/>
    </row>
    <row r="247" spans="2:10">
      <c r="B247" s="2"/>
      <c r="C247" s="2"/>
      <c r="D247" s="2"/>
      <c r="E247" s="5"/>
      <c r="F247" s="2"/>
      <c r="G247" s="2"/>
      <c r="H247" s="2"/>
      <c r="I247" s="2"/>
      <c r="J247" s="2"/>
    </row>
    <row r="248" spans="2:10">
      <c r="B248" s="2"/>
      <c r="C248" s="2"/>
      <c r="D248" s="2"/>
      <c r="E248" s="5"/>
      <c r="F248" s="2"/>
      <c r="G248" s="2"/>
      <c r="H248" s="2"/>
      <c r="I248" s="2"/>
      <c r="J248" s="2"/>
    </row>
    <row r="249" spans="2:10">
      <c r="B249" s="2"/>
      <c r="C249" s="2"/>
      <c r="D249" s="2"/>
      <c r="E249" s="5"/>
      <c r="F249" s="2"/>
      <c r="G249" s="2"/>
      <c r="H249" s="2"/>
      <c r="I249" s="2"/>
      <c r="J249" s="2"/>
    </row>
    <row r="250" spans="2:10">
      <c r="B250" s="2"/>
      <c r="C250" s="2"/>
      <c r="D250" s="2"/>
      <c r="E250" s="5"/>
      <c r="F250" s="2"/>
      <c r="G250" s="2"/>
      <c r="H250" s="2"/>
      <c r="I250" s="2"/>
      <c r="J250" s="2"/>
    </row>
    <row r="251" spans="2:10">
      <c r="B251" s="2"/>
      <c r="C251" s="2"/>
      <c r="D251" s="2"/>
      <c r="E251" s="5"/>
      <c r="F251" s="2"/>
      <c r="G251" s="2"/>
      <c r="H251" s="2"/>
      <c r="I251" s="2"/>
      <c r="J251" s="2"/>
    </row>
    <row r="252" spans="2:10">
      <c r="B252" s="2"/>
      <c r="C252" s="2"/>
      <c r="D252" s="2"/>
      <c r="E252" s="5"/>
      <c r="F252" s="2"/>
      <c r="G252" s="2"/>
      <c r="H252" s="2"/>
      <c r="I252" s="2"/>
      <c r="J252" s="2"/>
    </row>
    <row r="253" spans="2:10">
      <c r="B253" s="2"/>
      <c r="C253" s="2"/>
      <c r="D253" s="2"/>
      <c r="E253" s="5"/>
      <c r="F253" s="2"/>
      <c r="G253" s="2"/>
      <c r="H253" s="2"/>
      <c r="I253" s="2"/>
      <c r="J253" s="2"/>
    </row>
    <row r="254" spans="2:10">
      <c r="B254" s="2"/>
      <c r="C254" s="2"/>
      <c r="D254" s="2"/>
      <c r="E254" s="5"/>
      <c r="F254" s="2"/>
      <c r="G254" s="2"/>
      <c r="H254" s="2"/>
      <c r="I254" s="2"/>
      <c r="J254" s="2"/>
    </row>
    <row r="255" spans="2:10">
      <c r="B255" s="2"/>
      <c r="C255" s="2"/>
      <c r="D255" s="2"/>
      <c r="E255" s="5"/>
      <c r="F255" s="2"/>
      <c r="G255" s="2"/>
      <c r="H255" s="2"/>
      <c r="I255" s="2"/>
      <c r="J255" s="2"/>
    </row>
    <row r="256" spans="2:10">
      <c r="B256" s="2"/>
      <c r="C256" s="2"/>
      <c r="D256" s="2"/>
      <c r="E256" s="5"/>
      <c r="F256" s="2"/>
      <c r="G256" s="2"/>
      <c r="H256" s="2"/>
      <c r="I256" s="2"/>
      <c r="J256" s="2"/>
    </row>
    <row r="257" spans="2:10">
      <c r="B257" s="2"/>
      <c r="C257" s="2"/>
      <c r="D257" s="2"/>
      <c r="E257" s="5"/>
      <c r="F257" s="2"/>
      <c r="G257" s="2"/>
      <c r="H257" s="2"/>
      <c r="I257" s="2"/>
      <c r="J257" s="2"/>
    </row>
    <row r="258" spans="2:10">
      <c r="B258" s="2"/>
      <c r="C258" s="2"/>
      <c r="D258" s="2"/>
      <c r="E258" s="5"/>
      <c r="F258" s="2"/>
      <c r="G258" s="2"/>
      <c r="H258" s="2"/>
      <c r="I258" s="2"/>
      <c r="J258" s="2"/>
    </row>
    <row r="259" spans="2:10">
      <c r="B259" s="2"/>
      <c r="C259" s="2"/>
      <c r="D259" s="2"/>
      <c r="E259" s="5"/>
      <c r="F259" s="2"/>
      <c r="G259" s="2"/>
      <c r="H259" s="2"/>
      <c r="I259" s="2"/>
      <c r="J259" s="2"/>
    </row>
    <row r="260" spans="2:10">
      <c r="B260" s="2"/>
      <c r="C260" s="2"/>
      <c r="D260" s="2"/>
      <c r="E260" s="5"/>
      <c r="F260" s="2"/>
      <c r="G260" s="2"/>
      <c r="H260" s="2"/>
      <c r="I260" s="2"/>
      <c r="J260" s="2"/>
    </row>
    <row r="261" spans="2:10">
      <c r="B261" s="2"/>
      <c r="C261" s="2"/>
      <c r="D261" s="2"/>
      <c r="E261" s="5"/>
      <c r="F261" s="2"/>
      <c r="G261" s="2"/>
      <c r="H261" s="2"/>
      <c r="I261" s="2"/>
      <c r="J261" s="2"/>
    </row>
    <row r="262" spans="2:10">
      <c r="B262" s="2"/>
      <c r="C262" s="2"/>
      <c r="D262" s="2"/>
      <c r="E262" s="5"/>
      <c r="F262" s="2"/>
      <c r="G262" s="2"/>
      <c r="H262" s="2"/>
      <c r="I262" s="2"/>
      <c r="J262" s="2"/>
    </row>
    <row r="263" spans="2:10">
      <c r="B263" s="2"/>
      <c r="C263" s="2"/>
      <c r="D263" s="2"/>
      <c r="E263" s="5"/>
      <c r="F263" s="2"/>
      <c r="G263" s="2"/>
      <c r="H263" s="2"/>
      <c r="I263" s="2"/>
      <c r="J263" s="2"/>
    </row>
    <row r="264" spans="2:10">
      <c r="B264" s="2"/>
      <c r="C264" s="2"/>
      <c r="D264" s="2"/>
      <c r="E264" s="5"/>
      <c r="F264" s="2"/>
      <c r="G264" s="2"/>
      <c r="H264" s="2"/>
      <c r="I264" s="2"/>
      <c r="J264" s="2"/>
    </row>
    <row r="265" spans="2:10">
      <c r="B265" s="2"/>
      <c r="C265" s="2"/>
      <c r="D265" s="2"/>
      <c r="E265" s="5"/>
      <c r="F265" s="2"/>
      <c r="G265" s="2"/>
      <c r="H265" s="2"/>
      <c r="I265" s="2"/>
      <c r="J265" s="2"/>
    </row>
    <row r="266" spans="2:10">
      <c r="B266" s="2"/>
      <c r="C266" s="2"/>
      <c r="D266" s="2"/>
      <c r="E266" s="5"/>
      <c r="F266" s="2"/>
      <c r="G266" s="2"/>
      <c r="H266" s="2"/>
      <c r="I266" s="2"/>
      <c r="J266" s="2"/>
    </row>
    <row r="267" spans="2:10">
      <c r="B267" s="2"/>
      <c r="C267" s="2"/>
      <c r="D267" s="2"/>
      <c r="E267" s="5"/>
      <c r="F267" s="2"/>
      <c r="G267" s="2"/>
      <c r="H267" s="2"/>
      <c r="I267" s="2"/>
      <c r="J267" s="2"/>
    </row>
    <row r="268" spans="2:10">
      <c r="B268" s="2"/>
      <c r="C268" s="2"/>
      <c r="D268" s="2"/>
      <c r="E268" s="5"/>
      <c r="F268" s="2"/>
      <c r="G268" s="2"/>
      <c r="H268" s="2"/>
      <c r="I268" s="2"/>
      <c r="J268" s="2"/>
    </row>
    <row r="269" spans="2:10">
      <c r="B269" s="2"/>
      <c r="C269" s="2"/>
      <c r="D269" s="2"/>
      <c r="E269" s="5"/>
      <c r="F269" s="2"/>
      <c r="G269" s="2"/>
      <c r="H269" s="2"/>
      <c r="I269" s="2"/>
      <c r="J269" s="2"/>
    </row>
    <row r="270" spans="2:10">
      <c r="B270" s="2"/>
      <c r="C270" s="2"/>
      <c r="D270" s="2"/>
      <c r="E270" s="5"/>
      <c r="F270" s="2"/>
      <c r="G270" s="2"/>
      <c r="H270" s="2"/>
      <c r="I270" s="2"/>
      <c r="J270" s="2"/>
    </row>
    <row r="271" spans="2:10">
      <c r="B271" s="2"/>
      <c r="C271" s="2"/>
      <c r="D271" s="2"/>
      <c r="E271" s="5"/>
      <c r="F271" s="2"/>
      <c r="G271" s="2"/>
      <c r="H271" s="2"/>
      <c r="I271" s="2"/>
      <c r="J271" s="2"/>
    </row>
    <row r="272" spans="2:10">
      <c r="B272" s="2"/>
      <c r="C272" s="2"/>
      <c r="D272" s="2"/>
      <c r="E272" s="5"/>
      <c r="F272" s="2"/>
      <c r="G272" s="2"/>
      <c r="H272" s="2"/>
      <c r="I272" s="2"/>
      <c r="J272" s="2"/>
    </row>
    <row r="273" spans="2:10">
      <c r="B273" s="2"/>
      <c r="C273" s="2"/>
      <c r="D273" s="2"/>
      <c r="E273" s="5"/>
      <c r="F273" s="2"/>
      <c r="G273" s="2"/>
      <c r="H273" s="2"/>
      <c r="I273" s="2"/>
      <c r="J273" s="2"/>
    </row>
    <row r="274" spans="2:10">
      <c r="B274" s="2"/>
      <c r="C274" s="2"/>
      <c r="D274" s="2"/>
      <c r="E274" s="5"/>
      <c r="F274" s="2"/>
      <c r="G274" s="2"/>
      <c r="H274" s="2"/>
      <c r="I274" s="2"/>
      <c r="J274" s="2"/>
    </row>
    <row r="275" spans="2:10">
      <c r="B275" s="2"/>
      <c r="C275" s="2"/>
      <c r="D275" s="2"/>
      <c r="E275" s="5"/>
      <c r="F275" s="2"/>
      <c r="G275" s="2"/>
      <c r="H275" s="2"/>
      <c r="I275" s="2"/>
      <c r="J275" s="2"/>
    </row>
    <row r="276" spans="2:10">
      <c r="B276" s="2"/>
      <c r="C276" s="2"/>
      <c r="D276" s="2"/>
      <c r="E276" s="5"/>
      <c r="F276" s="2"/>
      <c r="G276" s="2"/>
      <c r="H276" s="2"/>
      <c r="I276" s="2"/>
      <c r="J276" s="2"/>
    </row>
    <row r="277" spans="2:10">
      <c r="B277" s="2"/>
      <c r="C277" s="2"/>
      <c r="D277" s="2"/>
      <c r="E277" s="5"/>
      <c r="F277" s="2"/>
      <c r="G277" s="2"/>
      <c r="H277" s="2"/>
      <c r="I277" s="2"/>
      <c r="J277" s="2"/>
    </row>
    <row r="278" spans="2:10">
      <c r="B278" s="2"/>
      <c r="C278" s="2"/>
      <c r="D278" s="2"/>
      <c r="E278" s="5"/>
      <c r="F278" s="2"/>
      <c r="G278" s="2"/>
      <c r="H278" s="2"/>
      <c r="I278" s="2"/>
      <c r="J278" s="2"/>
    </row>
    <row r="279" spans="2:10">
      <c r="B279" s="2"/>
      <c r="C279" s="2"/>
      <c r="D279" s="2"/>
      <c r="E279" s="5"/>
      <c r="F279" s="2"/>
      <c r="G279" s="2"/>
      <c r="H279" s="2"/>
      <c r="I279" s="2"/>
      <c r="J279" s="2"/>
    </row>
    <row r="280" spans="2:10">
      <c r="B280" s="2"/>
      <c r="C280" s="2"/>
      <c r="D280" s="2"/>
      <c r="E280" s="5"/>
      <c r="F280" s="2"/>
      <c r="G280" s="2"/>
      <c r="H280" s="2"/>
      <c r="I280" s="2"/>
      <c r="J280" s="2"/>
    </row>
    <row r="281" spans="2:10">
      <c r="B281" s="2"/>
      <c r="C281" s="2"/>
      <c r="D281" s="2"/>
      <c r="E281" s="5"/>
      <c r="F281" s="2"/>
      <c r="G281" s="2"/>
      <c r="H281" s="2"/>
      <c r="I281" s="2"/>
      <c r="J281" s="2"/>
    </row>
    <row r="282" spans="2:10">
      <c r="B282" s="2"/>
      <c r="C282" s="2"/>
      <c r="D282" s="2"/>
      <c r="E282" s="5"/>
      <c r="F282" s="2"/>
      <c r="G282" s="2"/>
      <c r="H282" s="2"/>
      <c r="I282" s="2"/>
      <c r="J282" s="2"/>
    </row>
    <row r="283" spans="2:10">
      <c r="B283" s="2"/>
      <c r="C283" s="2"/>
      <c r="D283" s="2"/>
      <c r="E283" s="5"/>
      <c r="F283" s="2"/>
      <c r="G283" s="2"/>
      <c r="H283" s="2"/>
      <c r="I283" s="2"/>
      <c r="J283" s="2"/>
    </row>
    <row r="284" spans="2:10">
      <c r="B284" s="2"/>
      <c r="C284" s="2"/>
      <c r="D284" s="2"/>
      <c r="E284" s="5"/>
      <c r="F284" s="2"/>
      <c r="G284" s="2"/>
      <c r="H284" s="2"/>
      <c r="I284" s="2"/>
      <c r="J284" s="2"/>
    </row>
    <row r="285" spans="2:10">
      <c r="B285" s="2"/>
      <c r="C285" s="2"/>
      <c r="D285" s="2"/>
      <c r="E285" s="5"/>
      <c r="F285" s="2"/>
      <c r="G285" s="2"/>
      <c r="H285" s="2"/>
      <c r="I285" s="2"/>
      <c r="J285" s="2"/>
    </row>
    <row r="286" spans="2:10">
      <c r="B286" s="2"/>
      <c r="C286" s="2"/>
      <c r="D286" s="2"/>
      <c r="E286" s="5"/>
      <c r="F286" s="2"/>
      <c r="G286" s="2"/>
      <c r="H286" s="2"/>
      <c r="I286" s="2"/>
      <c r="J286" s="2"/>
    </row>
    <row r="287" spans="2:10">
      <c r="B287" s="2"/>
      <c r="C287" s="2"/>
      <c r="D287" s="2"/>
      <c r="E287" s="5"/>
      <c r="F287" s="2"/>
      <c r="G287" s="2"/>
      <c r="H287" s="2"/>
      <c r="I287" s="2"/>
      <c r="J287" s="2"/>
    </row>
    <row r="288" spans="2:10">
      <c r="B288" s="2"/>
      <c r="C288" s="2"/>
      <c r="D288" s="2"/>
      <c r="E288" s="5"/>
      <c r="F288" s="2"/>
      <c r="G288" s="2"/>
      <c r="H288" s="2"/>
      <c r="I288" s="2"/>
      <c r="J288" s="2"/>
    </row>
    <row r="289" spans="2:10">
      <c r="B289" s="2"/>
      <c r="C289" s="2"/>
      <c r="D289" s="2"/>
      <c r="E289" s="5"/>
      <c r="F289" s="2"/>
      <c r="G289" s="2"/>
      <c r="H289" s="2"/>
      <c r="I289" s="2"/>
      <c r="J289" s="2"/>
    </row>
    <row r="290" spans="2:10">
      <c r="B290" s="2"/>
      <c r="C290" s="2"/>
      <c r="D290" s="2"/>
      <c r="E290" s="5"/>
      <c r="F290" s="2"/>
      <c r="G290" s="2"/>
      <c r="H290" s="2"/>
      <c r="I290" s="2"/>
      <c r="J290" s="2"/>
    </row>
    <row r="291" spans="2:10">
      <c r="B291" s="2"/>
      <c r="C291" s="2"/>
      <c r="D291" s="2"/>
      <c r="E291" s="5"/>
      <c r="F291" s="2"/>
      <c r="G291" s="2"/>
      <c r="H291" s="2"/>
      <c r="I291" s="2"/>
      <c r="J291" s="2"/>
    </row>
    <row r="292" spans="2:10">
      <c r="B292" s="2"/>
      <c r="C292" s="2"/>
      <c r="D292" s="2"/>
      <c r="E292" s="5"/>
      <c r="F292" s="2"/>
      <c r="G292" s="2"/>
      <c r="H292" s="2"/>
      <c r="I292" s="2"/>
      <c r="J292" s="2"/>
    </row>
    <row r="293" spans="2:10">
      <c r="B293" s="2"/>
      <c r="C293" s="2"/>
      <c r="D293" s="2"/>
      <c r="E293" s="5"/>
      <c r="F293" s="2"/>
      <c r="G293" s="2"/>
      <c r="H293" s="2"/>
      <c r="I293" s="2"/>
      <c r="J293" s="2"/>
    </row>
    <row r="294" spans="2:10">
      <c r="B294" s="2"/>
      <c r="C294" s="2"/>
      <c r="D294" s="2"/>
      <c r="E294" s="5"/>
      <c r="F294" s="2"/>
      <c r="G294" s="2"/>
      <c r="H294" s="2"/>
      <c r="I294" s="2"/>
      <c r="J294" s="2"/>
    </row>
    <row r="295" spans="2:10">
      <c r="B295" s="2"/>
      <c r="C295" s="2"/>
      <c r="D295" s="2"/>
      <c r="E295" s="5"/>
      <c r="F295" s="2"/>
      <c r="G295" s="2"/>
      <c r="H295" s="2"/>
      <c r="I295" s="2"/>
      <c r="J295" s="2"/>
    </row>
    <row r="296" spans="2:10">
      <c r="B296" s="2"/>
      <c r="C296" s="2"/>
      <c r="D296" s="2"/>
      <c r="E296" s="5"/>
      <c r="F296" s="2"/>
      <c r="G296" s="2"/>
      <c r="H296" s="2"/>
      <c r="I296" s="2"/>
      <c r="J296" s="2"/>
    </row>
    <row r="297" spans="2:10">
      <c r="B297" s="2"/>
      <c r="C297" s="2"/>
      <c r="D297" s="2"/>
      <c r="E297" s="5"/>
      <c r="F297" s="2"/>
      <c r="G297" s="2"/>
      <c r="H297" s="2"/>
      <c r="I297" s="2"/>
      <c r="J297" s="2"/>
    </row>
    <row r="298" spans="2:10">
      <c r="B298" s="2"/>
      <c r="C298" s="2"/>
      <c r="D298" s="2"/>
      <c r="E298" s="5"/>
      <c r="F298" s="2"/>
      <c r="G298" s="2"/>
      <c r="H298" s="2"/>
      <c r="I298" s="2"/>
      <c r="J298" s="2"/>
    </row>
    <row r="299" spans="2:10">
      <c r="B299" s="2"/>
      <c r="C299" s="2"/>
      <c r="D299" s="2"/>
      <c r="E299" s="5"/>
      <c r="F299" s="2"/>
      <c r="G299" s="2"/>
      <c r="H299" s="2"/>
      <c r="I299" s="2"/>
      <c r="J299" s="2"/>
    </row>
    <row r="300" spans="2:10">
      <c r="B300" s="2"/>
      <c r="C300" s="2"/>
      <c r="D300" s="2"/>
      <c r="E300" s="5"/>
      <c r="F300" s="2"/>
      <c r="G300" s="2"/>
      <c r="H300" s="2"/>
      <c r="I300" s="2"/>
      <c r="J300" s="2"/>
    </row>
    <row r="301" spans="2:10">
      <c r="B301" s="2"/>
      <c r="C301" s="2"/>
      <c r="D301" s="2"/>
      <c r="E301" s="5"/>
      <c r="F301" s="2"/>
      <c r="G301" s="2"/>
      <c r="H301" s="2"/>
      <c r="I301" s="2"/>
      <c r="J301" s="2"/>
    </row>
    <row r="302" spans="2:10">
      <c r="B302" s="2"/>
      <c r="C302" s="2"/>
      <c r="D302" s="2"/>
      <c r="E302" s="5"/>
      <c r="F302" s="2"/>
      <c r="G302" s="2"/>
      <c r="H302" s="2"/>
      <c r="I302" s="2"/>
      <c r="J302" s="2"/>
    </row>
    <row r="303" spans="2:10">
      <c r="B303" s="2"/>
      <c r="C303" s="2"/>
      <c r="D303" s="2"/>
      <c r="E303" s="5"/>
      <c r="F303" s="2"/>
      <c r="G303" s="2"/>
      <c r="H303" s="2"/>
      <c r="I303" s="2"/>
      <c r="J303" s="2"/>
    </row>
    <row r="304" spans="2:10">
      <c r="B304" s="2"/>
      <c r="C304" s="2"/>
      <c r="D304" s="2"/>
      <c r="E304" s="5"/>
      <c r="F304" s="2"/>
      <c r="G304" s="2"/>
      <c r="H304" s="2"/>
      <c r="I304" s="2"/>
      <c r="J304" s="2"/>
    </row>
    <row r="305" spans="2:10">
      <c r="B305" s="2"/>
      <c r="C305" s="2"/>
      <c r="D305" s="2"/>
      <c r="E305" s="5"/>
      <c r="F305" s="2"/>
      <c r="G305" s="2"/>
      <c r="H305" s="2"/>
      <c r="I305" s="2"/>
      <c r="J305" s="2"/>
    </row>
    <row r="306" spans="2:10">
      <c r="B306" s="2"/>
      <c r="C306" s="2"/>
      <c r="D306" s="2"/>
      <c r="E306" s="5"/>
      <c r="F306" s="2"/>
      <c r="G306" s="2"/>
      <c r="H306" s="2"/>
      <c r="I306" s="2"/>
      <c r="J306" s="2"/>
    </row>
    <row r="307" spans="2:10">
      <c r="B307" s="2"/>
      <c r="C307" s="2"/>
      <c r="D307" s="2"/>
      <c r="E307" s="5"/>
      <c r="F307" s="2"/>
      <c r="G307" s="2"/>
      <c r="H307" s="2"/>
      <c r="I307" s="2"/>
      <c r="J307" s="2"/>
    </row>
    <row r="308" spans="2:10">
      <c r="B308" s="2"/>
      <c r="C308" s="2"/>
      <c r="D308" s="2"/>
      <c r="E308" s="5"/>
      <c r="F308" s="2"/>
      <c r="G308" s="2"/>
      <c r="H308" s="2"/>
      <c r="I308" s="2"/>
      <c r="J308" s="2"/>
    </row>
    <row r="309" spans="2:10">
      <c r="B309" s="2"/>
      <c r="C309" s="2"/>
      <c r="D309" s="2"/>
      <c r="E309" s="5"/>
      <c r="F309" s="2"/>
      <c r="G309" s="2"/>
      <c r="H309" s="2"/>
      <c r="I309" s="2"/>
      <c r="J309" s="2"/>
    </row>
    <row r="310" spans="2:10">
      <c r="B310" s="2"/>
      <c r="C310" s="2"/>
      <c r="D310" s="2"/>
      <c r="E310" s="5"/>
      <c r="F310" s="2"/>
      <c r="G310" s="2"/>
      <c r="H310" s="2"/>
      <c r="I310" s="2"/>
      <c r="J310" s="2"/>
    </row>
    <row r="311" spans="2:10">
      <c r="B311" s="2"/>
      <c r="C311" s="2"/>
      <c r="D311" s="2"/>
      <c r="E311" s="5"/>
      <c r="F311" s="2"/>
      <c r="G311" s="2"/>
      <c r="H311" s="2"/>
      <c r="I311" s="2"/>
      <c r="J311" s="2"/>
    </row>
    <row r="312" spans="2:10">
      <c r="B312" s="2"/>
      <c r="C312" s="2"/>
      <c r="D312" s="2"/>
      <c r="E312" s="5"/>
      <c r="F312" s="2"/>
      <c r="G312" s="2"/>
      <c r="H312" s="2"/>
      <c r="I312" s="2"/>
      <c r="J312" s="2"/>
    </row>
    <row r="313" spans="2:10">
      <c r="B313" s="2"/>
      <c r="C313" s="2"/>
      <c r="D313" s="2"/>
      <c r="E313" s="5"/>
      <c r="F313" s="2"/>
      <c r="G313" s="2"/>
      <c r="H313" s="2"/>
      <c r="I313" s="2"/>
      <c r="J313" s="2"/>
    </row>
    <row r="314" spans="2:10">
      <c r="B314" s="2"/>
      <c r="C314" s="2"/>
      <c r="D314" s="2"/>
      <c r="E314" s="5"/>
      <c r="F314" s="2"/>
      <c r="G314" s="2"/>
      <c r="H314" s="2"/>
      <c r="I314" s="2"/>
      <c r="J314" s="2"/>
    </row>
    <row r="315" spans="2:10">
      <c r="B315" s="2"/>
      <c r="C315" s="2"/>
      <c r="D315" s="2"/>
      <c r="E315" s="5"/>
      <c r="F315" s="2"/>
      <c r="G315" s="2"/>
      <c r="H315" s="2"/>
      <c r="I315" s="2"/>
      <c r="J315" s="2"/>
    </row>
    <row r="316" spans="2:10">
      <c r="B316" s="2"/>
      <c r="C316" s="2"/>
      <c r="D316" s="2"/>
      <c r="E316" s="5"/>
      <c r="F316" s="2"/>
      <c r="G316" s="2"/>
      <c r="H316" s="2"/>
      <c r="I316" s="2"/>
      <c r="J316" s="2"/>
    </row>
    <row r="317" spans="2:10">
      <c r="B317" s="2"/>
      <c r="C317" s="2"/>
      <c r="D317" s="2"/>
      <c r="E317" s="5"/>
      <c r="F317" s="2"/>
      <c r="G317" s="2"/>
      <c r="H317" s="2"/>
      <c r="I317" s="2"/>
      <c r="J317" s="2"/>
    </row>
    <row r="318" spans="2:10">
      <c r="B318" s="2"/>
      <c r="C318" s="2"/>
      <c r="D318" s="2"/>
      <c r="E318" s="5"/>
      <c r="F318" s="2"/>
      <c r="G318" s="2"/>
      <c r="H318" s="2"/>
      <c r="I318" s="2"/>
      <c r="J318" s="2"/>
    </row>
    <row r="319" spans="2:10">
      <c r="B319" s="2"/>
      <c r="C319" s="2"/>
      <c r="D319" s="2"/>
      <c r="E319" s="5"/>
      <c r="F319" s="2"/>
      <c r="G319" s="2"/>
      <c r="H319" s="2"/>
      <c r="I319" s="2"/>
      <c r="J319" s="2"/>
    </row>
    <row r="320" spans="2:10">
      <c r="B320" s="2"/>
      <c r="C320" s="2"/>
      <c r="D320" s="2"/>
      <c r="E320" s="5"/>
      <c r="F320" s="2"/>
      <c r="G320" s="2"/>
      <c r="H320" s="2"/>
      <c r="I320" s="2"/>
      <c r="J320" s="2"/>
    </row>
    <row r="321" spans="2:10">
      <c r="B321" s="2"/>
      <c r="C321" s="2"/>
      <c r="D321" s="2"/>
      <c r="E321" s="5"/>
      <c r="F321" s="2"/>
      <c r="G321" s="2"/>
      <c r="H321" s="2"/>
      <c r="I321" s="2"/>
      <c r="J321" s="2"/>
    </row>
    <row r="322" spans="2:10">
      <c r="B322" s="2"/>
      <c r="C322" s="2"/>
      <c r="D322" s="2"/>
      <c r="E322" s="5"/>
      <c r="F322" s="2"/>
      <c r="G322" s="2"/>
      <c r="H322" s="2"/>
      <c r="I322" s="2"/>
      <c r="J322" s="2"/>
    </row>
    <row r="323" spans="2:10">
      <c r="B323" s="2"/>
      <c r="C323" s="2"/>
      <c r="D323" s="2"/>
      <c r="E323" s="5"/>
      <c r="F323" s="2"/>
      <c r="G323" s="2"/>
      <c r="H323" s="2"/>
      <c r="I323" s="2"/>
      <c r="J323" s="2"/>
    </row>
    <row r="324" spans="2:10">
      <c r="B324" s="2"/>
      <c r="C324" s="2"/>
      <c r="D324" s="2"/>
      <c r="E324" s="5"/>
      <c r="F324" s="2"/>
      <c r="G324" s="2"/>
      <c r="H324" s="2"/>
      <c r="I324" s="2"/>
      <c r="J324" s="2"/>
    </row>
    <row r="325" spans="2:10">
      <c r="B325" s="2"/>
      <c r="C325" s="2"/>
      <c r="D325" s="2"/>
      <c r="E325" s="5"/>
      <c r="F325" s="2"/>
      <c r="G325" s="2"/>
      <c r="H325" s="2"/>
      <c r="I325" s="2"/>
      <c r="J325" s="2"/>
    </row>
    <row r="326" spans="2:10">
      <c r="B326" s="2"/>
      <c r="C326" s="2"/>
      <c r="D326" s="2"/>
      <c r="E326" s="5"/>
      <c r="F326" s="2"/>
      <c r="G326" s="2"/>
      <c r="H326" s="2"/>
      <c r="I326" s="2"/>
      <c r="J326" s="2"/>
    </row>
    <row r="327" spans="2:10">
      <c r="B327" s="2"/>
      <c r="C327" s="2"/>
      <c r="D327" s="2"/>
      <c r="E327" s="5"/>
      <c r="F327" s="2"/>
      <c r="G327" s="2"/>
      <c r="H327" s="2"/>
      <c r="I327" s="2"/>
      <c r="J327" s="2"/>
    </row>
    <row r="328" spans="2:10">
      <c r="B328" s="2"/>
      <c r="C328" s="2"/>
      <c r="D328" s="2"/>
      <c r="E328" s="5"/>
      <c r="F328" s="2"/>
      <c r="G328" s="2"/>
      <c r="H328" s="2"/>
      <c r="I328" s="2"/>
      <c r="J328" s="2"/>
    </row>
    <row r="329" spans="2:10">
      <c r="B329" s="2"/>
      <c r="C329" s="2"/>
      <c r="D329" s="2"/>
      <c r="E329" s="5"/>
      <c r="F329" s="2"/>
      <c r="G329" s="2"/>
      <c r="H329" s="2"/>
      <c r="I329" s="2"/>
      <c r="J329" s="2"/>
    </row>
    <row r="330" spans="2:10">
      <c r="B330" s="2"/>
      <c r="C330" s="2"/>
      <c r="D330" s="2"/>
      <c r="E330" s="5"/>
      <c r="F330" s="2"/>
      <c r="G330" s="2"/>
      <c r="H330" s="2"/>
      <c r="I330" s="2"/>
      <c r="J330" s="2"/>
    </row>
    <row r="331" spans="2:10">
      <c r="B331" s="2"/>
      <c r="C331" s="2"/>
      <c r="D331" s="2"/>
      <c r="E331" s="5"/>
      <c r="F331" s="2"/>
      <c r="G331" s="2"/>
      <c r="H331" s="2"/>
      <c r="I331" s="2"/>
      <c r="J331" s="2"/>
    </row>
    <row r="332" spans="2:10">
      <c r="B332" s="2"/>
      <c r="C332" s="2"/>
      <c r="D332" s="2"/>
      <c r="E332" s="5"/>
      <c r="F332" s="2"/>
      <c r="G332" s="2"/>
      <c r="H332" s="2"/>
      <c r="I332" s="2"/>
      <c r="J332" s="2"/>
    </row>
    <row r="333" spans="2:10">
      <c r="B333" s="2"/>
      <c r="C333" s="2"/>
      <c r="D333" s="2"/>
      <c r="E333" s="5"/>
      <c r="F333" s="2"/>
      <c r="G333" s="2"/>
      <c r="H333" s="2"/>
      <c r="I333" s="2"/>
      <c r="J333" s="2"/>
    </row>
    <row r="334" spans="2:10">
      <c r="B334" s="2"/>
      <c r="C334" s="2"/>
      <c r="D334" s="2"/>
      <c r="E334" s="5"/>
      <c r="F334" s="2"/>
      <c r="G334" s="2"/>
      <c r="H334" s="2"/>
      <c r="I334" s="2"/>
      <c r="J334" s="2"/>
    </row>
    <row r="335" spans="2:10">
      <c r="B335" s="2"/>
      <c r="C335" s="2"/>
      <c r="D335" s="2"/>
      <c r="E335" s="5"/>
      <c r="F335" s="2"/>
      <c r="G335" s="2"/>
      <c r="H335" s="2"/>
      <c r="I335" s="2"/>
      <c r="J335" s="2"/>
    </row>
    <row r="336" spans="2:10">
      <c r="B336" s="2"/>
      <c r="C336" s="2"/>
      <c r="D336" s="2"/>
      <c r="E336" s="5"/>
      <c r="F336" s="2"/>
      <c r="G336" s="2"/>
      <c r="H336" s="2"/>
      <c r="I336" s="2"/>
      <c r="J336" s="2"/>
    </row>
    <row r="337" spans="2:10">
      <c r="B337" s="2"/>
      <c r="C337" s="2"/>
      <c r="D337" s="2"/>
      <c r="E337" s="5"/>
      <c r="F337" s="2"/>
      <c r="G337" s="2"/>
      <c r="H337" s="2"/>
      <c r="I337" s="2"/>
      <c r="J337" s="2"/>
    </row>
    <row r="338" spans="2:10">
      <c r="B338" s="2"/>
      <c r="C338" s="2"/>
      <c r="D338" s="2"/>
      <c r="E338" s="5"/>
      <c r="F338" s="2"/>
      <c r="G338" s="2"/>
      <c r="H338" s="2"/>
      <c r="I338" s="2"/>
      <c r="J338" s="2"/>
    </row>
    <row r="339" spans="2:10">
      <c r="B339" s="2"/>
      <c r="C339" s="2"/>
      <c r="D339" s="2"/>
      <c r="E339" s="5"/>
      <c r="F339" s="2"/>
      <c r="G339" s="2"/>
      <c r="H339" s="2"/>
      <c r="I339" s="2"/>
      <c r="J339" s="2"/>
    </row>
    <row r="340" spans="2:10">
      <c r="B340" s="2"/>
      <c r="C340" s="2"/>
      <c r="D340" s="2"/>
      <c r="E340" s="5"/>
      <c r="F340" s="2"/>
      <c r="G340" s="2"/>
      <c r="H340" s="2"/>
      <c r="I340" s="2"/>
      <c r="J340" s="2"/>
    </row>
    <row r="341" spans="2:10">
      <c r="B341" s="2"/>
      <c r="C341" s="2"/>
      <c r="D341" s="2"/>
      <c r="E341" s="5"/>
      <c r="F341" s="2"/>
      <c r="G341" s="2"/>
      <c r="H341" s="2"/>
      <c r="I341" s="2"/>
      <c r="J341" s="2"/>
    </row>
    <row r="342" spans="2:10">
      <c r="B342" s="2"/>
      <c r="C342" s="2"/>
      <c r="D342" s="2"/>
      <c r="E342" s="5"/>
      <c r="F342" s="2"/>
      <c r="G342" s="2"/>
      <c r="H342" s="2"/>
      <c r="I342" s="2"/>
      <c r="J342" s="2"/>
    </row>
    <row r="343" spans="2:10">
      <c r="B343" s="2"/>
      <c r="C343" s="2"/>
      <c r="D343" s="2"/>
      <c r="E343" s="5"/>
      <c r="F343" s="2"/>
      <c r="G343" s="2"/>
      <c r="H343" s="2"/>
      <c r="I343" s="2"/>
      <c r="J343" s="2"/>
    </row>
    <row r="344" spans="2:10">
      <c r="B344" s="2"/>
      <c r="C344" s="2"/>
      <c r="D344" s="2"/>
      <c r="E344" s="5"/>
      <c r="F344" s="2"/>
      <c r="G344" s="2"/>
      <c r="H344" s="2"/>
      <c r="I344" s="2"/>
      <c r="J344" s="2"/>
    </row>
    <row r="345" spans="2:10">
      <c r="B345" s="2"/>
      <c r="C345" s="2"/>
      <c r="D345" s="2"/>
      <c r="E345" s="5"/>
      <c r="F345" s="2"/>
      <c r="G345" s="2"/>
      <c r="H345" s="2"/>
      <c r="I345" s="2"/>
      <c r="J345" s="2"/>
    </row>
    <row r="346" spans="2:10">
      <c r="B346" s="2"/>
      <c r="C346" s="2"/>
      <c r="D346" s="2"/>
      <c r="E346" s="5"/>
      <c r="F346" s="2"/>
      <c r="G346" s="2"/>
      <c r="H346" s="2"/>
      <c r="I346" s="2"/>
      <c r="J346" s="2"/>
    </row>
    <row r="347" spans="2:10">
      <c r="B347" s="2"/>
      <c r="C347" s="2"/>
      <c r="D347" s="2"/>
      <c r="E347" s="5"/>
      <c r="F347" s="2"/>
      <c r="G347" s="2"/>
      <c r="H347" s="2"/>
      <c r="I347" s="2"/>
      <c r="J347" s="2"/>
    </row>
    <row r="348" spans="2:10">
      <c r="B348" s="2"/>
      <c r="C348" s="2"/>
      <c r="D348" s="2"/>
      <c r="E348" s="5"/>
      <c r="F348" s="2"/>
      <c r="G348" s="2"/>
      <c r="H348" s="2"/>
      <c r="I348" s="2"/>
      <c r="J348" s="2"/>
    </row>
    <row r="349" spans="2:10">
      <c r="B349" s="2"/>
      <c r="C349" s="2"/>
      <c r="D349" s="2"/>
      <c r="E349" s="5"/>
      <c r="F349" s="2"/>
      <c r="G349" s="2"/>
      <c r="H349" s="2"/>
      <c r="I349" s="2"/>
      <c r="J349" s="2"/>
    </row>
    <row r="350" spans="2:10">
      <c r="B350" s="2"/>
      <c r="C350" s="2"/>
      <c r="D350" s="2"/>
      <c r="E350" s="5"/>
      <c r="F350" s="2"/>
      <c r="G350" s="2"/>
      <c r="H350" s="2"/>
      <c r="I350" s="2"/>
      <c r="J350" s="2"/>
    </row>
    <row r="351" spans="2:10">
      <c r="B351" s="2"/>
      <c r="C351" s="2"/>
      <c r="D351" s="2"/>
      <c r="E351" s="5"/>
      <c r="F351" s="2"/>
      <c r="G351" s="2"/>
      <c r="H351" s="2"/>
      <c r="I351" s="2"/>
      <c r="J351" s="2"/>
    </row>
    <row r="352" spans="2:10">
      <c r="B352" s="2"/>
      <c r="C352" s="2"/>
      <c r="D352" s="2"/>
      <c r="E352" s="5"/>
      <c r="F352" s="2"/>
      <c r="G352" s="2"/>
      <c r="H352" s="2"/>
      <c r="I352" s="2"/>
      <c r="J352" s="2"/>
    </row>
    <row r="353" spans="2:10">
      <c r="B353" s="2"/>
      <c r="C353" s="2"/>
      <c r="D353" s="2"/>
      <c r="E353" s="5"/>
      <c r="F353" s="2"/>
      <c r="G353" s="2"/>
      <c r="H353" s="2"/>
      <c r="I353" s="2"/>
      <c r="J353" s="2"/>
    </row>
    <row r="354" spans="2:10">
      <c r="B354" s="2"/>
      <c r="C354" s="2"/>
      <c r="D354" s="2"/>
      <c r="E354" s="5"/>
      <c r="F354" s="2"/>
      <c r="G354" s="2"/>
      <c r="H354" s="2"/>
      <c r="I354" s="2"/>
      <c r="J354" s="2"/>
    </row>
    <row r="355" spans="2:10">
      <c r="B355" s="2"/>
      <c r="C355" s="2"/>
      <c r="D355" s="2"/>
      <c r="E355" s="5"/>
      <c r="F355" s="2"/>
      <c r="G355" s="2"/>
      <c r="H355" s="2"/>
      <c r="I355" s="2"/>
      <c r="J355" s="2"/>
    </row>
    <row r="356" spans="2:10">
      <c r="B356" s="2"/>
      <c r="C356" s="2"/>
      <c r="D356" s="2"/>
      <c r="E356" s="5"/>
      <c r="F356" s="2"/>
      <c r="G356" s="2"/>
      <c r="H356" s="2"/>
      <c r="I356" s="2"/>
      <c r="J356" s="2"/>
    </row>
    <row r="357" spans="2:10">
      <c r="B357" s="2"/>
      <c r="C357" s="2"/>
      <c r="D357" s="2"/>
      <c r="E357" s="5"/>
      <c r="F357" s="2"/>
      <c r="G357" s="2"/>
      <c r="H357" s="2"/>
      <c r="I357" s="2"/>
      <c r="J357" s="2"/>
    </row>
    <row r="358" spans="2:10">
      <c r="B358" s="2"/>
      <c r="C358" s="2"/>
      <c r="D358" s="2"/>
      <c r="E358" s="5"/>
      <c r="F358" s="2"/>
      <c r="G358" s="2"/>
      <c r="H358" s="2"/>
      <c r="I358" s="2"/>
      <c r="J358" s="2"/>
    </row>
    <row r="359" spans="2:10">
      <c r="B359" s="2"/>
      <c r="C359" s="2"/>
      <c r="D359" s="2"/>
      <c r="E359" s="5"/>
      <c r="F359" s="2"/>
      <c r="G359" s="2"/>
      <c r="H359" s="2"/>
      <c r="I359" s="2"/>
      <c r="J359" s="2"/>
    </row>
    <row r="360" spans="2:10">
      <c r="B360" s="2"/>
      <c r="C360" s="2"/>
      <c r="D360" s="2"/>
      <c r="E360" s="5"/>
      <c r="F360" s="2"/>
      <c r="G360" s="2"/>
      <c r="H360" s="2"/>
      <c r="I360" s="2"/>
      <c r="J360" s="2"/>
    </row>
    <row r="361" spans="2:10">
      <c r="B361" s="2"/>
      <c r="C361" s="2"/>
      <c r="D361" s="2"/>
      <c r="E361" s="5"/>
      <c r="F361" s="2"/>
      <c r="G361" s="2"/>
      <c r="H361" s="2"/>
      <c r="I361" s="2"/>
      <c r="J361" s="2"/>
    </row>
    <row r="362" spans="2:10">
      <c r="B362" s="2"/>
      <c r="C362" s="2"/>
      <c r="D362" s="2"/>
      <c r="E362" s="5"/>
      <c r="F362" s="2"/>
      <c r="G362" s="2"/>
      <c r="H362" s="2"/>
      <c r="I362" s="2"/>
      <c r="J362" s="2"/>
    </row>
    <row r="363" spans="2:10">
      <c r="B363" s="2"/>
      <c r="C363" s="2"/>
      <c r="D363" s="2"/>
      <c r="E363" s="5"/>
      <c r="F363" s="2"/>
      <c r="G363" s="2"/>
      <c r="H363" s="2"/>
      <c r="I363" s="2"/>
      <c r="J363" s="2"/>
    </row>
    <row r="364" spans="2:10">
      <c r="B364" s="2"/>
      <c r="C364" s="2"/>
      <c r="D364" s="2"/>
      <c r="E364" s="5"/>
      <c r="F364" s="2"/>
      <c r="G364" s="2"/>
      <c r="H364" s="2"/>
      <c r="I364" s="2"/>
      <c r="J364" s="2"/>
    </row>
    <row r="365" spans="2:10">
      <c r="B365" s="2"/>
      <c r="C365" s="2"/>
      <c r="D365" s="2"/>
      <c r="E365" s="5"/>
      <c r="F365" s="2"/>
      <c r="G365" s="2"/>
      <c r="H365" s="2"/>
      <c r="I365" s="2"/>
      <c r="J365" s="2"/>
    </row>
    <row r="366" spans="2:10">
      <c r="B366" s="2"/>
      <c r="C366" s="2"/>
      <c r="D366" s="2"/>
      <c r="E366" s="5"/>
      <c r="F366" s="2"/>
      <c r="G366" s="2"/>
      <c r="H366" s="2"/>
      <c r="I366" s="2"/>
      <c r="J366" s="2"/>
    </row>
    <row r="367" spans="2:10">
      <c r="B367" s="2"/>
      <c r="C367" s="2"/>
      <c r="D367" s="2"/>
      <c r="E367" s="5"/>
      <c r="F367" s="2"/>
      <c r="G367" s="2"/>
      <c r="H367" s="2"/>
      <c r="I367" s="2"/>
      <c r="J367" s="2"/>
    </row>
    <row r="368" spans="2:10">
      <c r="B368" s="2"/>
      <c r="C368" s="2"/>
      <c r="D368" s="2"/>
      <c r="E368" s="5"/>
      <c r="F368" s="2"/>
      <c r="G368" s="2"/>
      <c r="H368" s="2"/>
      <c r="I368" s="2"/>
      <c r="J368" s="2"/>
    </row>
    <row r="369" spans="2:10">
      <c r="B369" s="2"/>
      <c r="C369" s="2"/>
      <c r="D369" s="2"/>
      <c r="E369" s="5"/>
      <c r="F369" s="2"/>
      <c r="G369" s="2"/>
      <c r="H369" s="2"/>
      <c r="I369" s="2"/>
      <c r="J369" s="2"/>
    </row>
    <row r="370" spans="2:10">
      <c r="B370" s="2"/>
      <c r="C370" s="2"/>
      <c r="D370" s="2"/>
      <c r="E370" s="5"/>
      <c r="F370" s="2"/>
      <c r="G370" s="2"/>
      <c r="H370" s="2"/>
      <c r="I370" s="2"/>
      <c r="J370" s="2"/>
    </row>
    <row r="371" spans="2:10">
      <c r="B371" s="2"/>
      <c r="C371" s="2"/>
      <c r="D371" s="2"/>
      <c r="E371" s="5"/>
      <c r="F371" s="2"/>
      <c r="G371" s="2"/>
      <c r="H371" s="2"/>
      <c r="I371" s="2"/>
      <c r="J371" s="2"/>
    </row>
    <row r="372" spans="2:10">
      <c r="B372" s="2"/>
      <c r="C372" s="2"/>
      <c r="D372" s="2"/>
      <c r="E372" s="5"/>
      <c r="F372" s="2"/>
      <c r="G372" s="2"/>
      <c r="H372" s="2"/>
      <c r="I372" s="2"/>
      <c r="J372" s="2"/>
    </row>
    <row r="373" spans="2:10">
      <c r="B373" s="2"/>
      <c r="C373" s="2"/>
      <c r="D373" s="2"/>
      <c r="E373" s="5"/>
      <c r="F373" s="2"/>
      <c r="G373" s="2"/>
      <c r="H373" s="2"/>
      <c r="I373" s="2"/>
      <c r="J373" s="2"/>
    </row>
    <row r="374" spans="2:10">
      <c r="B374" s="2"/>
      <c r="C374" s="2"/>
      <c r="D374" s="2"/>
      <c r="E374" s="5"/>
      <c r="F374" s="2"/>
      <c r="G374" s="2"/>
      <c r="H374" s="2"/>
      <c r="I374" s="2"/>
      <c r="J374" s="2"/>
    </row>
    <row r="375" spans="2:10">
      <c r="B375" s="2"/>
      <c r="C375" s="2"/>
      <c r="D375" s="2"/>
      <c r="E375" s="5"/>
      <c r="F375" s="2"/>
      <c r="G375" s="2"/>
      <c r="H375" s="2"/>
      <c r="I375" s="2"/>
      <c r="J375" s="2"/>
    </row>
    <row r="376" spans="2:10">
      <c r="B376" s="2"/>
      <c r="C376" s="2"/>
      <c r="D376" s="2"/>
      <c r="E376" s="5"/>
      <c r="F376" s="2"/>
      <c r="G376" s="2"/>
      <c r="H376" s="2"/>
      <c r="I376" s="2"/>
      <c r="J376" s="2"/>
    </row>
    <row r="377" spans="2:10">
      <c r="B377" s="2"/>
      <c r="C377" s="2"/>
      <c r="D377" s="2"/>
      <c r="E377" s="5"/>
      <c r="F377" s="2"/>
      <c r="G377" s="2"/>
      <c r="H377" s="2"/>
      <c r="I377" s="2"/>
      <c r="J377" s="2"/>
    </row>
    <row r="378" spans="2:10">
      <c r="B378" s="2"/>
      <c r="C378" s="2"/>
      <c r="D378" s="2"/>
      <c r="E378" s="5"/>
      <c r="F378" s="2"/>
      <c r="G378" s="2"/>
      <c r="H378" s="2"/>
      <c r="I378" s="2"/>
      <c r="J378" s="2"/>
    </row>
    <row r="379" spans="2:10">
      <c r="B379" s="2"/>
      <c r="C379" s="2"/>
      <c r="D379" s="2"/>
      <c r="E379" s="5"/>
      <c r="F379" s="2"/>
      <c r="G379" s="2"/>
      <c r="H379" s="2"/>
      <c r="I379" s="2"/>
      <c r="J379" s="2"/>
    </row>
    <row r="380" spans="2:10">
      <c r="B380" s="2"/>
      <c r="C380" s="2"/>
      <c r="D380" s="2"/>
      <c r="E380" s="5"/>
      <c r="F380" s="2"/>
      <c r="G380" s="2"/>
      <c r="H380" s="2"/>
      <c r="I380" s="2"/>
      <c r="J380" s="2"/>
    </row>
    <row r="381" spans="2:10">
      <c r="B381" s="2"/>
      <c r="C381" s="2"/>
      <c r="D381" s="2"/>
      <c r="E381" s="5"/>
      <c r="F381" s="2"/>
      <c r="G381" s="2"/>
      <c r="H381" s="2"/>
      <c r="I381" s="2"/>
      <c r="J381" s="2"/>
    </row>
    <row r="382" spans="2:10">
      <c r="B382" s="2"/>
      <c r="C382" s="2"/>
      <c r="D382" s="2"/>
      <c r="E382" s="5"/>
      <c r="F382" s="2"/>
      <c r="G382" s="2"/>
      <c r="H382" s="2"/>
      <c r="I382" s="2"/>
      <c r="J382" s="2"/>
    </row>
    <row r="383" spans="2:10">
      <c r="B383" s="2"/>
      <c r="C383" s="2"/>
      <c r="D383" s="2"/>
      <c r="E383" s="5"/>
      <c r="F383" s="2"/>
      <c r="G383" s="2"/>
      <c r="H383" s="2"/>
      <c r="I383" s="2"/>
      <c r="J383" s="2"/>
    </row>
    <row r="384" spans="2:10">
      <c r="B384" s="2"/>
      <c r="C384" s="2"/>
      <c r="D384" s="2"/>
      <c r="E384" s="5"/>
      <c r="F384" s="2"/>
      <c r="G384" s="2"/>
      <c r="H384" s="2"/>
      <c r="I384" s="2"/>
      <c r="J384" s="2"/>
    </row>
    <row r="385" spans="2:10">
      <c r="B385" s="2"/>
      <c r="C385" s="2"/>
      <c r="D385" s="2"/>
      <c r="E385" s="5"/>
      <c r="F385" s="2"/>
      <c r="G385" s="2"/>
      <c r="H385" s="2"/>
      <c r="I385" s="2"/>
      <c r="J385" s="2"/>
    </row>
    <row r="386" spans="2:10">
      <c r="B386" s="2"/>
      <c r="C386" s="2"/>
      <c r="D386" s="2"/>
      <c r="E386" s="5"/>
      <c r="F386" s="2"/>
      <c r="G386" s="2"/>
      <c r="H386" s="2"/>
      <c r="I386" s="2"/>
      <c r="J386" s="2"/>
    </row>
    <row r="387" spans="2:10">
      <c r="B387" s="2"/>
      <c r="C387" s="2"/>
      <c r="D387" s="2"/>
      <c r="E387" s="5"/>
      <c r="F387" s="2"/>
      <c r="G387" s="2"/>
      <c r="H387" s="2"/>
      <c r="I387" s="2"/>
      <c r="J387" s="2"/>
    </row>
    <row r="388" spans="2:10">
      <c r="B388" s="2"/>
      <c r="C388" s="2"/>
      <c r="D388" s="2"/>
      <c r="E388" s="5"/>
      <c r="F388" s="2"/>
      <c r="G388" s="2"/>
      <c r="H388" s="2"/>
      <c r="I388" s="2"/>
      <c r="J388" s="2"/>
    </row>
    <row r="389" spans="2:10">
      <c r="B389" s="2"/>
      <c r="C389" s="2"/>
      <c r="D389" s="2"/>
      <c r="E389" s="5"/>
      <c r="F389" s="2"/>
      <c r="G389" s="2"/>
      <c r="H389" s="2"/>
      <c r="I389" s="2"/>
      <c r="J389" s="2"/>
    </row>
    <row r="390" spans="2:10">
      <c r="B390" s="2"/>
      <c r="C390" s="2"/>
      <c r="D390" s="2"/>
      <c r="E390" s="5"/>
      <c r="F390" s="2"/>
      <c r="G390" s="2"/>
      <c r="H390" s="2"/>
      <c r="I390" s="2"/>
      <c r="J390" s="2"/>
    </row>
    <row r="391" spans="2:10">
      <c r="B391" s="2"/>
      <c r="C391" s="2"/>
      <c r="D391" s="2"/>
      <c r="E391" s="5"/>
      <c r="F391" s="2"/>
      <c r="G391" s="2"/>
      <c r="H391" s="2"/>
      <c r="I391" s="2"/>
      <c r="J391" s="2"/>
    </row>
    <row r="392" spans="2:10">
      <c r="B392" s="2"/>
      <c r="C392" s="2"/>
      <c r="D392" s="2"/>
      <c r="E392" s="5"/>
      <c r="F392" s="2"/>
      <c r="G392" s="2"/>
      <c r="H392" s="2"/>
      <c r="I392" s="2"/>
      <c r="J392" s="2"/>
    </row>
    <row r="393" spans="2:10">
      <c r="B393" s="2"/>
      <c r="C393" s="2"/>
      <c r="D393" s="2"/>
      <c r="E393" s="5"/>
      <c r="F393" s="2"/>
      <c r="G393" s="2"/>
      <c r="H393" s="2"/>
      <c r="I393" s="2"/>
      <c r="J393" s="2"/>
    </row>
    <row r="394" spans="2:10">
      <c r="B394" s="2"/>
      <c r="C394" s="2"/>
      <c r="D394" s="2"/>
      <c r="E394" s="5"/>
      <c r="F394" s="2"/>
      <c r="G394" s="2"/>
      <c r="H394" s="2"/>
      <c r="I394" s="2"/>
      <c r="J394" s="2"/>
    </row>
    <row r="395" spans="2:10">
      <c r="B395" s="2"/>
      <c r="C395" s="2"/>
      <c r="D395" s="2"/>
      <c r="E395" s="5"/>
      <c r="F395" s="2"/>
      <c r="G395" s="2"/>
      <c r="H395" s="2"/>
      <c r="I395" s="2"/>
      <c r="J395" s="2"/>
    </row>
    <row r="396" spans="2:10">
      <c r="B396" s="2"/>
      <c r="C396" s="2"/>
      <c r="D396" s="2"/>
      <c r="E396" s="5"/>
      <c r="F396" s="2"/>
      <c r="G396" s="2"/>
      <c r="H396" s="2"/>
      <c r="I396" s="2"/>
      <c r="J396" s="2"/>
    </row>
    <row r="397" spans="2:10">
      <c r="B397" s="2"/>
      <c r="C397" s="2"/>
      <c r="D397" s="2"/>
      <c r="E397" s="5"/>
      <c r="F397" s="2"/>
      <c r="G397" s="2"/>
      <c r="H397" s="2"/>
      <c r="I397" s="2"/>
      <c r="J397" s="2"/>
    </row>
    <row r="398" spans="2:10">
      <c r="B398" s="2"/>
      <c r="C398" s="2"/>
      <c r="D398" s="2"/>
      <c r="E398" s="5"/>
      <c r="F398" s="2"/>
      <c r="G398" s="2"/>
      <c r="H398" s="2"/>
      <c r="I398" s="2"/>
      <c r="J398" s="2"/>
    </row>
    <row r="399" spans="2:10">
      <c r="B399" s="2"/>
      <c r="C399" s="2"/>
      <c r="D399" s="2"/>
      <c r="E399" s="5"/>
      <c r="F399" s="2"/>
      <c r="G399" s="2"/>
      <c r="H399" s="2"/>
      <c r="I399" s="2"/>
      <c r="J399" s="2"/>
    </row>
    <row r="400" spans="2:10">
      <c r="B400" s="2"/>
      <c r="C400" s="2"/>
      <c r="D400" s="2"/>
      <c r="E400" s="5"/>
      <c r="F400" s="2"/>
      <c r="G400" s="2"/>
      <c r="H400" s="2"/>
      <c r="I400" s="2"/>
      <c r="J400" s="2"/>
    </row>
    <row r="401" spans="2:10">
      <c r="B401" s="2"/>
      <c r="C401" s="2"/>
      <c r="D401" s="2"/>
      <c r="E401" s="5"/>
      <c r="F401" s="2"/>
      <c r="G401" s="2"/>
      <c r="H401" s="2"/>
      <c r="I401" s="2"/>
      <c r="J401" s="2"/>
    </row>
    <row r="402" spans="2:10">
      <c r="B402" s="2"/>
      <c r="C402" s="2"/>
      <c r="D402" s="2"/>
      <c r="E402" s="5"/>
      <c r="F402" s="2"/>
      <c r="G402" s="2"/>
      <c r="H402" s="2"/>
      <c r="I402" s="2"/>
      <c r="J402" s="2"/>
    </row>
    <row r="403" spans="2:10">
      <c r="B403" s="2"/>
      <c r="C403" s="2"/>
      <c r="D403" s="2"/>
      <c r="E403" s="5"/>
      <c r="F403" s="2"/>
      <c r="G403" s="2"/>
      <c r="H403" s="2"/>
      <c r="I403" s="2"/>
      <c r="J403" s="2"/>
    </row>
    <row r="404" spans="2:10">
      <c r="B404" s="2"/>
      <c r="C404" s="2"/>
      <c r="D404" s="2"/>
      <c r="E404" s="5"/>
      <c r="F404" s="2"/>
      <c r="G404" s="2"/>
      <c r="H404" s="2"/>
      <c r="I404" s="2"/>
      <c r="J404" s="2"/>
    </row>
    <row r="405" spans="2:10">
      <c r="B405" s="2"/>
      <c r="C405" s="2"/>
      <c r="D405" s="2"/>
      <c r="E405" s="5"/>
      <c r="F405" s="2"/>
      <c r="G405" s="2"/>
      <c r="H405" s="2"/>
      <c r="I405" s="2"/>
      <c r="J405" s="2"/>
    </row>
    <row r="406" spans="2:10">
      <c r="B406" s="2"/>
      <c r="C406" s="2"/>
      <c r="D406" s="2"/>
      <c r="E406" s="5"/>
      <c r="F406" s="2"/>
      <c r="G406" s="2"/>
      <c r="H406" s="2"/>
      <c r="I406" s="2"/>
      <c r="J406" s="2"/>
    </row>
    <row r="407" spans="2:10">
      <c r="B407" s="2"/>
      <c r="C407" s="2"/>
      <c r="D407" s="2"/>
      <c r="E407" s="5"/>
      <c r="F407" s="2"/>
      <c r="G407" s="2"/>
      <c r="H407" s="2"/>
      <c r="I407" s="2"/>
      <c r="J407" s="2"/>
    </row>
    <row r="408" spans="2:10">
      <c r="B408" s="2"/>
      <c r="C408" s="2"/>
      <c r="D408" s="2"/>
      <c r="E408" s="5"/>
      <c r="F408" s="2"/>
      <c r="G408" s="2"/>
      <c r="H408" s="2"/>
      <c r="I408" s="2"/>
      <c r="J408" s="2"/>
    </row>
    <row r="409" spans="2:10">
      <c r="B409" s="2"/>
      <c r="C409" s="2"/>
      <c r="D409" s="2"/>
      <c r="E409" s="5"/>
      <c r="F409" s="2"/>
      <c r="G409" s="2"/>
      <c r="H409" s="2"/>
      <c r="I409" s="2"/>
      <c r="J409" s="2"/>
    </row>
    <row r="410" spans="2:10">
      <c r="B410" s="2"/>
      <c r="C410" s="2"/>
      <c r="D410" s="2"/>
      <c r="E410" s="5"/>
      <c r="F410" s="2"/>
      <c r="G410" s="2"/>
      <c r="H410" s="2"/>
      <c r="I410" s="2"/>
      <c r="J410" s="2"/>
    </row>
    <row r="411" spans="2:10">
      <c r="B411" s="2"/>
      <c r="C411" s="2"/>
      <c r="D411" s="2"/>
      <c r="E411" s="5"/>
      <c r="F411" s="2"/>
      <c r="G411" s="2"/>
      <c r="H411" s="2"/>
      <c r="I411" s="2"/>
      <c r="J411" s="2"/>
    </row>
    <row r="412" spans="2:10">
      <c r="B412" s="2"/>
      <c r="C412" s="2"/>
      <c r="D412" s="2"/>
      <c r="E412" s="5"/>
      <c r="F412" s="2"/>
      <c r="G412" s="2"/>
      <c r="H412" s="2"/>
      <c r="I412" s="2"/>
      <c r="J412" s="2"/>
    </row>
    <row r="413" spans="2:10">
      <c r="B413" s="2"/>
      <c r="C413" s="2"/>
      <c r="D413" s="2"/>
      <c r="E413" s="5"/>
      <c r="F413" s="2"/>
      <c r="G413" s="2"/>
      <c r="H413" s="2"/>
      <c r="I413" s="2"/>
      <c r="J413" s="2"/>
    </row>
    <row r="414" spans="2:10">
      <c r="B414" s="2"/>
      <c r="C414" s="2"/>
      <c r="D414" s="2"/>
      <c r="E414" s="5"/>
      <c r="F414" s="2"/>
      <c r="G414" s="2"/>
      <c r="H414" s="2"/>
      <c r="I414" s="2"/>
      <c r="J414" s="2"/>
    </row>
    <row r="415" spans="2:10">
      <c r="B415" s="2"/>
      <c r="C415" s="2"/>
      <c r="D415" s="2"/>
      <c r="E415" s="5"/>
      <c r="F415" s="2"/>
      <c r="G415" s="2"/>
      <c r="H415" s="2"/>
      <c r="I415" s="2"/>
      <c r="J415" s="2"/>
    </row>
    <row r="416" spans="2:10">
      <c r="B416" s="2"/>
      <c r="C416" s="2"/>
      <c r="D416" s="2"/>
      <c r="E416" s="5"/>
      <c r="F416" s="2"/>
      <c r="G416" s="2"/>
      <c r="H416" s="2"/>
      <c r="I416" s="2"/>
      <c r="J416" s="2"/>
    </row>
    <row r="417" spans="2:10">
      <c r="B417" s="2"/>
      <c r="C417" s="2"/>
      <c r="D417" s="2"/>
      <c r="E417" s="5"/>
      <c r="F417" s="2"/>
      <c r="G417" s="2"/>
      <c r="H417" s="2"/>
      <c r="I417" s="2"/>
      <c r="J417" s="2"/>
    </row>
    <row r="418" spans="2:10">
      <c r="B418" s="2"/>
      <c r="C418" s="2"/>
      <c r="D418" s="2"/>
      <c r="E418" s="5"/>
      <c r="F418" s="2"/>
      <c r="G418" s="2"/>
      <c r="H418" s="2"/>
      <c r="I418" s="2"/>
      <c r="J418" s="2"/>
    </row>
    <row r="419" spans="2:10">
      <c r="B419" s="2"/>
      <c r="C419" s="2"/>
      <c r="D419" s="2"/>
      <c r="E419" s="5"/>
      <c r="F419" s="2"/>
      <c r="G419" s="2"/>
      <c r="H419" s="2"/>
      <c r="I419" s="2"/>
      <c r="J419" s="2"/>
    </row>
    <row r="420" spans="2:10">
      <c r="B420" s="2"/>
      <c r="C420" s="2"/>
      <c r="D420" s="2"/>
      <c r="E420" s="5"/>
      <c r="F420" s="2"/>
      <c r="G420" s="2"/>
      <c r="H420" s="2"/>
      <c r="I420" s="2"/>
      <c r="J420" s="2"/>
    </row>
    <row r="421" spans="2:10">
      <c r="B421" s="2"/>
      <c r="C421" s="2"/>
      <c r="D421" s="2"/>
      <c r="E421" s="5"/>
      <c r="F421" s="2"/>
      <c r="G421" s="2"/>
      <c r="H421" s="2"/>
      <c r="I421" s="2"/>
      <c r="J421" s="2"/>
    </row>
    <row r="422" spans="2:10">
      <c r="B422" s="2"/>
      <c r="C422" s="2"/>
      <c r="D422" s="2"/>
      <c r="E422" s="5"/>
      <c r="F422" s="2"/>
      <c r="G422" s="2"/>
      <c r="H422" s="2"/>
      <c r="I422" s="2"/>
      <c r="J422" s="2"/>
    </row>
    <row r="423" spans="2:10">
      <c r="B423" s="2"/>
      <c r="C423" s="2"/>
      <c r="D423" s="2"/>
      <c r="E423" s="5"/>
      <c r="F423" s="2"/>
      <c r="G423" s="2"/>
      <c r="H423" s="2"/>
      <c r="I423" s="2"/>
      <c r="J423" s="2"/>
    </row>
    <row r="424" spans="2:10">
      <c r="B424" s="2"/>
      <c r="C424" s="2"/>
      <c r="D424" s="2"/>
      <c r="E424" s="5"/>
      <c r="F424" s="2"/>
      <c r="G424" s="2"/>
      <c r="H424" s="2"/>
      <c r="I424" s="2"/>
      <c r="J424" s="2"/>
    </row>
    <row r="425" spans="2:10">
      <c r="B425" s="2"/>
      <c r="C425" s="2"/>
      <c r="D425" s="2"/>
      <c r="E425" s="5"/>
      <c r="F425" s="2"/>
      <c r="G425" s="2"/>
      <c r="H425" s="2"/>
      <c r="I425" s="2"/>
      <c r="J425" s="2"/>
    </row>
    <row r="426" spans="2:10">
      <c r="B426" s="2"/>
      <c r="C426" s="2"/>
      <c r="D426" s="2"/>
      <c r="E426" s="5"/>
      <c r="F426" s="2"/>
      <c r="G426" s="2"/>
      <c r="H426" s="2"/>
      <c r="I426" s="2"/>
      <c r="J426" s="2"/>
    </row>
    <row r="427" spans="2:10">
      <c r="B427" s="2"/>
      <c r="C427" s="2"/>
      <c r="D427" s="2"/>
      <c r="E427" s="5"/>
      <c r="F427" s="2"/>
      <c r="G427" s="2"/>
      <c r="H427" s="2"/>
      <c r="I427" s="2"/>
      <c r="J427" s="2"/>
    </row>
    <row r="428" spans="2:10">
      <c r="B428" s="2"/>
      <c r="C428" s="2"/>
      <c r="D428" s="2"/>
      <c r="E428" s="5"/>
      <c r="F428" s="2"/>
      <c r="G428" s="2"/>
      <c r="H428" s="2"/>
      <c r="I428" s="2"/>
      <c r="J428" s="2"/>
    </row>
    <row r="429" spans="2:10">
      <c r="B429" s="2"/>
      <c r="C429" s="2"/>
      <c r="D429" s="2"/>
      <c r="E429" s="5"/>
      <c r="F429" s="2"/>
      <c r="G429" s="2"/>
      <c r="H429" s="2"/>
      <c r="I429" s="2"/>
      <c r="J429" s="2"/>
    </row>
    <row r="430" spans="2:10">
      <c r="B430" s="2"/>
      <c r="C430" s="2"/>
      <c r="D430" s="2"/>
      <c r="E430" s="5"/>
      <c r="F430" s="2"/>
      <c r="G430" s="2"/>
      <c r="H430" s="2"/>
      <c r="I430" s="2"/>
      <c r="J430" s="2"/>
    </row>
    <row r="431" spans="2:10">
      <c r="B431" s="2"/>
      <c r="C431" s="2"/>
      <c r="D431" s="2"/>
      <c r="E431" s="5"/>
      <c r="F431" s="2"/>
      <c r="G431" s="2"/>
      <c r="H431" s="2"/>
      <c r="I431" s="2"/>
      <c r="J431" s="2"/>
    </row>
    <row r="432" spans="2:10">
      <c r="B432" s="2"/>
      <c r="C432" s="2"/>
      <c r="D432" s="2"/>
      <c r="E432" s="5"/>
      <c r="F432" s="2"/>
      <c r="G432" s="2"/>
      <c r="H432" s="2"/>
      <c r="I432" s="2"/>
      <c r="J432" s="2"/>
    </row>
    <row r="433" spans="2:10">
      <c r="B433" s="2"/>
      <c r="C433" s="2"/>
      <c r="D433" s="2"/>
      <c r="E433" s="5"/>
      <c r="F433" s="2"/>
      <c r="G433" s="2"/>
      <c r="H433" s="2"/>
      <c r="I433" s="2"/>
      <c r="J433" s="2"/>
    </row>
    <row r="434" spans="2:10">
      <c r="B434" s="2"/>
      <c r="C434" s="2"/>
      <c r="D434" s="2"/>
      <c r="E434" s="5"/>
      <c r="F434" s="2"/>
      <c r="G434" s="2"/>
      <c r="H434" s="2"/>
      <c r="I434" s="2"/>
      <c r="J434" s="2"/>
    </row>
    <row r="435" spans="2:10">
      <c r="B435" s="2"/>
      <c r="C435" s="2"/>
      <c r="D435" s="2"/>
      <c r="E435" s="5"/>
      <c r="F435" s="2"/>
      <c r="G435" s="2"/>
      <c r="H435" s="2"/>
      <c r="I435" s="2"/>
      <c r="J435" s="2"/>
    </row>
    <row r="436" spans="2:10">
      <c r="B436" s="2"/>
      <c r="C436" s="2"/>
      <c r="D436" s="2"/>
      <c r="E436" s="5"/>
      <c r="F436" s="2"/>
      <c r="G436" s="2"/>
      <c r="H436" s="2"/>
      <c r="I436" s="2"/>
      <c r="J436" s="2"/>
    </row>
    <row r="437" spans="2:10">
      <c r="B437" s="2"/>
      <c r="C437" s="2"/>
      <c r="D437" s="2"/>
      <c r="E437" s="5"/>
      <c r="F437" s="2"/>
      <c r="G437" s="2"/>
      <c r="H437" s="2"/>
      <c r="I437" s="2"/>
      <c r="J437" s="2"/>
    </row>
    <row r="438" spans="2:10">
      <c r="B438" s="2"/>
      <c r="C438" s="2"/>
      <c r="D438" s="2"/>
      <c r="E438" s="5"/>
      <c r="F438" s="2"/>
      <c r="G438" s="2"/>
      <c r="H438" s="2"/>
      <c r="I438" s="2"/>
      <c r="J438" s="2"/>
    </row>
    <row r="439" spans="2:10">
      <c r="B439" s="2"/>
      <c r="C439" s="2"/>
      <c r="D439" s="2"/>
      <c r="E439" s="5"/>
      <c r="F439" s="2"/>
      <c r="G439" s="2"/>
      <c r="H439" s="2"/>
      <c r="I439" s="2"/>
      <c r="J439" s="2"/>
    </row>
    <row r="440" spans="2:10">
      <c r="B440" s="2"/>
      <c r="C440" s="2"/>
      <c r="D440" s="2"/>
      <c r="E440" s="5"/>
      <c r="F440" s="2"/>
      <c r="G440" s="2"/>
      <c r="H440" s="2"/>
      <c r="I440" s="2"/>
      <c r="J440" s="2"/>
    </row>
    <row r="441" spans="2:10">
      <c r="B441" s="2"/>
      <c r="C441" s="2"/>
      <c r="D441" s="2"/>
      <c r="E441" s="5"/>
      <c r="F441" s="2"/>
      <c r="G441" s="2"/>
      <c r="H441" s="2"/>
      <c r="I441" s="2"/>
      <c r="J441" s="2"/>
    </row>
    <row r="442" spans="2:10">
      <c r="B442" s="2"/>
      <c r="C442" s="2"/>
      <c r="D442" s="2"/>
      <c r="E442" s="5"/>
      <c r="F442" s="2"/>
      <c r="G442" s="2"/>
      <c r="H442" s="2"/>
      <c r="I442" s="2"/>
      <c r="J442" s="2"/>
    </row>
    <row r="443" spans="2:10">
      <c r="B443" s="2"/>
      <c r="C443" s="2"/>
      <c r="D443" s="2"/>
      <c r="E443" s="5"/>
      <c r="F443" s="2"/>
      <c r="G443" s="2"/>
      <c r="H443" s="2"/>
      <c r="I443" s="2"/>
      <c r="J443" s="2"/>
    </row>
    <row r="444" spans="2:10">
      <c r="B444" s="2"/>
      <c r="C444" s="2"/>
      <c r="D444" s="2"/>
      <c r="E444" s="5"/>
      <c r="F444" s="2"/>
      <c r="G444" s="2"/>
      <c r="H444" s="2"/>
      <c r="I444" s="2"/>
      <c r="J444" s="2"/>
    </row>
    <row r="445" spans="2:10">
      <c r="B445" s="2"/>
      <c r="C445" s="2"/>
      <c r="D445" s="2"/>
      <c r="E445" s="5"/>
      <c r="F445" s="2"/>
      <c r="G445" s="2"/>
      <c r="H445" s="2"/>
      <c r="I445" s="2"/>
      <c r="J445" s="2"/>
    </row>
    <row r="446" spans="2:10">
      <c r="B446" s="2"/>
      <c r="C446" s="2"/>
      <c r="D446" s="2"/>
      <c r="E446" s="5"/>
      <c r="F446" s="2"/>
      <c r="G446" s="2"/>
      <c r="H446" s="2"/>
      <c r="I446" s="2"/>
      <c r="J446" s="2"/>
    </row>
    <row r="447" spans="2:10">
      <c r="B447" s="2"/>
      <c r="C447" s="2"/>
      <c r="D447" s="2"/>
      <c r="E447" s="5"/>
      <c r="F447" s="2"/>
      <c r="G447" s="2"/>
      <c r="H447" s="2"/>
      <c r="I447" s="2"/>
      <c r="J447" s="2"/>
    </row>
    <row r="448" spans="2:10">
      <c r="B448" s="2"/>
      <c r="C448" s="2"/>
      <c r="D448" s="2"/>
      <c r="E448" s="5"/>
      <c r="F448" s="2"/>
      <c r="G448" s="2"/>
      <c r="H448" s="2"/>
      <c r="I448" s="2"/>
      <c r="J448" s="2"/>
    </row>
    <row r="449" spans="2:10">
      <c r="B449" s="2"/>
      <c r="C449" s="2"/>
      <c r="D449" s="2"/>
      <c r="E449" s="5"/>
      <c r="F449" s="2"/>
      <c r="G449" s="2"/>
      <c r="H449" s="2"/>
      <c r="I449" s="2"/>
      <c r="J449" s="2"/>
    </row>
    <row r="450" spans="2:10">
      <c r="B450" s="2"/>
      <c r="C450" s="2"/>
      <c r="D450" s="2"/>
      <c r="E450" s="5"/>
      <c r="F450" s="2"/>
      <c r="G450" s="2"/>
      <c r="H450" s="2"/>
      <c r="I450" s="2"/>
      <c r="J450" s="2"/>
    </row>
    <row r="451" spans="2:10">
      <c r="B451" s="2"/>
      <c r="C451" s="2"/>
      <c r="D451" s="2"/>
      <c r="E451" s="5"/>
      <c r="F451" s="2"/>
      <c r="G451" s="2"/>
      <c r="H451" s="2"/>
      <c r="I451" s="2"/>
      <c r="J451" s="2"/>
    </row>
    <row r="452" spans="2:10">
      <c r="B452" s="2"/>
      <c r="C452" s="2"/>
      <c r="D452" s="2"/>
      <c r="E452" s="5"/>
      <c r="F452" s="2"/>
      <c r="G452" s="2"/>
      <c r="H452" s="2"/>
      <c r="I452" s="2"/>
      <c r="J452" s="2"/>
    </row>
    <row r="453" spans="2:10">
      <c r="B453" s="2"/>
      <c r="C453" s="2"/>
      <c r="D453" s="2"/>
      <c r="E453" s="5"/>
      <c r="F453" s="2"/>
      <c r="G453" s="2"/>
      <c r="H453" s="2"/>
      <c r="I453" s="2"/>
      <c r="J453" s="2"/>
    </row>
    <row r="454" spans="2:10">
      <c r="B454" s="2"/>
      <c r="C454" s="2"/>
      <c r="D454" s="2"/>
      <c r="E454" s="5"/>
      <c r="F454" s="2"/>
      <c r="G454" s="2"/>
      <c r="H454" s="2"/>
      <c r="I454" s="2"/>
      <c r="J454" s="2"/>
    </row>
    <row r="455" spans="2:10">
      <c r="B455" s="2"/>
      <c r="C455" s="2"/>
      <c r="D455" s="2"/>
      <c r="E455" s="5"/>
      <c r="F455" s="2"/>
      <c r="G455" s="2"/>
      <c r="H455" s="2"/>
      <c r="I455" s="2"/>
      <c r="J455" s="2"/>
    </row>
    <row r="456" spans="2:10">
      <c r="B456" s="2"/>
      <c r="C456" s="2"/>
      <c r="D456" s="2"/>
      <c r="E456" s="5"/>
      <c r="F456" s="2"/>
      <c r="G456" s="2"/>
      <c r="H456" s="2"/>
      <c r="I456" s="2"/>
      <c r="J456" s="2"/>
    </row>
    <row r="457" spans="2:10">
      <c r="B457" s="2"/>
      <c r="C457" s="2"/>
      <c r="D457" s="2"/>
      <c r="E457" s="5"/>
      <c r="F457" s="2"/>
      <c r="G457" s="2"/>
      <c r="H457" s="2"/>
      <c r="I457" s="2"/>
      <c r="J457" s="2"/>
    </row>
    <row r="458" spans="2:10">
      <c r="B458" s="2"/>
      <c r="C458" s="2"/>
      <c r="D458" s="2"/>
      <c r="E458" s="5"/>
      <c r="F458" s="2"/>
      <c r="G458" s="2"/>
      <c r="H458" s="2"/>
      <c r="I458" s="2"/>
      <c r="J458" s="2"/>
    </row>
    <row r="459" spans="2:10">
      <c r="B459" s="2"/>
      <c r="C459" s="2"/>
      <c r="D459" s="2"/>
      <c r="E459" s="5"/>
      <c r="F459" s="2"/>
      <c r="G459" s="2"/>
      <c r="H459" s="2"/>
      <c r="I459" s="2"/>
      <c r="J459" s="2"/>
    </row>
    <row r="460" spans="2:10">
      <c r="B460" s="2"/>
      <c r="C460" s="2"/>
      <c r="D460" s="2"/>
      <c r="E460" s="5"/>
      <c r="F460" s="2"/>
      <c r="G460" s="2"/>
      <c r="H460" s="2"/>
      <c r="I460" s="2"/>
      <c r="J460" s="2"/>
    </row>
    <row r="461" spans="2:10">
      <c r="B461" s="2"/>
      <c r="C461" s="2"/>
      <c r="D461" s="2"/>
      <c r="E461" s="5"/>
      <c r="F461" s="2"/>
      <c r="G461" s="2"/>
      <c r="H461" s="2"/>
      <c r="I461" s="2"/>
      <c r="J461" s="2"/>
    </row>
    <row r="462" spans="2:10">
      <c r="B462" s="2"/>
      <c r="C462" s="2"/>
      <c r="D462" s="2"/>
      <c r="E462" s="5"/>
      <c r="F462" s="2"/>
      <c r="G462" s="2"/>
      <c r="H462" s="2"/>
      <c r="I462" s="2"/>
      <c r="J462" s="2"/>
    </row>
    <row r="463" spans="2:10">
      <c r="B463" s="2"/>
      <c r="C463" s="2"/>
      <c r="D463" s="2"/>
      <c r="E463" s="5"/>
      <c r="F463" s="2"/>
      <c r="G463" s="2"/>
      <c r="H463" s="2"/>
      <c r="I463" s="2"/>
      <c r="J463" s="2"/>
    </row>
    <row r="464" spans="2:10">
      <c r="B464" s="2"/>
      <c r="C464" s="2"/>
      <c r="D464" s="2"/>
      <c r="E464" s="5"/>
      <c r="F464" s="2"/>
      <c r="G464" s="2"/>
      <c r="H464" s="2"/>
      <c r="I464" s="2"/>
      <c r="J464" s="2"/>
    </row>
    <row r="465" spans="2:10">
      <c r="B465" s="2"/>
      <c r="C465" s="2"/>
      <c r="D465" s="2"/>
      <c r="E465" s="5"/>
      <c r="F465" s="2"/>
      <c r="G465" s="2"/>
      <c r="H465" s="2"/>
      <c r="I465" s="2"/>
      <c r="J465" s="2"/>
    </row>
    <row r="466" spans="2:10">
      <c r="B466" s="2"/>
      <c r="C466" s="2"/>
      <c r="D466" s="2"/>
      <c r="E466" s="5"/>
      <c r="F466" s="2"/>
      <c r="G466" s="2"/>
      <c r="H466" s="2"/>
      <c r="I466" s="2"/>
      <c r="J466" s="2"/>
    </row>
    <row r="467" spans="2:10">
      <c r="B467" s="2"/>
      <c r="C467" s="2"/>
      <c r="D467" s="2"/>
      <c r="E467" s="5"/>
      <c r="F467" s="2"/>
      <c r="G467" s="2"/>
      <c r="H467" s="2"/>
      <c r="I467" s="2"/>
      <c r="J467" s="2"/>
    </row>
    <row r="468" spans="2:10">
      <c r="B468" s="2"/>
      <c r="C468" s="2"/>
      <c r="D468" s="2"/>
      <c r="E468" s="5"/>
      <c r="F468" s="2"/>
      <c r="G468" s="2"/>
      <c r="H468" s="2"/>
      <c r="I468" s="2"/>
      <c r="J468" s="2"/>
    </row>
    <row r="469" spans="2:10">
      <c r="B469" s="2"/>
      <c r="C469" s="2"/>
      <c r="D469" s="2"/>
      <c r="E469" s="5"/>
      <c r="F469" s="2"/>
      <c r="G469" s="2"/>
      <c r="H469" s="2"/>
      <c r="I469" s="2"/>
      <c r="J469" s="2"/>
    </row>
    <row r="470" spans="2:10">
      <c r="B470" s="2"/>
      <c r="C470" s="2"/>
      <c r="D470" s="2"/>
      <c r="E470" s="5"/>
      <c r="F470" s="2"/>
      <c r="G470" s="2"/>
      <c r="H470" s="2"/>
      <c r="I470" s="2"/>
      <c r="J470" s="2"/>
    </row>
    <row r="471" spans="2:10">
      <c r="B471" s="2"/>
      <c r="C471" s="2"/>
      <c r="D471" s="2"/>
      <c r="E471" s="5"/>
      <c r="F471" s="2"/>
      <c r="G471" s="2"/>
      <c r="H471" s="2"/>
      <c r="I471" s="2"/>
      <c r="J471" s="2"/>
    </row>
    <row r="472" spans="2:10">
      <c r="B472" s="2"/>
      <c r="C472" s="2"/>
      <c r="D472" s="2"/>
      <c r="E472" s="5"/>
      <c r="F472" s="2"/>
      <c r="G472" s="2"/>
      <c r="H472" s="2"/>
      <c r="I472" s="2"/>
      <c r="J472" s="2"/>
    </row>
    <row r="473" spans="2:10">
      <c r="B473" s="2"/>
      <c r="C473" s="2"/>
      <c r="D473" s="2"/>
      <c r="E473" s="5"/>
      <c r="F473" s="2"/>
      <c r="G473" s="2"/>
      <c r="H473" s="2"/>
      <c r="I473" s="2"/>
      <c r="J473" s="2"/>
    </row>
    <row r="474" spans="2:10">
      <c r="B474" s="2"/>
      <c r="C474" s="2"/>
      <c r="D474" s="2"/>
      <c r="E474" s="5"/>
      <c r="F474" s="2"/>
      <c r="G474" s="2"/>
      <c r="H474" s="2"/>
      <c r="I474" s="2"/>
      <c r="J474" s="2"/>
    </row>
    <row r="475" spans="2:10">
      <c r="B475" s="2"/>
      <c r="C475" s="2"/>
      <c r="D475" s="2"/>
      <c r="E475" s="5"/>
      <c r="F475" s="2"/>
      <c r="G475" s="2"/>
      <c r="H475" s="2"/>
      <c r="I475" s="2"/>
      <c r="J475" s="2"/>
    </row>
    <row r="476" spans="2:10">
      <c r="B476" s="2"/>
      <c r="C476" s="2"/>
      <c r="D476" s="2"/>
      <c r="E476" s="5"/>
      <c r="F476" s="2"/>
      <c r="G476" s="2"/>
      <c r="H476" s="2"/>
      <c r="I476" s="2"/>
      <c r="J476" s="2"/>
    </row>
    <row r="477" spans="2:10">
      <c r="B477" s="2"/>
      <c r="C477" s="2"/>
      <c r="D477" s="2"/>
      <c r="E477" s="5"/>
      <c r="F477" s="2"/>
      <c r="G477" s="2"/>
      <c r="H477" s="2"/>
      <c r="I477" s="2"/>
      <c r="J477" s="2"/>
    </row>
    <row r="478" spans="2:10">
      <c r="B478" s="2"/>
      <c r="C478" s="2"/>
      <c r="D478" s="2"/>
      <c r="E478" s="5"/>
      <c r="F478" s="2"/>
      <c r="G478" s="2"/>
      <c r="H478" s="2"/>
      <c r="I478" s="2"/>
      <c r="J478" s="2"/>
    </row>
    <row r="479" spans="2:10">
      <c r="B479" s="2"/>
      <c r="C479" s="2"/>
      <c r="D479" s="2"/>
      <c r="E479" s="5"/>
      <c r="F479" s="2"/>
      <c r="G479" s="2"/>
      <c r="H479" s="2"/>
      <c r="I479" s="2"/>
      <c r="J479" s="2"/>
    </row>
    <row r="480" spans="2:10">
      <c r="B480" s="2"/>
      <c r="C480" s="2"/>
      <c r="D480" s="2"/>
      <c r="E480" s="5"/>
      <c r="F480" s="2"/>
      <c r="G480" s="2"/>
      <c r="H480" s="2"/>
      <c r="I480" s="2"/>
      <c r="J480" s="2"/>
    </row>
    <row r="481" spans="2:10">
      <c r="B481" s="2"/>
      <c r="C481" s="2"/>
      <c r="D481" s="2"/>
      <c r="E481" s="5"/>
      <c r="F481" s="2"/>
      <c r="G481" s="2"/>
      <c r="H481" s="2"/>
      <c r="I481" s="2"/>
      <c r="J481" s="2"/>
    </row>
    <row r="482" spans="2:10">
      <c r="B482" s="2"/>
      <c r="C482" s="2"/>
      <c r="D482" s="2"/>
      <c r="E482" s="5"/>
      <c r="F482" s="2"/>
      <c r="G482" s="2"/>
      <c r="H482" s="2"/>
      <c r="I482" s="2"/>
      <c r="J482" s="2"/>
    </row>
    <row r="483" spans="2:10">
      <c r="B483" s="2"/>
      <c r="C483" s="2"/>
      <c r="D483" s="2"/>
      <c r="E483" s="5"/>
      <c r="F483" s="2"/>
      <c r="G483" s="2"/>
      <c r="H483" s="2"/>
      <c r="I483" s="2"/>
      <c r="J483" s="2"/>
    </row>
    <row r="484" spans="2:10">
      <c r="B484" s="2"/>
      <c r="C484" s="2"/>
      <c r="D484" s="2"/>
      <c r="E484" s="5"/>
      <c r="F484" s="2"/>
      <c r="G484" s="2"/>
      <c r="H484" s="2"/>
      <c r="I484" s="2"/>
      <c r="J484" s="2"/>
    </row>
    <row r="485" spans="2:10">
      <c r="B485" s="2"/>
      <c r="C485" s="2"/>
      <c r="D485" s="2"/>
      <c r="E485" s="5"/>
      <c r="F485" s="2"/>
      <c r="G485" s="2"/>
      <c r="H485" s="2"/>
      <c r="I485" s="2"/>
      <c r="J485" s="2"/>
    </row>
    <row r="486" spans="2:10">
      <c r="B486" s="2"/>
      <c r="C486" s="2"/>
      <c r="D486" s="2"/>
      <c r="E486" s="5"/>
      <c r="F486" s="2"/>
      <c r="G486" s="2"/>
      <c r="H486" s="2"/>
      <c r="I486" s="2"/>
      <c r="J486" s="2"/>
    </row>
    <row r="487" spans="2:10">
      <c r="B487" s="2"/>
      <c r="C487" s="2"/>
      <c r="D487" s="2"/>
      <c r="E487" s="5"/>
      <c r="F487" s="2"/>
      <c r="G487" s="2"/>
      <c r="H487" s="2"/>
      <c r="I487" s="2"/>
      <c r="J487" s="2"/>
    </row>
    <row r="488" spans="2:10">
      <c r="B488" s="2"/>
      <c r="C488" s="2"/>
      <c r="D488" s="2"/>
      <c r="E488" s="5"/>
      <c r="F488" s="2"/>
      <c r="G488" s="2"/>
      <c r="H488" s="2"/>
      <c r="I488" s="2"/>
      <c r="J488" s="2"/>
    </row>
    <row r="489" spans="2:10">
      <c r="B489" s="2"/>
      <c r="C489" s="2"/>
      <c r="D489" s="2"/>
      <c r="E489" s="5"/>
      <c r="F489" s="2"/>
      <c r="G489" s="2"/>
      <c r="H489" s="2"/>
      <c r="I489" s="2"/>
      <c r="J489" s="2"/>
    </row>
    <row r="490" spans="2:10">
      <c r="B490" s="2"/>
      <c r="C490" s="2"/>
      <c r="D490" s="2"/>
      <c r="E490" s="5"/>
      <c r="F490" s="2"/>
      <c r="G490" s="2"/>
      <c r="H490" s="2"/>
      <c r="I490" s="2"/>
      <c r="J490" s="2"/>
    </row>
    <row r="491" spans="2:10">
      <c r="B491" s="2"/>
      <c r="C491" s="2"/>
      <c r="D491" s="2"/>
      <c r="E491" s="5"/>
      <c r="F491" s="2"/>
      <c r="G491" s="2"/>
      <c r="H491" s="2"/>
      <c r="I491" s="2"/>
      <c r="J491" s="2"/>
    </row>
    <row r="492" spans="2:10">
      <c r="B492" s="2"/>
      <c r="C492" s="2"/>
      <c r="D492" s="2"/>
      <c r="E492" s="5"/>
      <c r="F492" s="2"/>
      <c r="G492" s="2"/>
      <c r="H492" s="2"/>
      <c r="I492" s="2"/>
      <c r="J492" s="2"/>
    </row>
    <row r="493" spans="2:10">
      <c r="B493" s="2"/>
      <c r="C493" s="2"/>
      <c r="D493" s="2"/>
      <c r="E493" s="5"/>
      <c r="F493" s="2"/>
      <c r="G493" s="2"/>
      <c r="H493" s="2"/>
      <c r="I493" s="2"/>
      <c r="J493" s="2"/>
    </row>
    <row r="494" spans="2:10">
      <c r="B494" s="2"/>
      <c r="C494" s="2"/>
      <c r="D494" s="2"/>
      <c r="E494" s="5"/>
      <c r="F494" s="2"/>
      <c r="G494" s="2"/>
      <c r="H494" s="2"/>
      <c r="I494" s="2"/>
      <c r="J494" s="2"/>
    </row>
    <row r="495" spans="2:10">
      <c r="B495" s="2"/>
      <c r="C495" s="2"/>
      <c r="D495" s="2"/>
      <c r="E495" s="5"/>
      <c r="F495" s="2"/>
      <c r="G495" s="2"/>
      <c r="H495" s="2"/>
      <c r="I495" s="2"/>
      <c r="J495" s="2"/>
    </row>
    <row r="496" spans="2:10">
      <c r="B496" s="2"/>
      <c r="C496" s="2"/>
      <c r="D496" s="2"/>
      <c r="E496" s="5"/>
      <c r="F496" s="2"/>
      <c r="G496" s="2"/>
      <c r="H496" s="2"/>
      <c r="I496" s="2"/>
      <c r="J496" s="2"/>
    </row>
    <row r="497" spans="2:10">
      <c r="B497" s="2"/>
      <c r="C497" s="2"/>
      <c r="D497" s="2"/>
      <c r="E497" s="5"/>
      <c r="F497" s="2"/>
      <c r="G497" s="2"/>
      <c r="H497" s="2"/>
      <c r="I497" s="2"/>
      <c r="J497" s="2"/>
    </row>
    <row r="498" spans="2:10">
      <c r="B498" s="2"/>
      <c r="C498" s="2"/>
      <c r="D498" s="2"/>
      <c r="E498" s="5"/>
      <c r="F498" s="2"/>
      <c r="G498" s="2"/>
      <c r="H498" s="2"/>
      <c r="I498" s="2"/>
      <c r="J498" s="2"/>
    </row>
    <row r="499" spans="2:10">
      <c r="B499" s="2"/>
      <c r="C499" s="2"/>
      <c r="D499" s="2"/>
      <c r="E499" s="5"/>
      <c r="F499" s="2"/>
      <c r="G499" s="2"/>
      <c r="H499" s="2"/>
      <c r="I499" s="2"/>
      <c r="J499" s="2"/>
    </row>
    <row r="500" spans="2:10">
      <c r="B500" s="2"/>
      <c r="C500" s="2"/>
      <c r="D500" s="2"/>
      <c r="E500" s="5"/>
      <c r="F500" s="2"/>
      <c r="G500" s="2"/>
      <c r="H500" s="2"/>
      <c r="I500" s="2"/>
      <c r="J500" s="2"/>
    </row>
    <row r="501" spans="2:10">
      <c r="B501" s="2"/>
      <c r="C501" s="2"/>
      <c r="D501" s="2"/>
      <c r="E501" s="5"/>
      <c r="F501" s="2"/>
      <c r="G501" s="2"/>
      <c r="H501" s="2"/>
      <c r="I501" s="2"/>
      <c r="J501" s="2"/>
    </row>
    <row r="502" spans="2:10">
      <c r="B502" s="2"/>
      <c r="C502" s="2"/>
      <c r="D502" s="2"/>
      <c r="E502" s="5"/>
      <c r="F502" s="2"/>
      <c r="G502" s="2"/>
      <c r="H502" s="2"/>
      <c r="I502" s="2"/>
      <c r="J502" s="2"/>
    </row>
    <row r="503" spans="2:10">
      <c r="B503" s="2"/>
      <c r="C503" s="2"/>
      <c r="D503" s="2"/>
      <c r="E503" s="5"/>
      <c r="F503" s="2"/>
      <c r="G503" s="2"/>
      <c r="H503" s="2"/>
      <c r="I503" s="2"/>
      <c r="J503" s="2"/>
    </row>
    <row r="504" spans="2:10">
      <c r="B504" s="2"/>
      <c r="C504" s="2"/>
      <c r="D504" s="2"/>
      <c r="E504" s="5"/>
      <c r="F504" s="2"/>
      <c r="G504" s="2"/>
      <c r="H504" s="2"/>
      <c r="I504" s="2"/>
      <c r="J504" s="2"/>
    </row>
    <row r="505" spans="2:10">
      <c r="B505" s="2"/>
      <c r="C505" s="2"/>
      <c r="D505" s="2"/>
      <c r="E505" s="5"/>
      <c r="F505" s="2"/>
      <c r="G505" s="2"/>
      <c r="H505" s="2"/>
      <c r="I505" s="2"/>
      <c r="J505" s="2"/>
    </row>
    <row r="506" spans="2:10">
      <c r="B506" s="2"/>
      <c r="C506" s="2"/>
      <c r="D506" s="2"/>
      <c r="E506" s="5"/>
      <c r="F506" s="2"/>
      <c r="G506" s="2"/>
      <c r="H506" s="2"/>
      <c r="I506" s="2"/>
      <c r="J506" s="2"/>
    </row>
    <row r="507" spans="2:10">
      <c r="B507" s="2"/>
      <c r="C507" s="2"/>
      <c r="D507" s="2"/>
      <c r="E507" s="5"/>
      <c r="F507" s="2"/>
      <c r="G507" s="2"/>
      <c r="H507" s="2"/>
      <c r="I507" s="2"/>
      <c r="J507" s="2"/>
    </row>
    <row r="508" spans="2:10">
      <c r="B508" s="2"/>
      <c r="C508" s="2"/>
      <c r="D508" s="2"/>
      <c r="E508" s="5"/>
      <c r="F508" s="2"/>
      <c r="G508" s="2"/>
      <c r="H508" s="2"/>
      <c r="I508" s="2"/>
      <c r="J508" s="2"/>
    </row>
    <row r="509" spans="2:10">
      <c r="B509" s="2"/>
      <c r="C509" s="2"/>
      <c r="D509" s="2"/>
      <c r="E509" s="5"/>
      <c r="F509" s="2"/>
      <c r="G509" s="2"/>
      <c r="H509" s="2"/>
      <c r="I509" s="2"/>
      <c r="J509" s="2"/>
    </row>
    <row r="510" spans="2:10">
      <c r="B510" s="2"/>
      <c r="C510" s="2"/>
      <c r="D510" s="2"/>
      <c r="E510" s="5"/>
      <c r="F510" s="2"/>
      <c r="G510" s="2"/>
      <c r="H510" s="2"/>
      <c r="I510" s="2"/>
      <c r="J510" s="2"/>
    </row>
    <row r="511" spans="2:10">
      <c r="B511" s="2"/>
      <c r="C511" s="2"/>
      <c r="D511" s="2"/>
      <c r="E511" s="5"/>
      <c r="F511" s="2"/>
      <c r="G511" s="2"/>
      <c r="H511" s="2"/>
      <c r="I511" s="2"/>
      <c r="J511" s="2"/>
    </row>
    <row r="512" spans="2:10">
      <c r="B512" s="2"/>
      <c r="C512" s="2"/>
      <c r="D512" s="2"/>
      <c r="E512" s="5"/>
      <c r="F512" s="2"/>
      <c r="G512" s="2"/>
      <c r="H512" s="2"/>
      <c r="I512" s="2"/>
      <c r="J512" s="2"/>
    </row>
    <row r="513" spans="2:10">
      <c r="B513" s="2"/>
      <c r="C513" s="2"/>
      <c r="D513" s="2"/>
      <c r="E513" s="5"/>
      <c r="F513" s="2"/>
      <c r="G513" s="2"/>
      <c r="H513" s="2"/>
      <c r="I513" s="2"/>
      <c r="J513" s="2"/>
    </row>
    <row r="514" spans="2:10">
      <c r="B514" s="2"/>
      <c r="C514" s="2"/>
      <c r="D514" s="2"/>
      <c r="E514" s="5"/>
      <c r="F514" s="2"/>
      <c r="G514" s="2"/>
      <c r="H514" s="2"/>
      <c r="I514" s="2"/>
      <c r="J514" s="2"/>
    </row>
    <row r="515" spans="2:10">
      <c r="B515" s="2"/>
      <c r="C515" s="2"/>
      <c r="D515" s="2"/>
      <c r="E515" s="5"/>
      <c r="F515" s="2"/>
      <c r="G515" s="2"/>
      <c r="H515" s="2"/>
      <c r="I515" s="2"/>
      <c r="J515" s="2"/>
    </row>
    <row r="516" spans="2:10">
      <c r="B516" s="2"/>
      <c r="C516" s="2"/>
      <c r="D516" s="2"/>
      <c r="E516" s="5"/>
      <c r="F516" s="2"/>
      <c r="G516" s="2"/>
      <c r="H516" s="2"/>
      <c r="I516" s="2"/>
      <c r="J516" s="2"/>
    </row>
    <row r="517" spans="2:10">
      <c r="B517" s="2"/>
      <c r="C517" s="2"/>
      <c r="D517" s="2"/>
      <c r="E517" s="5"/>
      <c r="F517" s="2"/>
      <c r="G517" s="2"/>
      <c r="H517" s="2"/>
      <c r="I517" s="2"/>
      <c r="J517" s="2"/>
    </row>
    <row r="518" spans="2:10">
      <c r="B518" s="2"/>
      <c r="C518" s="2"/>
      <c r="D518" s="2"/>
      <c r="E518" s="5"/>
      <c r="F518" s="2"/>
      <c r="G518" s="2"/>
      <c r="H518" s="2"/>
      <c r="I518" s="2"/>
      <c r="J518" s="2"/>
    </row>
    <row r="519" spans="2:10">
      <c r="B519" s="2"/>
      <c r="C519" s="2"/>
      <c r="D519" s="2"/>
      <c r="E519" s="5"/>
      <c r="F519" s="2"/>
      <c r="G519" s="2"/>
      <c r="H519" s="2"/>
      <c r="I519" s="2"/>
      <c r="J519" s="2"/>
    </row>
    <row r="520" spans="2:10">
      <c r="B520" s="2"/>
      <c r="C520" s="2"/>
      <c r="D520" s="2"/>
      <c r="E520" s="5"/>
      <c r="F520" s="2"/>
      <c r="G520" s="2"/>
      <c r="H520" s="2"/>
      <c r="I520" s="2"/>
      <c r="J520" s="2"/>
    </row>
    <row r="521" spans="2:10">
      <c r="B521" s="2"/>
      <c r="C521" s="2"/>
      <c r="D521" s="2"/>
      <c r="E521" s="5"/>
      <c r="F521" s="2"/>
      <c r="G521" s="2"/>
      <c r="H521" s="2"/>
      <c r="I521" s="2"/>
      <c r="J521" s="2"/>
    </row>
    <row r="522" spans="2:10">
      <c r="B522" s="2"/>
      <c r="C522" s="2"/>
      <c r="D522" s="2"/>
      <c r="E522" s="5"/>
      <c r="F522" s="2"/>
      <c r="G522" s="2"/>
      <c r="H522" s="2"/>
      <c r="I522" s="2"/>
      <c r="J522" s="2"/>
    </row>
    <row r="523" spans="2:10">
      <c r="B523" s="2"/>
      <c r="C523" s="2"/>
      <c r="D523" s="2"/>
      <c r="E523" s="5"/>
      <c r="F523" s="2"/>
      <c r="G523" s="2"/>
      <c r="H523" s="2"/>
      <c r="I523" s="2"/>
      <c r="J523" s="2"/>
    </row>
    <row r="524" spans="2:10">
      <c r="B524" s="2"/>
      <c r="C524" s="2"/>
      <c r="D524" s="2"/>
      <c r="E524" s="5"/>
      <c r="F524" s="2"/>
      <c r="G524" s="2"/>
      <c r="H524" s="2"/>
      <c r="I524" s="2"/>
      <c r="J524" s="2"/>
    </row>
    <row r="525" spans="2:10">
      <c r="B525" s="2"/>
      <c r="C525" s="2"/>
      <c r="D525" s="2"/>
      <c r="E525" s="5"/>
      <c r="F525" s="2"/>
      <c r="G525" s="2"/>
      <c r="H525" s="2"/>
      <c r="I525" s="2"/>
      <c r="J525" s="2"/>
    </row>
    <row r="526" spans="2:10">
      <c r="B526" s="2"/>
      <c r="C526" s="2"/>
      <c r="D526" s="2"/>
      <c r="E526" s="5"/>
      <c r="F526" s="2"/>
      <c r="G526" s="2"/>
      <c r="H526" s="2"/>
      <c r="I526" s="2"/>
      <c r="J526" s="2"/>
    </row>
    <row r="527" spans="2:10">
      <c r="B527" s="2"/>
      <c r="C527" s="2"/>
      <c r="D527" s="2"/>
      <c r="E527" s="5"/>
      <c r="F527" s="2"/>
      <c r="G527" s="2"/>
      <c r="H527" s="2"/>
      <c r="I527" s="2"/>
      <c r="J527" s="2"/>
    </row>
    <row r="528" spans="2:10">
      <c r="B528" s="2"/>
      <c r="C528" s="2"/>
      <c r="D528" s="2"/>
      <c r="E528" s="5"/>
      <c r="F528" s="2"/>
      <c r="G528" s="2"/>
      <c r="H528" s="2"/>
      <c r="I528" s="2"/>
      <c r="J528" s="2"/>
    </row>
    <row r="529" spans="2:10">
      <c r="B529" s="2"/>
      <c r="C529" s="2"/>
      <c r="D529" s="2"/>
      <c r="E529" s="5"/>
      <c r="F529" s="2"/>
      <c r="G529" s="2"/>
      <c r="H529" s="2"/>
      <c r="I529" s="2"/>
      <c r="J529" s="2"/>
    </row>
    <row r="530" spans="2:10">
      <c r="B530" s="2"/>
      <c r="C530" s="2"/>
      <c r="D530" s="2"/>
      <c r="E530" s="5"/>
      <c r="F530" s="2"/>
      <c r="G530" s="2"/>
      <c r="H530" s="2"/>
      <c r="I530" s="2"/>
      <c r="J530" s="2"/>
    </row>
    <row r="531" spans="2:10">
      <c r="B531" s="2"/>
      <c r="C531" s="2"/>
      <c r="D531" s="2"/>
      <c r="E531" s="5"/>
      <c r="F531" s="2"/>
      <c r="G531" s="2"/>
      <c r="H531" s="2"/>
      <c r="I531" s="2"/>
      <c r="J531" s="2"/>
    </row>
    <row r="532" spans="2:10">
      <c r="B532" s="2"/>
      <c r="C532" s="2"/>
      <c r="D532" s="2"/>
      <c r="E532" s="5"/>
      <c r="F532" s="2"/>
      <c r="G532" s="2"/>
      <c r="H532" s="2"/>
      <c r="I532" s="2"/>
      <c r="J532" s="2"/>
    </row>
    <row r="533" spans="2:10">
      <c r="B533" s="2"/>
      <c r="C533" s="2"/>
      <c r="D533" s="2"/>
      <c r="E533" s="5"/>
      <c r="F533" s="2"/>
      <c r="G533" s="2"/>
      <c r="H533" s="2"/>
      <c r="I533" s="2"/>
      <c r="J533" s="2"/>
    </row>
    <row r="534" spans="2:10">
      <c r="B534" s="2"/>
      <c r="C534" s="2"/>
      <c r="D534" s="2"/>
      <c r="E534" s="5"/>
      <c r="F534" s="2"/>
      <c r="G534" s="2"/>
      <c r="H534" s="2"/>
      <c r="I534" s="2"/>
      <c r="J534" s="2"/>
    </row>
    <row r="535" spans="2:10">
      <c r="B535" s="2"/>
      <c r="C535" s="2"/>
      <c r="D535" s="2"/>
      <c r="E535" s="5"/>
      <c r="F535" s="2"/>
      <c r="G535" s="2"/>
      <c r="H535" s="2"/>
      <c r="I535" s="2"/>
      <c r="J535" s="2"/>
    </row>
    <row r="536" spans="2:10">
      <c r="B536" s="2"/>
      <c r="C536" s="2"/>
      <c r="D536" s="2"/>
      <c r="E536" s="5"/>
      <c r="F536" s="2"/>
      <c r="G536" s="2"/>
      <c r="H536" s="2"/>
      <c r="I536" s="2"/>
      <c r="J536" s="2"/>
    </row>
    <row r="537" spans="2:10">
      <c r="B537" s="2"/>
      <c r="C537" s="2"/>
      <c r="D537" s="2"/>
      <c r="E537" s="5"/>
      <c r="F537" s="2"/>
      <c r="G537" s="2"/>
      <c r="H537" s="2"/>
      <c r="I537" s="2"/>
      <c r="J537" s="2"/>
    </row>
    <row r="538" spans="2:10">
      <c r="B538" s="2"/>
      <c r="C538" s="2"/>
      <c r="D538" s="2"/>
      <c r="E538" s="5"/>
      <c r="F538" s="2"/>
      <c r="G538" s="2"/>
      <c r="H538" s="2"/>
      <c r="I538" s="2"/>
      <c r="J538" s="2"/>
    </row>
    <row r="539" spans="2:10">
      <c r="B539" s="2"/>
      <c r="C539" s="2"/>
      <c r="D539" s="2"/>
      <c r="E539" s="5"/>
      <c r="F539" s="2"/>
      <c r="G539" s="2"/>
      <c r="H539" s="2"/>
      <c r="I539" s="2"/>
      <c r="J539" s="2"/>
    </row>
    <row r="540" spans="2:10">
      <c r="B540" s="2"/>
      <c r="C540" s="2"/>
      <c r="D540" s="2"/>
      <c r="E540" s="5"/>
      <c r="F540" s="2"/>
      <c r="G540" s="2"/>
      <c r="H540" s="2"/>
      <c r="I540" s="2"/>
      <c r="J540" s="2"/>
    </row>
    <row r="541" spans="2:10">
      <c r="B541" s="2"/>
      <c r="C541" s="2"/>
      <c r="D541" s="2"/>
      <c r="E541" s="5"/>
      <c r="F541" s="2"/>
      <c r="G541" s="2"/>
      <c r="H541" s="2"/>
      <c r="I541" s="2"/>
      <c r="J541" s="2"/>
    </row>
    <row r="542" spans="2:10">
      <c r="B542" s="2"/>
      <c r="C542" s="2"/>
      <c r="D542" s="2"/>
      <c r="E542" s="5"/>
      <c r="F542" s="2"/>
      <c r="G542" s="2"/>
      <c r="H542" s="2"/>
      <c r="I542" s="2"/>
      <c r="J542" s="2"/>
    </row>
    <row r="543" spans="2:10">
      <c r="B543" s="2"/>
      <c r="C543" s="2"/>
      <c r="D543" s="2"/>
      <c r="E543" s="5"/>
      <c r="F543" s="2"/>
      <c r="G543" s="2"/>
      <c r="H543" s="2"/>
      <c r="I543" s="2"/>
      <c r="J543" s="2"/>
    </row>
    <row r="544" spans="2:10">
      <c r="B544" s="2"/>
      <c r="C544" s="2"/>
      <c r="D544" s="2"/>
      <c r="E544" s="5"/>
      <c r="F544" s="2"/>
      <c r="G544" s="2"/>
      <c r="H544" s="2"/>
      <c r="I544" s="2"/>
      <c r="J544" s="2"/>
    </row>
    <row r="545" spans="2:10">
      <c r="B545" s="2"/>
      <c r="C545" s="2"/>
      <c r="D545" s="2"/>
      <c r="E545" s="5"/>
      <c r="F545" s="2"/>
      <c r="G545" s="2"/>
      <c r="H545" s="2"/>
      <c r="I545" s="2"/>
      <c r="J545" s="2"/>
    </row>
    <row r="546" spans="2:10">
      <c r="B546" s="2"/>
      <c r="C546" s="2"/>
      <c r="D546" s="2"/>
      <c r="E546" s="5"/>
      <c r="F546" s="2"/>
      <c r="G546" s="2"/>
      <c r="H546" s="2"/>
      <c r="I546" s="2"/>
      <c r="J546" s="2"/>
    </row>
    <row r="547" spans="2:10">
      <c r="B547" s="2"/>
      <c r="C547" s="2"/>
      <c r="D547" s="2"/>
      <c r="E547" s="5"/>
      <c r="F547" s="2"/>
      <c r="G547" s="2"/>
      <c r="H547" s="2"/>
      <c r="I547" s="2"/>
      <c r="J547" s="2"/>
    </row>
    <row r="548" spans="2:10">
      <c r="B548" s="2"/>
      <c r="C548" s="2"/>
      <c r="D548" s="2"/>
      <c r="E548" s="5"/>
      <c r="F548" s="2"/>
      <c r="G548" s="2"/>
      <c r="H548" s="2"/>
      <c r="I548" s="2"/>
      <c r="J548" s="2"/>
    </row>
    <row r="549" spans="2:10">
      <c r="B549" s="2"/>
      <c r="C549" s="2"/>
      <c r="D549" s="2"/>
      <c r="E549" s="5"/>
      <c r="F549" s="2"/>
      <c r="G549" s="2"/>
      <c r="H549" s="2"/>
      <c r="I549" s="2"/>
      <c r="J549" s="2"/>
    </row>
    <row r="550" spans="2:10">
      <c r="B550" s="2"/>
      <c r="C550" s="2"/>
      <c r="D550" s="2"/>
      <c r="E550" s="5"/>
      <c r="F550" s="2"/>
      <c r="G550" s="2"/>
      <c r="H550" s="2"/>
      <c r="I550" s="2"/>
      <c r="J550" s="2"/>
    </row>
    <row r="551" spans="2:10">
      <c r="B551" s="2"/>
      <c r="C551" s="2"/>
      <c r="D551" s="2"/>
      <c r="E551" s="5"/>
      <c r="F551" s="2"/>
      <c r="G551" s="2"/>
      <c r="H551" s="2"/>
      <c r="I551" s="2"/>
      <c r="J551" s="2"/>
    </row>
    <row r="552" spans="2:10">
      <c r="B552" s="2"/>
      <c r="C552" s="2"/>
      <c r="D552" s="2"/>
      <c r="E552" s="5"/>
      <c r="F552" s="2"/>
      <c r="G552" s="2"/>
      <c r="H552" s="2"/>
      <c r="I552" s="2"/>
      <c r="J552" s="2"/>
    </row>
    <row r="553" spans="2:10">
      <c r="B553" s="2"/>
      <c r="C553" s="2"/>
      <c r="D553" s="2"/>
      <c r="E553" s="5"/>
      <c r="F553" s="2"/>
      <c r="G553" s="2"/>
      <c r="H553" s="2"/>
      <c r="I553" s="2"/>
      <c r="J553" s="2"/>
    </row>
    <row r="554" spans="2:10">
      <c r="B554" s="2"/>
      <c r="C554" s="2"/>
      <c r="D554" s="2"/>
      <c r="E554" s="5"/>
      <c r="F554" s="2"/>
      <c r="G554" s="2"/>
      <c r="H554" s="2"/>
      <c r="I554" s="2"/>
      <c r="J554" s="2"/>
    </row>
    <row r="555" spans="2:10">
      <c r="B555" s="2"/>
      <c r="C555" s="2"/>
      <c r="D555" s="2"/>
      <c r="E555" s="5"/>
      <c r="F555" s="2"/>
      <c r="G555" s="2"/>
      <c r="H555" s="2"/>
      <c r="I555" s="2"/>
      <c r="J555" s="2"/>
    </row>
    <row r="556" spans="2:10">
      <c r="B556" s="2"/>
      <c r="C556" s="2"/>
      <c r="D556" s="2"/>
      <c r="E556" s="5"/>
      <c r="F556" s="2"/>
      <c r="G556" s="2"/>
      <c r="H556" s="2"/>
      <c r="I556" s="2"/>
      <c r="J556" s="2"/>
    </row>
    <row r="557" spans="2:10">
      <c r="B557" s="2"/>
      <c r="C557" s="2"/>
      <c r="D557" s="2"/>
      <c r="E557" s="5"/>
      <c r="F557" s="2"/>
      <c r="G557" s="2"/>
      <c r="H557" s="2"/>
      <c r="I557" s="2"/>
      <c r="J557" s="2"/>
    </row>
    <row r="558" spans="2:10">
      <c r="B558" s="2"/>
      <c r="C558" s="2"/>
      <c r="D558" s="2"/>
      <c r="E558" s="5"/>
      <c r="F558" s="2"/>
      <c r="G558" s="2"/>
      <c r="H558" s="2"/>
      <c r="I558" s="2"/>
      <c r="J558" s="2"/>
    </row>
    <row r="559" spans="2:10">
      <c r="B559" s="2"/>
      <c r="C559" s="2"/>
      <c r="D559" s="2"/>
      <c r="E559" s="5"/>
      <c r="F559" s="2"/>
      <c r="G559" s="2"/>
      <c r="H559" s="2"/>
      <c r="I559" s="2"/>
      <c r="J559" s="2"/>
    </row>
    <row r="560" spans="2:10">
      <c r="B560" s="2"/>
      <c r="C560" s="2"/>
      <c r="D560" s="2"/>
      <c r="E560" s="5"/>
      <c r="F560" s="2"/>
      <c r="G560" s="2"/>
      <c r="H560" s="2"/>
      <c r="I560" s="2"/>
      <c r="J560" s="2"/>
    </row>
    <row r="561" spans="2:10">
      <c r="B561" s="2"/>
      <c r="C561" s="2"/>
      <c r="D561" s="2"/>
      <c r="E561" s="5"/>
      <c r="F561" s="2"/>
      <c r="G561" s="2"/>
      <c r="H561" s="2"/>
      <c r="I561" s="2"/>
      <c r="J561" s="2"/>
    </row>
    <row r="562" spans="2:10">
      <c r="B562" s="2"/>
      <c r="C562" s="2"/>
      <c r="D562" s="2"/>
      <c r="E562" s="5"/>
      <c r="F562" s="2"/>
      <c r="G562" s="2"/>
      <c r="H562" s="2"/>
      <c r="I562" s="2"/>
      <c r="J562" s="2"/>
    </row>
    <row r="563" spans="2:10">
      <c r="B563" s="2"/>
      <c r="C563" s="2"/>
      <c r="D563" s="2"/>
      <c r="E563" s="5"/>
      <c r="F563" s="2"/>
      <c r="G563" s="2"/>
      <c r="H563" s="2"/>
      <c r="I563" s="2"/>
      <c r="J563" s="2"/>
    </row>
    <row r="564" spans="2:10">
      <c r="B564" s="2"/>
      <c r="C564" s="2"/>
      <c r="D564" s="2"/>
      <c r="E564" s="5"/>
      <c r="F564" s="2"/>
      <c r="G564" s="2"/>
      <c r="H564" s="2"/>
      <c r="I564" s="2"/>
      <c r="J564" s="2"/>
    </row>
    <row r="565" spans="2:10">
      <c r="B565" s="2"/>
      <c r="C565" s="2"/>
      <c r="D565" s="2"/>
      <c r="E565" s="5"/>
      <c r="F565" s="2"/>
      <c r="G565" s="2"/>
      <c r="H565" s="2"/>
      <c r="I565" s="2"/>
      <c r="J565" s="2"/>
    </row>
    <row r="566" spans="2:10">
      <c r="B566" s="2"/>
      <c r="C566" s="2"/>
      <c r="D566" s="2"/>
      <c r="E566" s="5"/>
      <c r="F566" s="2"/>
      <c r="G566" s="2"/>
      <c r="H566" s="2"/>
      <c r="I566" s="2"/>
      <c r="J566" s="2"/>
    </row>
    <row r="567" spans="2:10">
      <c r="B567" s="2"/>
      <c r="C567" s="2"/>
      <c r="D567" s="2"/>
      <c r="E567" s="5"/>
      <c r="F567" s="2"/>
      <c r="G567" s="2"/>
      <c r="H567" s="2"/>
      <c r="I567" s="2"/>
      <c r="J567" s="2"/>
    </row>
    <row r="568" spans="2:10">
      <c r="B568" s="2"/>
      <c r="C568" s="2"/>
      <c r="D568" s="2"/>
      <c r="E568" s="5"/>
      <c r="F568" s="2"/>
      <c r="G568" s="2"/>
      <c r="H568" s="2"/>
      <c r="I568" s="2"/>
      <c r="J568" s="2"/>
    </row>
    <row r="569" spans="2:10">
      <c r="B569" s="2"/>
      <c r="C569" s="2"/>
      <c r="D569" s="2"/>
      <c r="E569" s="5"/>
      <c r="F569" s="2"/>
      <c r="G569" s="2"/>
      <c r="H569" s="2"/>
      <c r="I569" s="2"/>
      <c r="J569" s="2"/>
    </row>
    <row r="570" spans="2:10">
      <c r="B570" s="2"/>
      <c r="C570" s="2"/>
      <c r="D570" s="2"/>
      <c r="E570" s="5"/>
      <c r="F570" s="2"/>
      <c r="G570" s="2"/>
      <c r="H570" s="2"/>
      <c r="I570" s="2"/>
      <c r="J570" s="2"/>
    </row>
    <row r="571" spans="2:10">
      <c r="B571" s="2"/>
      <c r="C571" s="2"/>
      <c r="D571" s="2"/>
      <c r="E571" s="5"/>
      <c r="F571" s="2"/>
      <c r="G571" s="2"/>
      <c r="H571" s="2"/>
      <c r="I571" s="2"/>
      <c r="J571" s="2"/>
    </row>
    <row r="572" spans="2:10">
      <c r="B572" s="2"/>
      <c r="C572" s="2"/>
      <c r="D572" s="2"/>
      <c r="E572" s="5"/>
      <c r="F572" s="2"/>
      <c r="G572" s="2"/>
      <c r="H572" s="2"/>
      <c r="I572" s="2"/>
      <c r="J572" s="2"/>
    </row>
    <row r="573" spans="2:10">
      <c r="B573" s="2"/>
      <c r="C573" s="2"/>
      <c r="D573" s="2"/>
      <c r="E573" s="5"/>
      <c r="F573" s="2"/>
      <c r="G573" s="2"/>
      <c r="H573" s="2"/>
      <c r="I573" s="2"/>
      <c r="J573" s="2"/>
    </row>
    <row r="574" spans="2:10">
      <c r="B574" s="2"/>
      <c r="C574" s="2"/>
      <c r="D574" s="2"/>
      <c r="E574" s="5"/>
      <c r="F574" s="2"/>
      <c r="G574" s="2"/>
      <c r="H574" s="2"/>
      <c r="I574" s="2"/>
      <c r="J574" s="2"/>
    </row>
    <row r="575" spans="2:10">
      <c r="B575" s="2"/>
      <c r="C575" s="2"/>
      <c r="D575" s="2"/>
      <c r="E575" s="5"/>
      <c r="F575" s="2"/>
      <c r="G575" s="2"/>
      <c r="H575" s="2"/>
      <c r="I575" s="2"/>
      <c r="J575" s="2"/>
    </row>
    <row r="576" spans="2:10">
      <c r="B576" s="2"/>
      <c r="C576" s="2"/>
      <c r="D576" s="2"/>
      <c r="E576" s="5"/>
      <c r="F576" s="2"/>
      <c r="G576" s="2"/>
      <c r="H576" s="2"/>
      <c r="I576" s="2"/>
      <c r="J576" s="2"/>
    </row>
    <row r="577" spans="2:10">
      <c r="B577" s="2"/>
      <c r="C577" s="2"/>
      <c r="D577" s="2"/>
      <c r="E577" s="5"/>
      <c r="F577" s="2"/>
      <c r="G577" s="2"/>
      <c r="H577" s="2"/>
      <c r="I577" s="2"/>
      <c r="J577" s="2"/>
    </row>
    <row r="578" spans="2:10">
      <c r="B578" s="2"/>
      <c r="C578" s="2"/>
      <c r="D578" s="2"/>
      <c r="E578" s="5"/>
      <c r="F578" s="2"/>
      <c r="G578" s="2"/>
      <c r="H578" s="2"/>
      <c r="I578" s="2"/>
      <c r="J578" s="2"/>
    </row>
    <row r="579" spans="2:10">
      <c r="B579" s="2"/>
      <c r="C579" s="2"/>
      <c r="D579" s="2"/>
      <c r="E579" s="5"/>
      <c r="F579" s="2"/>
      <c r="G579" s="2"/>
      <c r="H579" s="2"/>
      <c r="I579" s="2"/>
      <c r="J579" s="2"/>
    </row>
    <row r="580" spans="2:10">
      <c r="B580" s="2"/>
      <c r="C580" s="2"/>
      <c r="D580" s="2"/>
      <c r="E580" s="5"/>
      <c r="F580" s="2"/>
      <c r="G580" s="2"/>
      <c r="H580" s="2"/>
      <c r="I580" s="2"/>
      <c r="J580" s="2"/>
    </row>
    <row r="581" spans="2:10">
      <c r="B581" s="2"/>
      <c r="C581" s="2"/>
      <c r="D581" s="2"/>
      <c r="E581" s="5"/>
      <c r="F581" s="2"/>
      <c r="G581" s="2"/>
      <c r="H581" s="2"/>
      <c r="I581" s="2"/>
      <c r="J581" s="2"/>
    </row>
    <row r="582" spans="2:10">
      <c r="B582" s="2"/>
      <c r="C582" s="2"/>
      <c r="D582" s="2"/>
      <c r="E582" s="5"/>
      <c r="F582" s="2"/>
      <c r="G582" s="2"/>
      <c r="H582" s="2"/>
      <c r="I582" s="2"/>
      <c r="J582" s="2"/>
    </row>
    <row r="583" spans="2:10">
      <c r="B583" s="2"/>
      <c r="C583" s="2"/>
      <c r="D583" s="2"/>
      <c r="E583" s="5"/>
      <c r="F583" s="2"/>
      <c r="G583" s="2"/>
      <c r="H583" s="2"/>
      <c r="I583" s="2"/>
      <c r="J583" s="2"/>
    </row>
    <row r="584" spans="2:10">
      <c r="B584" s="2"/>
      <c r="C584" s="2"/>
      <c r="D584" s="2"/>
      <c r="E584" s="5"/>
      <c r="F584" s="2"/>
      <c r="G584" s="2"/>
      <c r="H584" s="2"/>
      <c r="I584" s="2"/>
      <c r="J584" s="2"/>
    </row>
    <row r="585" spans="2:10">
      <c r="B585" s="2"/>
      <c r="C585" s="2"/>
      <c r="D585" s="2"/>
      <c r="E585" s="5"/>
      <c r="F585" s="2"/>
      <c r="G585" s="2"/>
      <c r="H585" s="2"/>
      <c r="I585" s="2"/>
      <c r="J585" s="2"/>
    </row>
    <row r="586" spans="2:10">
      <c r="B586" s="2"/>
      <c r="C586" s="2"/>
      <c r="D586" s="2"/>
      <c r="E586" s="5"/>
      <c r="F586" s="2"/>
      <c r="G586" s="2"/>
      <c r="H586" s="2"/>
      <c r="I586" s="2"/>
      <c r="J586" s="2"/>
    </row>
    <row r="587" spans="2:10">
      <c r="B587" s="2"/>
      <c r="C587" s="2"/>
      <c r="D587" s="2"/>
      <c r="E587" s="5"/>
      <c r="F587" s="2"/>
      <c r="G587" s="2"/>
      <c r="H587" s="2"/>
      <c r="I587" s="2"/>
      <c r="J587" s="2"/>
    </row>
    <row r="588" spans="2:10">
      <c r="B588" s="2"/>
      <c r="C588" s="2"/>
      <c r="D588" s="2"/>
      <c r="E588" s="5"/>
      <c r="F588" s="2"/>
      <c r="G588" s="2"/>
      <c r="H588" s="2"/>
      <c r="I588" s="2"/>
      <c r="J588" s="2"/>
    </row>
    <row r="589" spans="2:10">
      <c r="B589" s="2"/>
      <c r="C589" s="2"/>
      <c r="D589" s="2"/>
      <c r="E589" s="5"/>
      <c r="F589" s="2"/>
      <c r="G589" s="2"/>
      <c r="H589" s="2"/>
      <c r="I589" s="2"/>
      <c r="J589" s="2"/>
    </row>
    <row r="590" spans="2:10">
      <c r="B590" s="2"/>
      <c r="C590" s="2"/>
      <c r="D590" s="2"/>
      <c r="E590" s="5"/>
      <c r="F590" s="2"/>
      <c r="G590" s="2"/>
      <c r="H590" s="2"/>
      <c r="I590" s="2"/>
      <c r="J590" s="2"/>
    </row>
    <row r="591" spans="2:10">
      <c r="B591" s="2"/>
      <c r="C591" s="2"/>
      <c r="D591" s="2"/>
      <c r="E591" s="5"/>
      <c r="F591" s="2"/>
      <c r="G591" s="2"/>
      <c r="H591" s="2"/>
      <c r="I591" s="2"/>
      <c r="J591" s="2"/>
    </row>
    <row r="592" spans="2:10">
      <c r="B592" s="2"/>
      <c r="C592" s="2"/>
      <c r="D592" s="2"/>
      <c r="E592" s="5"/>
      <c r="F592" s="2"/>
      <c r="G592" s="2"/>
      <c r="H592" s="2"/>
      <c r="I592" s="2"/>
      <c r="J592" s="2"/>
    </row>
    <row r="593" spans="2:10">
      <c r="B593" s="2"/>
      <c r="C593" s="2"/>
      <c r="D593" s="2"/>
      <c r="E593" s="5"/>
      <c r="F593" s="2"/>
      <c r="G593" s="2"/>
      <c r="H593" s="2"/>
      <c r="I593" s="2"/>
      <c r="J593" s="2"/>
    </row>
    <row r="594" spans="2:10">
      <c r="B594" s="2"/>
      <c r="C594" s="2"/>
      <c r="D594" s="2"/>
      <c r="E594" s="5"/>
      <c r="F594" s="2"/>
      <c r="G594" s="2"/>
      <c r="H594" s="2"/>
      <c r="I594" s="2"/>
      <c r="J594" s="2"/>
    </row>
    <row r="595" spans="2:10">
      <c r="B595" s="2"/>
      <c r="C595" s="2"/>
      <c r="D595" s="2"/>
      <c r="E595" s="5"/>
      <c r="F595" s="2"/>
      <c r="G595" s="2"/>
      <c r="H595" s="2"/>
      <c r="I595" s="2"/>
      <c r="J595" s="2"/>
    </row>
    <row r="596" spans="2:10">
      <c r="B596" s="2"/>
      <c r="C596" s="2"/>
      <c r="D596" s="2"/>
      <c r="E596" s="5"/>
      <c r="F596" s="2"/>
      <c r="G596" s="2"/>
      <c r="H596" s="2"/>
      <c r="I596" s="2"/>
      <c r="J596" s="2"/>
    </row>
    <row r="597" spans="2:10">
      <c r="B597" s="2"/>
      <c r="C597" s="2"/>
      <c r="D597" s="2"/>
      <c r="E597" s="5"/>
      <c r="F597" s="2"/>
      <c r="G597" s="2"/>
      <c r="H597" s="2"/>
      <c r="I597" s="2"/>
      <c r="J597" s="2"/>
    </row>
    <row r="598" spans="2:10">
      <c r="B598" s="2"/>
      <c r="C598" s="2"/>
      <c r="D598" s="2"/>
      <c r="E598" s="5"/>
      <c r="F598" s="2"/>
      <c r="G598" s="2"/>
      <c r="H598" s="2"/>
      <c r="I598" s="2"/>
      <c r="J598" s="2"/>
    </row>
    <row r="599" spans="2:10">
      <c r="B599" s="2"/>
      <c r="C599" s="2"/>
      <c r="D599" s="2"/>
      <c r="E599" s="5"/>
      <c r="F599" s="2"/>
      <c r="G599" s="2"/>
      <c r="H599" s="2"/>
      <c r="I599" s="2"/>
      <c r="J599" s="2"/>
    </row>
    <row r="600" spans="2:10">
      <c r="B600" s="2"/>
      <c r="C600" s="2"/>
      <c r="D600" s="2"/>
      <c r="E600" s="5"/>
      <c r="F600" s="2"/>
      <c r="G600" s="2"/>
      <c r="H600" s="2"/>
      <c r="I600" s="2"/>
      <c r="J600" s="2"/>
    </row>
    <row r="601" spans="2:10">
      <c r="B601" s="2"/>
      <c r="C601" s="2"/>
      <c r="D601" s="2"/>
      <c r="E601" s="5"/>
      <c r="F601" s="2"/>
      <c r="G601" s="2"/>
      <c r="H601" s="2"/>
      <c r="I601" s="2"/>
      <c r="J601" s="2"/>
    </row>
    <row r="602" spans="2:10">
      <c r="B602" s="2"/>
      <c r="C602" s="2"/>
      <c r="D602" s="2"/>
      <c r="E602" s="5"/>
      <c r="F602" s="2"/>
      <c r="G602" s="2"/>
      <c r="H602" s="2"/>
      <c r="I602" s="2"/>
      <c r="J602" s="2"/>
    </row>
    <row r="603" spans="2:10">
      <c r="B603" s="2"/>
      <c r="C603" s="2"/>
      <c r="D603" s="2"/>
      <c r="E603" s="5"/>
      <c r="F603" s="2"/>
      <c r="G603" s="2"/>
      <c r="H603" s="2"/>
      <c r="I603" s="2"/>
      <c r="J603" s="2"/>
    </row>
    <row r="604" spans="2:10">
      <c r="B604" s="2"/>
      <c r="C604" s="2"/>
      <c r="D604" s="2"/>
      <c r="E604" s="5"/>
      <c r="F604" s="2"/>
      <c r="G604" s="2"/>
      <c r="H604" s="2"/>
      <c r="I604" s="2"/>
      <c r="J604" s="2"/>
    </row>
    <row r="605" spans="2:10">
      <c r="B605" s="2"/>
      <c r="C605" s="2"/>
      <c r="D605" s="2"/>
      <c r="E605" s="5"/>
      <c r="F605" s="2"/>
      <c r="G605" s="2"/>
      <c r="H605" s="2"/>
      <c r="I605" s="2"/>
      <c r="J605" s="2"/>
    </row>
    <row r="606" spans="2:10">
      <c r="B606" s="2"/>
      <c r="C606" s="2"/>
      <c r="D606" s="2"/>
      <c r="E606" s="5"/>
      <c r="F606" s="2"/>
      <c r="G606" s="2"/>
      <c r="H606" s="2"/>
      <c r="I606" s="2"/>
      <c r="J606" s="2"/>
    </row>
    <row r="607" spans="2:10">
      <c r="B607" s="2"/>
      <c r="C607" s="2"/>
      <c r="D607" s="2"/>
      <c r="E607" s="5"/>
      <c r="F607" s="2"/>
      <c r="G607" s="2"/>
      <c r="H607" s="2"/>
      <c r="I607" s="2"/>
      <c r="J607" s="2"/>
    </row>
    <row r="608" spans="2:10">
      <c r="B608" s="2"/>
      <c r="C608" s="2"/>
      <c r="D608" s="2"/>
      <c r="E608" s="5"/>
      <c r="F608" s="2"/>
      <c r="G608" s="2"/>
      <c r="H608" s="2"/>
      <c r="I608" s="2"/>
      <c r="J608" s="2"/>
    </row>
    <row r="609" spans="2:10">
      <c r="B609" s="2"/>
      <c r="C609" s="2"/>
      <c r="D609" s="2"/>
      <c r="E609" s="5"/>
      <c r="F609" s="2"/>
      <c r="G609" s="2"/>
      <c r="H609" s="2"/>
      <c r="I609" s="2"/>
      <c r="J609" s="2"/>
    </row>
    <row r="610" spans="2:10">
      <c r="B610" s="2"/>
      <c r="C610" s="2"/>
      <c r="D610" s="2"/>
      <c r="E610" s="5"/>
      <c r="F610" s="2"/>
      <c r="G610" s="2"/>
      <c r="H610" s="2"/>
      <c r="I610" s="2"/>
      <c r="J610" s="2"/>
    </row>
    <row r="611" spans="2:10">
      <c r="B611" s="2"/>
      <c r="C611" s="2"/>
      <c r="D611" s="2"/>
      <c r="E611" s="5"/>
      <c r="F611" s="2"/>
      <c r="G611" s="2"/>
      <c r="H611" s="2"/>
      <c r="I611" s="2"/>
      <c r="J611" s="2"/>
    </row>
    <row r="612" spans="2:10">
      <c r="B612" s="2"/>
      <c r="C612" s="2"/>
      <c r="D612" s="2"/>
      <c r="E612" s="5"/>
      <c r="F612" s="2"/>
      <c r="G612" s="2"/>
      <c r="H612" s="2"/>
      <c r="I612" s="2"/>
      <c r="J612" s="2"/>
    </row>
    <row r="613" spans="2:10">
      <c r="B613" s="2"/>
      <c r="C613" s="2"/>
      <c r="D613" s="2"/>
      <c r="E613" s="5"/>
      <c r="F613" s="2"/>
      <c r="G613" s="2"/>
      <c r="H613" s="2"/>
      <c r="I613" s="2"/>
      <c r="J613" s="2"/>
    </row>
    <row r="614" spans="2:10">
      <c r="B614" s="2"/>
      <c r="C614" s="2"/>
      <c r="D614" s="2"/>
      <c r="E614" s="5"/>
      <c r="F614" s="2"/>
      <c r="G614" s="2"/>
      <c r="H614" s="2"/>
      <c r="I614" s="2"/>
      <c r="J614" s="2"/>
    </row>
    <row r="615" spans="2:10">
      <c r="B615" s="2"/>
      <c r="C615" s="2"/>
      <c r="D615" s="2"/>
      <c r="E615" s="5"/>
      <c r="F615" s="2"/>
      <c r="G615" s="2"/>
      <c r="H615" s="2"/>
      <c r="I615" s="2"/>
      <c r="J615" s="2"/>
    </row>
    <row r="616" spans="2:10">
      <c r="B616" s="2"/>
      <c r="C616" s="2"/>
      <c r="D616" s="2"/>
      <c r="E616" s="5"/>
      <c r="F616" s="2"/>
      <c r="G616" s="2"/>
      <c r="H616" s="2"/>
      <c r="I616" s="2"/>
      <c r="J616" s="2"/>
    </row>
    <row r="617" spans="2:10">
      <c r="B617" s="2"/>
      <c r="C617" s="2"/>
      <c r="D617" s="2"/>
      <c r="E617" s="5"/>
      <c r="F617" s="2"/>
      <c r="G617" s="2"/>
      <c r="H617" s="2"/>
      <c r="I617" s="2"/>
      <c r="J617" s="2"/>
    </row>
    <row r="618" spans="2:10">
      <c r="B618" s="2"/>
      <c r="C618" s="2"/>
      <c r="D618" s="2"/>
      <c r="E618" s="5"/>
      <c r="F618" s="2"/>
      <c r="G618" s="2"/>
      <c r="H618" s="2"/>
      <c r="I618" s="2"/>
      <c r="J618" s="2"/>
    </row>
    <row r="619" spans="2:10">
      <c r="B619" s="2"/>
      <c r="C619" s="2"/>
      <c r="D619" s="2"/>
      <c r="E619" s="5"/>
      <c r="F619" s="2"/>
      <c r="G619" s="2"/>
      <c r="H619" s="2"/>
      <c r="I619" s="2"/>
      <c r="J619" s="2"/>
    </row>
    <row r="620" spans="2:10">
      <c r="B620" s="2"/>
      <c r="C620" s="2"/>
      <c r="D620" s="2"/>
      <c r="E620" s="5"/>
      <c r="F620" s="2"/>
      <c r="G620" s="2"/>
      <c r="H620" s="2"/>
      <c r="I620" s="2"/>
      <c r="J620" s="2"/>
    </row>
    <row r="621" spans="2:10">
      <c r="B621" s="2"/>
      <c r="C621" s="2"/>
      <c r="D621" s="2"/>
      <c r="E621" s="5"/>
      <c r="F621" s="2"/>
      <c r="G621" s="2"/>
      <c r="H621" s="2"/>
      <c r="I621" s="2"/>
      <c r="J621" s="2"/>
    </row>
    <row r="622" spans="2:10">
      <c r="B622" s="2"/>
      <c r="C622" s="2"/>
      <c r="D622" s="2"/>
      <c r="E622" s="5"/>
      <c r="F622" s="2"/>
      <c r="G622" s="2"/>
      <c r="H622" s="2"/>
      <c r="I622" s="2"/>
      <c r="J622" s="2"/>
    </row>
    <row r="623" spans="2:10">
      <c r="B623" s="2"/>
      <c r="C623" s="2"/>
      <c r="D623" s="2"/>
      <c r="E623" s="5"/>
      <c r="F623" s="2"/>
      <c r="G623" s="2"/>
      <c r="H623" s="2"/>
      <c r="I623" s="2"/>
      <c r="J623" s="2"/>
    </row>
    <row r="624" spans="2:10">
      <c r="B624" s="2"/>
      <c r="C624" s="2"/>
      <c r="D624" s="2"/>
      <c r="E624" s="5"/>
      <c r="F624" s="2"/>
      <c r="G624" s="2"/>
      <c r="H624" s="2"/>
      <c r="I624" s="2"/>
      <c r="J624" s="2"/>
    </row>
    <row r="625" spans="2:10">
      <c r="B625" s="2"/>
      <c r="C625" s="2"/>
      <c r="D625" s="2"/>
      <c r="E625" s="5"/>
      <c r="F625" s="2"/>
      <c r="G625" s="2"/>
      <c r="H625" s="2"/>
      <c r="I625" s="2"/>
      <c r="J625" s="2"/>
    </row>
    <row r="626" spans="2:10">
      <c r="B626" s="2"/>
      <c r="C626" s="2"/>
      <c r="D626" s="2"/>
      <c r="E626" s="5"/>
      <c r="F626" s="2"/>
      <c r="G626" s="2"/>
      <c r="H626" s="2"/>
      <c r="I626" s="2"/>
      <c r="J626" s="2"/>
    </row>
    <row r="627" spans="2:10">
      <c r="B627" s="2"/>
      <c r="C627" s="2"/>
      <c r="D627" s="2"/>
      <c r="E627" s="5"/>
      <c r="F627" s="2"/>
      <c r="G627" s="2"/>
      <c r="H627" s="2"/>
      <c r="I627" s="2"/>
      <c r="J627" s="2"/>
    </row>
    <row r="628" spans="2:10">
      <c r="B628" s="2"/>
      <c r="C628" s="2"/>
      <c r="D628" s="2"/>
      <c r="E628" s="5"/>
      <c r="F628" s="2"/>
      <c r="G628" s="2"/>
      <c r="H628" s="2"/>
      <c r="I628" s="2"/>
      <c r="J628" s="2"/>
    </row>
    <row r="629" spans="2:10">
      <c r="B629" s="2"/>
      <c r="C629" s="2"/>
      <c r="D629" s="2"/>
      <c r="E629" s="5"/>
      <c r="F629" s="2"/>
      <c r="G629" s="2"/>
      <c r="H629" s="2"/>
      <c r="I629" s="2"/>
      <c r="J629" s="2"/>
    </row>
    <row r="630" spans="2:10">
      <c r="B630" s="2"/>
      <c r="C630" s="2"/>
      <c r="D630" s="2"/>
      <c r="E630" s="5"/>
      <c r="F630" s="2"/>
      <c r="G630" s="2"/>
      <c r="H630" s="2"/>
      <c r="I630" s="2"/>
      <c r="J630" s="2"/>
    </row>
    <row r="631" spans="2:10">
      <c r="B631" s="2"/>
      <c r="C631" s="2"/>
      <c r="D631" s="2"/>
      <c r="E631" s="5"/>
      <c r="F631" s="2"/>
      <c r="G631" s="2"/>
      <c r="H631" s="2"/>
      <c r="I631" s="2"/>
      <c r="J631" s="2"/>
    </row>
    <row r="632" spans="2:10">
      <c r="B632" s="2"/>
      <c r="C632" s="2"/>
      <c r="D632" s="2"/>
      <c r="E632" s="5"/>
      <c r="F632" s="2"/>
      <c r="G632" s="2"/>
      <c r="H632" s="2"/>
      <c r="I632" s="2"/>
      <c r="J632" s="2"/>
    </row>
    <row r="633" spans="2:10">
      <c r="B633" s="2"/>
      <c r="C633" s="2"/>
      <c r="D633" s="2"/>
      <c r="E633" s="5"/>
      <c r="F633" s="2"/>
      <c r="G633" s="2"/>
      <c r="H633" s="2"/>
      <c r="I633" s="2"/>
      <c r="J633" s="2"/>
    </row>
    <row r="634" spans="2:10">
      <c r="B634" s="2"/>
      <c r="C634" s="2"/>
      <c r="D634" s="2"/>
      <c r="E634" s="5"/>
      <c r="F634" s="2"/>
      <c r="G634" s="2"/>
      <c r="H634" s="2"/>
      <c r="I634" s="2"/>
      <c r="J634" s="2"/>
    </row>
    <row r="635" spans="2:10">
      <c r="B635" s="2"/>
      <c r="C635" s="2"/>
      <c r="D635" s="2"/>
      <c r="E635" s="5"/>
      <c r="F635" s="2"/>
      <c r="G635" s="2"/>
      <c r="H635" s="2"/>
      <c r="I635" s="2"/>
      <c r="J635" s="2"/>
    </row>
    <row r="636" spans="2:10">
      <c r="B636" s="2"/>
      <c r="C636" s="2"/>
      <c r="D636" s="2"/>
      <c r="E636" s="5"/>
      <c r="F636" s="2"/>
      <c r="G636" s="2"/>
      <c r="H636" s="2"/>
      <c r="I636" s="2"/>
      <c r="J636" s="2"/>
    </row>
    <row r="637" spans="2:10">
      <c r="B637" s="2"/>
      <c r="C637" s="2"/>
      <c r="D637" s="2"/>
      <c r="E637" s="5"/>
      <c r="F637" s="2"/>
      <c r="G637" s="2"/>
      <c r="H637" s="2"/>
      <c r="I637" s="2"/>
      <c r="J637" s="2"/>
    </row>
    <row r="638" spans="2:10">
      <c r="B638" s="2"/>
      <c r="C638" s="2"/>
      <c r="D638" s="2"/>
      <c r="E638" s="5"/>
      <c r="F638" s="2"/>
      <c r="G638" s="2"/>
      <c r="H638" s="2"/>
      <c r="I638" s="2"/>
      <c r="J638" s="2"/>
    </row>
    <row r="639" spans="2:10">
      <c r="B639" s="2"/>
      <c r="C639" s="2"/>
      <c r="D639" s="2"/>
      <c r="E639" s="5"/>
      <c r="F639" s="2"/>
      <c r="G639" s="2"/>
      <c r="H639" s="2"/>
      <c r="I639" s="2"/>
      <c r="J639" s="2"/>
    </row>
    <row r="640" spans="2:10">
      <c r="B640" s="2"/>
      <c r="C640" s="2"/>
      <c r="D640" s="2"/>
      <c r="E640" s="5"/>
      <c r="F640" s="2"/>
      <c r="G640" s="2"/>
      <c r="H640" s="2"/>
      <c r="I640" s="2"/>
      <c r="J640" s="2"/>
    </row>
    <row r="641" spans="2:10">
      <c r="B641" s="2"/>
      <c r="C641" s="2"/>
      <c r="D641" s="2"/>
      <c r="E641" s="5"/>
      <c r="F641" s="2"/>
      <c r="G641" s="2"/>
      <c r="H641" s="2"/>
      <c r="I641" s="2"/>
      <c r="J641" s="2"/>
    </row>
    <row r="642" spans="2:10">
      <c r="B642" s="2"/>
      <c r="C642" s="2"/>
      <c r="D642" s="2"/>
      <c r="E642" s="5"/>
      <c r="F642" s="2"/>
      <c r="G642" s="2"/>
      <c r="H642" s="2"/>
      <c r="I642" s="2"/>
      <c r="J642" s="2"/>
    </row>
    <row r="643" spans="2:10">
      <c r="B643" s="2"/>
      <c r="C643" s="2"/>
      <c r="D643" s="2"/>
      <c r="E643" s="5"/>
      <c r="F643" s="2"/>
      <c r="G643" s="2"/>
      <c r="H643" s="2"/>
      <c r="I643" s="2"/>
      <c r="J643" s="2"/>
    </row>
    <row r="644" spans="2:10">
      <c r="B644" s="2"/>
      <c r="C644" s="2"/>
      <c r="D644" s="2"/>
      <c r="E644" s="5"/>
      <c r="F644" s="2"/>
      <c r="G644" s="2"/>
      <c r="H644" s="2"/>
      <c r="I644" s="2"/>
      <c r="J644" s="2"/>
    </row>
    <row r="645" spans="2:10">
      <c r="B645" s="2"/>
      <c r="C645" s="2"/>
      <c r="D645" s="2"/>
      <c r="E645" s="5"/>
      <c r="F645" s="2"/>
      <c r="G645" s="2"/>
      <c r="H645" s="2"/>
      <c r="I645" s="2"/>
      <c r="J645" s="2"/>
    </row>
    <row r="646" spans="2:10">
      <c r="B646" s="2"/>
      <c r="C646" s="2"/>
      <c r="D646" s="2"/>
      <c r="E646" s="5"/>
      <c r="F646" s="2"/>
      <c r="G646" s="2"/>
      <c r="H646" s="2"/>
      <c r="I646" s="2"/>
      <c r="J646" s="2"/>
    </row>
    <row r="647" spans="2:10">
      <c r="B647" s="2"/>
      <c r="C647" s="2"/>
      <c r="D647" s="2"/>
      <c r="E647" s="5"/>
      <c r="F647" s="2"/>
      <c r="G647" s="2"/>
      <c r="H647" s="2"/>
      <c r="I647" s="2"/>
      <c r="J647" s="2"/>
    </row>
    <row r="648" spans="2:10">
      <c r="B648" s="2"/>
      <c r="C648" s="2"/>
      <c r="D648" s="2"/>
      <c r="E648" s="5"/>
      <c r="F648" s="2"/>
      <c r="G648" s="2"/>
      <c r="H648" s="2"/>
      <c r="I648" s="2"/>
      <c r="J648" s="2"/>
    </row>
    <row r="649" spans="2:10">
      <c r="B649" s="2"/>
      <c r="C649" s="2"/>
      <c r="D649" s="2"/>
      <c r="E649" s="5"/>
      <c r="F649" s="2"/>
      <c r="G649" s="2"/>
      <c r="H649" s="2"/>
      <c r="I649" s="2"/>
      <c r="J649" s="2"/>
    </row>
    <row r="650" spans="2:10">
      <c r="B650" s="2"/>
      <c r="C650" s="2"/>
      <c r="D650" s="2"/>
      <c r="E650" s="5"/>
      <c r="F650" s="2"/>
      <c r="G650" s="2"/>
      <c r="H650" s="2"/>
      <c r="I650" s="2"/>
      <c r="J650" s="2"/>
    </row>
    <row r="651" spans="2:10">
      <c r="B651" s="2"/>
      <c r="C651" s="2"/>
      <c r="D651" s="2"/>
      <c r="E651" s="5"/>
      <c r="F651" s="2"/>
      <c r="G651" s="2"/>
      <c r="H651" s="2"/>
      <c r="I651" s="2"/>
      <c r="J651" s="2"/>
    </row>
    <row r="652" spans="2:10">
      <c r="B652" s="2"/>
      <c r="C652" s="2"/>
      <c r="D652" s="2"/>
      <c r="E652" s="5"/>
      <c r="F652" s="2"/>
      <c r="G652" s="2"/>
      <c r="H652" s="2"/>
      <c r="I652" s="2"/>
      <c r="J652" s="2"/>
    </row>
    <row r="653" spans="2:10">
      <c r="B653" s="2"/>
      <c r="C653" s="2"/>
      <c r="D653" s="2"/>
      <c r="E653" s="5"/>
      <c r="F653" s="2"/>
      <c r="G653" s="2"/>
      <c r="H653" s="2"/>
      <c r="I653" s="2"/>
      <c r="J653" s="2"/>
    </row>
    <row r="654" spans="2:10">
      <c r="B654" s="2"/>
      <c r="C654" s="2"/>
      <c r="D654" s="2"/>
      <c r="E654" s="5"/>
      <c r="F654" s="2"/>
      <c r="G654" s="2"/>
      <c r="H654" s="2"/>
      <c r="I654" s="2"/>
      <c r="J654" s="2"/>
    </row>
    <row r="655" spans="2:10">
      <c r="B655" s="2"/>
      <c r="C655" s="2"/>
      <c r="D655" s="2"/>
      <c r="E655" s="5"/>
      <c r="F655" s="2"/>
      <c r="G655" s="2"/>
      <c r="H655" s="2"/>
      <c r="I655" s="2"/>
      <c r="J655" s="2"/>
    </row>
    <row r="656" spans="2:10">
      <c r="B656" s="2"/>
      <c r="C656" s="2"/>
      <c r="D656" s="2"/>
      <c r="E656" s="5"/>
      <c r="F656" s="2"/>
      <c r="G656" s="2"/>
      <c r="H656" s="2"/>
      <c r="I656" s="2"/>
      <c r="J656" s="2"/>
    </row>
    <row r="657" spans="2:10">
      <c r="B657" s="2"/>
      <c r="C657" s="2"/>
      <c r="D657" s="2"/>
      <c r="E657" s="5"/>
      <c r="F657" s="2"/>
      <c r="G657" s="2"/>
      <c r="H657" s="2"/>
      <c r="I657" s="2"/>
      <c r="J657" s="2"/>
    </row>
    <row r="658" spans="2:10">
      <c r="B658" s="2"/>
      <c r="C658" s="2"/>
      <c r="D658" s="2"/>
      <c r="E658" s="5"/>
      <c r="F658" s="2"/>
      <c r="G658" s="2"/>
      <c r="H658" s="2"/>
      <c r="I658" s="2"/>
      <c r="J658" s="2"/>
    </row>
    <row r="659" spans="2:10">
      <c r="B659" s="2"/>
      <c r="C659" s="2"/>
      <c r="D659" s="2"/>
      <c r="E659" s="5"/>
      <c r="F659" s="2"/>
      <c r="G659" s="2"/>
      <c r="H659" s="2"/>
      <c r="I659" s="2"/>
      <c r="J659" s="2"/>
    </row>
    <row r="660" spans="2:10">
      <c r="B660" s="2"/>
      <c r="C660" s="2"/>
      <c r="D660" s="2"/>
      <c r="E660" s="5"/>
      <c r="F660" s="2"/>
      <c r="G660" s="2"/>
      <c r="H660" s="2"/>
      <c r="I660" s="2"/>
      <c r="J660" s="2"/>
    </row>
    <row r="661" spans="2:10">
      <c r="B661" s="2"/>
      <c r="C661" s="2"/>
      <c r="D661" s="2"/>
      <c r="E661" s="5"/>
      <c r="F661" s="2"/>
      <c r="G661" s="2"/>
      <c r="H661" s="2"/>
      <c r="I661" s="2"/>
      <c r="J661" s="2"/>
    </row>
    <row r="662" spans="2:10">
      <c r="B662" s="2"/>
      <c r="C662" s="2"/>
      <c r="D662" s="2"/>
      <c r="E662" s="5"/>
      <c r="F662" s="2"/>
      <c r="G662" s="2"/>
      <c r="H662" s="2"/>
      <c r="I662" s="2"/>
      <c r="J662" s="2"/>
    </row>
    <row r="663" spans="2:10">
      <c r="B663" s="2"/>
      <c r="C663" s="2"/>
      <c r="D663" s="2"/>
      <c r="E663" s="5"/>
      <c r="F663" s="2"/>
      <c r="G663" s="2"/>
      <c r="H663" s="2"/>
      <c r="I663" s="2"/>
      <c r="J663" s="2"/>
    </row>
    <row r="664" spans="2:10">
      <c r="B664" s="2"/>
      <c r="C664" s="2"/>
      <c r="D664" s="2"/>
      <c r="E664" s="5"/>
      <c r="F664" s="2"/>
      <c r="G664" s="2"/>
      <c r="H664" s="2"/>
      <c r="I664" s="2"/>
      <c r="J664" s="2"/>
    </row>
    <row r="665" spans="2:10">
      <c r="B665" s="2"/>
      <c r="C665" s="2"/>
      <c r="D665" s="2"/>
      <c r="E665" s="5"/>
      <c r="F665" s="2"/>
      <c r="G665" s="2"/>
      <c r="H665" s="2"/>
      <c r="I665" s="2"/>
      <c r="J665" s="2"/>
    </row>
    <row r="666" spans="2:10">
      <c r="B666" s="2"/>
      <c r="C666" s="2"/>
      <c r="D666" s="2"/>
      <c r="E666" s="5"/>
      <c r="F666" s="2"/>
      <c r="G666" s="2"/>
      <c r="H666" s="2"/>
      <c r="I666" s="2"/>
      <c r="J666" s="2"/>
    </row>
    <row r="667" spans="2:10">
      <c r="B667" s="2"/>
      <c r="C667" s="2"/>
      <c r="D667" s="2"/>
      <c r="E667" s="5"/>
      <c r="F667" s="2"/>
      <c r="G667" s="2"/>
      <c r="H667" s="2"/>
      <c r="I667" s="2"/>
      <c r="J667" s="2"/>
    </row>
    <row r="668" spans="2:10">
      <c r="B668" s="2"/>
      <c r="C668" s="2"/>
      <c r="D668" s="2"/>
      <c r="E668" s="5"/>
      <c r="F668" s="2"/>
      <c r="G668" s="2"/>
      <c r="H668" s="2"/>
      <c r="I668" s="2"/>
      <c r="J668" s="2"/>
    </row>
    <row r="669" spans="2:10">
      <c r="B669" s="2"/>
      <c r="C669" s="2"/>
      <c r="D669" s="2"/>
      <c r="E669" s="5"/>
      <c r="F669" s="2"/>
      <c r="G669" s="2"/>
      <c r="H669" s="2"/>
      <c r="I669" s="2"/>
      <c r="J669" s="2"/>
    </row>
    <row r="670" spans="2:10">
      <c r="B670" s="2"/>
      <c r="C670" s="2"/>
      <c r="D670" s="2"/>
      <c r="E670" s="5"/>
      <c r="F670" s="2"/>
      <c r="G670" s="2"/>
      <c r="H670" s="2"/>
      <c r="I670" s="2"/>
      <c r="J670" s="2"/>
    </row>
    <row r="671" spans="2:10">
      <c r="B671" s="2"/>
      <c r="C671" s="2"/>
      <c r="D671" s="2"/>
      <c r="E671" s="5"/>
      <c r="F671" s="2"/>
      <c r="G671" s="2"/>
      <c r="H671" s="2"/>
      <c r="I671" s="2"/>
      <c r="J671" s="2"/>
    </row>
    <row r="672" spans="2:10">
      <c r="B672" s="2"/>
      <c r="C672" s="2"/>
      <c r="D672" s="2"/>
      <c r="E672" s="5"/>
      <c r="F672" s="2"/>
      <c r="G672" s="2"/>
      <c r="H672" s="2"/>
      <c r="I672" s="2"/>
      <c r="J672" s="2"/>
    </row>
    <row r="673" spans="2:10">
      <c r="B673" s="2"/>
      <c r="C673" s="2"/>
      <c r="D673" s="2"/>
      <c r="E673" s="5"/>
      <c r="F673" s="2"/>
      <c r="G673" s="2"/>
      <c r="H673" s="2"/>
      <c r="I673" s="2"/>
      <c r="J673" s="2"/>
    </row>
    <row r="674" spans="2:10">
      <c r="B674" s="2"/>
      <c r="C674" s="2"/>
      <c r="D674" s="2"/>
      <c r="E674" s="5"/>
      <c r="F674" s="2"/>
      <c r="G674" s="2"/>
      <c r="H674" s="2"/>
      <c r="I674" s="2"/>
      <c r="J674" s="2"/>
    </row>
    <row r="675" spans="2:10">
      <c r="B675" s="2"/>
      <c r="C675" s="2"/>
      <c r="D675" s="2"/>
      <c r="E675" s="5"/>
      <c r="F675" s="2"/>
      <c r="G675" s="2"/>
      <c r="H675" s="2"/>
      <c r="I675" s="2"/>
      <c r="J675" s="2"/>
    </row>
    <row r="676" spans="2:10">
      <c r="B676" s="2"/>
      <c r="C676" s="2"/>
      <c r="D676" s="2"/>
      <c r="E676" s="5"/>
      <c r="F676" s="2"/>
      <c r="G676" s="2"/>
      <c r="H676" s="2"/>
      <c r="I676" s="2"/>
      <c r="J676" s="2"/>
    </row>
    <row r="677" spans="2:10">
      <c r="B677" s="2"/>
      <c r="C677" s="2"/>
      <c r="D677" s="2"/>
      <c r="E677" s="5"/>
      <c r="F677" s="2"/>
      <c r="G677" s="2"/>
      <c r="H677" s="2"/>
      <c r="I677" s="2"/>
      <c r="J677" s="2"/>
    </row>
    <row r="678" spans="2:10">
      <c r="B678" s="2"/>
      <c r="C678" s="2"/>
      <c r="D678" s="2"/>
      <c r="E678" s="5"/>
      <c r="F678" s="2"/>
      <c r="G678" s="2"/>
      <c r="H678" s="2"/>
      <c r="I678" s="2"/>
      <c r="J678" s="2"/>
    </row>
    <row r="679" spans="2:10">
      <c r="B679" s="2"/>
      <c r="C679" s="2"/>
      <c r="D679" s="2"/>
      <c r="E679" s="5"/>
      <c r="F679" s="2"/>
      <c r="G679" s="2"/>
      <c r="H679" s="2"/>
      <c r="I679" s="2"/>
      <c r="J679" s="2"/>
    </row>
    <row r="680" spans="2:10">
      <c r="B680" s="2"/>
      <c r="C680" s="2"/>
      <c r="D680" s="2"/>
      <c r="E680" s="5"/>
      <c r="F680" s="2"/>
      <c r="G680" s="2"/>
      <c r="H680" s="2"/>
      <c r="I680" s="2"/>
      <c r="J680" s="2"/>
    </row>
    <row r="681" spans="2:10">
      <c r="B681" s="2"/>
      <c r="C681" s="2"/>
      <c r="D681" s="2"/>
      <c r="E681" s="5"/>
      <c r="F681" s="2"/>
      <c r="G681" s="2"/>
      <c r="H681" s="2"/>
      <c r="I681" s="2"/>
      <c r="J681" s="2"/>
    </row>
    <row r="682" spans="2:10">
      <c r="B682" s="2"/>
      <c r="C682" s="2"/>
      <c r="D682" s="2"/>
      <c r="E682" s="5"/>
      <c r="F682" s="2"/>
      <c r="G682" s="2"/>
      <c r="H682" s="2"/>
      <c r="I682" s="2"/>
      <c r="J682" s="2"/>
    </row>
    <row r="683" spans="2:10">
      <c r="B683" s="2"/>
      <c r="C683" s="2"/>
      <c r="D683" s="2"/>
      <c r="E683" s="5"/>
      <c r="F683" s="2"/>
      <c r="G683" s="2"/>
      <c r="H683" s="2"/>
      <c r="I683" s="2"/>
      <c r="J683" s="2"/>
    </row>
    <row r="684" spans="2:10">
      <c r="B684" s="2"/>
      <c r="C684" s="2"/>
      <c r="D684" s="2"/>
      <c r="E684" s="5"/>
      <c r="F684" s="2"/>
      <c r="G684" s="2"/>
      <c r="H684" s="2"/>
      <c r="I684" s="2"/>
      <c r="J684" s="2"/>
    </row>
    <row r="685" spans="2:10">
      <c r="B685" s="2"/>
      <c r="C685" s="2"/>
      <c r="D685" s="2"/>
      <c r="E685" s="5"/>
      <c r="F685" s="2"/>
      <c r="G685" s="2"/>
      <c r="H685" s="2"/>
      <c r="I685" s="2"/>
      <c r="J685" s="2"/>
    </row>
    <row r="686" spans="2:10">
      <c r="B686" s="2"/>
      <c r="C686" s="2"/>
      <c r="D686" s="2"/>
      <c r="E686" s="5"/>
      <c r="F686" s="2"/>
      <c r="G686" s="2"/>
      <c r="H686" s="2"/>
      <c r="I686" s="2"/>
      <c r="J686" s="2"/>
    </row>
    <row r="687" spans="2:10">
      <c r="B687" s="2"/>
      <c r="C687" s="2"/>
      <c r="D687" s="2"/>
      <c r="E687" s="5"/>
      <c r="F687" s="2"/>
      <c r="G687" s="2"/>
      <c r="H687" s="2"/>
      <c r="I687" s="2"/>
      <c r="J687" s="2"/>
    </row>
    <row r="688" spans="2:10">
      <c r="B688" s="2"/>
      <c r="C688" s="2"/>
      <c r="D688" s="2"/>
      <c r="E688" s="5"/>
      <c r="F688" s="2"/>
      <c r="G688" s="2"/>
      <c r="H688" s="2"/>
      <c r="I688" s="2"/>
      <c r="J688" s="2"/>
    </row>
    <row r="689" spans="2:10">
      <c r="B689" s="2"/>
      <c r="C689" s="2"/>
      <c r="D689" s="2"/>
      <c r="E689" s="5"/>
      <c r="F689" s="2"/>
      <c r="G689" s="2"/>
      <c r="H689" s="2"/>
      <c r="I689" s="2"/>
      <c r="J689" s="2"/>
    </row>
    <row r="690" spans="2:10">
      <c r="B690" s="2"/>
      <c r="C690" s="2"/>
      <c r="D690" s="2"/>
      <c r="E690" s="5"/>
      <c r="F690" s="2"/>
      <c r="G690" s="2"/>
      <c r="H690" s="2"/>
      <c r="I690" s="2"/>
      <c r="J690" s="2"/>
    </row>
    <row r="691" spans="2:10">
      <c r="B691" s="2"/>
      <c r="C691" s="2"/>
      <c r="D691" s="2"/>
      <c r="E691" s="5"/>
      <c r="F691" s="2"/>
      <c r="G691" s="2"/>
      <c r="H691" s="2"/>
      <c r="I691" s="2"/>
      <c r="J691" s="2"/>
    </row>
    <row r="692" spans="2:10">
      <c r="B692" s="2"/>
      <c r="C692" s="2"/>
      <c r="D692" s="2"/>
      <c r="E692" s="5"/>
      <c r="F692" s="2"/>
      <c r="G692" s="2"/>
      <c r="H692" s="2"/>
      <c r="I692" s="2"/>
      <c r="J692" s="2"/>
    </row>
    <row r="693" spans="2:10">
      <c r="B693" s="2"/>
      <c r="C693" s="2"/>
      <c r="D693" s="2"/>
      <c r="E693" s="5"/>
      <c r="F693" s="2"/>
      <c r="G693" s="2"/>
      <c r="H693" s="2"/>
      <c r="I693" s="2"/>
      <c r="J693" s="2"/>
    </row>
    <row r="694" spans="2:10">
      <c r="B694" s="2"/>
      <c r="C694" s="2"/>
      <c r="D694" s="2"/>
      <c r="E694" s="5"/>
      <c r="F694" s="2"/>
      <c r="G694" s="2"/>
      <c r="H694" s="2"/>
      <c r="I694" s="2"/>
      <c r="J694" s="2"/>
    </row>
    <row r="695" spans="2:10">
      <c r="B695" s="2"/>
      <c r="C695" s="2"/>
      <c r="D695" s="2"/>
      <c r="E695" s="5"/>
      <c r="F695" s="2"/>
      <c r="G695" s="2"/>
      <c r="H695" s="2"/>
      <c r="I695" s="2"/>
      <c r="J695" s="2"/>
    </row>
    <row r="696" spans="2:10">
      <c r="B696" s="2"/>
      <c r="C696" s="2"/>
      <c r="D696" s="2"/>
      <c r="E696" s="5"/>
      <c r="F696" s="2"/>
      <c r="G696" s="2"/>
      <c r="H696" s="2"/>
      <c r="I696" s="2"/>
      <c r="J696" s="2"/>
    </row>
    <row r="697" spans="2:10">
      <c r="B697" s="2"/>
      <c r="C697" s="2"/>
      <c r="D697" s="2"/>
      <c r="E697" s="5"/>
      <c r="F697" s="2"/>
      <c r="G697" s="2"/>
      <c r="H697" s="2"/>
      <c r="I697" s="2"/>
      <c r="J697" s="2"/>
    </row>
    <row r="698" spans="2:10">
      <c r="B698" s="2"/>
      <c r="C698" s="2"/>
      <c r="D698" s="2"/>
      <c r="E698" s="5"/>
      <c r="F698" s="2"/>
      <c r="G698" s="2"/>
      <c r="H698" s="2"/>
      <c r="I698" s="2"/>
      <c r="J698" s="2"/>
    </row>
    <row r="699" spans="2:10">
      <c r="B699" s="2"/>
      <c r="C699" s="2"/>
      <c r="D699" s="2"/>
      <c r="E699" s="5"/>
      <c r="F699" s="2"/>
      <c r="G699" s="2"/>
      <c r="H699" s="2"/>
      <c r="I699" s="2"/>
      <c r="J699" s="2"/>
    </row>
    <row r="700" spans="2:10">
      <c r="B700" s="2"/>
      <c r="C700" s="2"/>
      <c r="D700" s="2"/>
      <c r="E700" s="5"/>
      <c r="F700" s="2"/>
      <c r="G700" s="2"/>
      <c r="H700" s="2"/>
      <c r="I700" s="2"/>
      <c r="J700" s="2"/>
    </row>
    <row r="701" spans="2:10">
      <c r="B701" s="2"/>
      <c r="C701" s="2"/>
      <c r="D701" s="2"/>
      <c r="E701" s="5"/>
      <c r="F701" s="2"/>
      <c r="G701" s="2"/>
      <c r="H701" s="2"/>
      <c r="I701" s="2"/>
      <c r="J701" s="2"/>
    </row>
    <row r="702" spans="2:10">
      <c r="B702" s="2"/>
      <c r="C702" s="2"/>
      <c r="D702" s="2"/>
      <c r="E702" s="5"/>
      <c r="F702" s="2"/>
      <c r="G702" s="2"/>
      <c r="H702" s="2"/>
      <c r="I702" s="2"/>
      <c r="J702" s="2"/>
    </row>
    <row r="703" spans="2:10">
      <c r="B703" s="2"/>
      <c r="C703" s="2"/>
      <c r="D703" s="2"/>
      <c r="E703" s="5"/>
      <c r="F703" s="2"/>
      <c r="G703" s="2"/>
      <c r="H703" s="2"/>
      <c r="I703" s="2"/>
      <c r="J703" s="2"/>
    </row>
    <row r="704" spans="2:10">
      <c r="B704" s="2"/>
      <c r="C704" s="2"/>
      <c r="D704" s="2"/>
      <c r="E704" s="5"/>
      <c r="F704" s="2"/>
      <c r="G704" s="2"/>
      <c r="H704" s="2"/>
      <c r="I704" s="2"/>
      <c r="J704" s="2"/>
    </row>
    <row r="705" spans="2:10">
      <c r="B705" s="2"/>
      <c r="C705" s="2"/>
      <c r="D705" s="2"/>
      <c r="E705" s="5"/>
      <c r="F705" s="2"/>
      <c r="G705" s="2"/>
      <c r="H705" s="2"/>
      <c r="I705" s="2"/>
      <c r="J705" s="2"/>
    </row>
    <row r="706" spans="2:10">
      <c r="B706" s="2"/>
      <c r="C706" s="2"/>
      <c r="D706" s="2"/>
      <c r="E706" s="5"/>
      <c r="F706" s="2"/>
      <c r="G706" s="2"/>
      <c r="H706" s="2"/>
      <c r="I706" s="2"/>
      <c r="J706" s="2"/>
    </row>
    <row r="707" spans="2:10">
      <c r="B707" s="2"/>
      <c r="C707" s="2"/>
      <c r="D707" s="2"/>
      <c r="E707" s="5"/>
      <c r="F707" s="2"/>
      <c r="G707" s="2"/>
      <c r="H707" s="2"/>
      <c r="I707" s="2"/>
      <c r="J707" s="2"/>
    </row>
    <row r="708" spans="2:10">
      <c r="B708" s="2"/>
      <c r="C708" s="2"/>
      <c r="D708" s="2"/>
      <c r="E708" s="5"/>
      <c r="F708" s="2"/>
      <c r="G708" s="2"/>
      <c r="H708" s="2"/>
      <c r="I708" s="2"/>
      <c r="J708" s="2"/>
    </row>
    <row r="709" spans="2:10">
      <c r="B709" s="2"/>
      <c r="C709" s="2"/>
      <c r="D709" s="2"/>
      <c r="E709" s="5"/>
      <c r="F709" s="2"/>
      <c r="G709" s="2"/>
      <c r="H709" s="2"/>
      <c r="I709" s="2"/>
      <c r="J709" s="2"/>
    </row>
    <row r="710" spans="2:10">
      <c r="B710" s="2"/>
      <c r="C710" s="2"/>
      <c r="D710" s="2"/>
      <c r="E710" s="5"/>
      <c r="F710" s="2"/>
      <c r="G710" s="2"/>
      <c r="H710" s="2"/>
      <c r="I710" s="2"/>
      <c r="J710" s="2"/>
    </row>
    <row r="711" spans="2:10">
      <c r="B711" s="2"/>
      <c r="C711" s="2"/>
      <c r="D711" s="2"/>
      <c r="E711" s="5"/>
      <c r="F711" s="2"/>
      <c r="G711" s="2"/>
      <c r="H711" s="2"/>
      <c r="I711" s="2"/>
      <c r="J711" s="2"/>
    </row>
    <row r="712" spans="2:10">
      <c r="B712" s="2"/>
      <c r="C712" s="2"/>
      <c r="D712" s="2"/>
      <c r="E712" s="5"/>
      <c r="F712" s="2"/>
      <c r="G712" s="2"/>
      <c r="H712" s="2"/>
      <c r="I712" s="2"/>
      <c r="J712" s="2"/>
    </row>
    <row r="713" spans="2:10">
      <c r="B713" s="2"/>
      <c r="C713" s="2"/>
      <c r="D713" s="2"/>
      <c r="E713" s="5"/>
      <c r="F713" s="2"/>
      <c r="G713" s="2"/>
      <c r="H713" s="2"/>
      <c r="I713" s="2"/>
      <c r="J713" s="2"/>
    </row>
    <row r="714" spans="2:10">
      <c r="B714" s="2"/>
      <c r="C714" s="2"/>
      <c r="D714" s="2"/>
      <c r="E714" s="5"/>
      <c r="F714" s="2"/>
      <c r="G714" s="2"/>
      <c r="H714" s="2"/>
      <c r="I714" s="2"/>
      <c r="J714" s="2"/>
    </row>
    <row r="715" spans="2:10">
      <c r="B715" s="2"/>
      <c r="C715" s="2"/>
      <c r="D715" s="2"/>
      <c r="E715" s="5"/>
      <c r="F715" s="2"/>
      <c r="G715" s="2"/>
      <c r="H715" s="2"/>
      <c r="I715" s="2"/>
      <c r="J715" s="2"/>
    </row>
    <row r="716" spans="2:10">
      <c r="B716" s="2"/>
      <c r="C716" s="2"/>
      <c r="D716" s="2"/>
      <c r="E716" s="5"/>
      <c r="F716" s="2"/>
      <c r="G716" s="2"/>
      <c r="H716" s="2"/>
      <c r="I716" s="2"/>
      <c r="J716" s="2"/>
    </row>
    <row r="717" spans="2:10">
      <c r="B717" s="2"/>
      <c r="C717" s="2"/>
      <c r="D717" s="2"/>
      <c r="E717" s="5"/>
      <c r="F717" s="2"/>
      <c r="G717" s="2"/>
      <c r="H717" s="2"/>
      <c r="I717" s="2"/>
      <c r="J717" s="2"/>
    </row>
    <row r="718" spans="2:10">
      <c r="B718" s="2"/>
      <c r="C718" s="2"/>
      <c r="D718" s="2"/>
      <c r="E718" s="5"/>
      <c r="F718" s="2"/>
      <c r="G718" s="2"/>
      <c r="H718" s="2"/>
      <c r="I718" s="2"/>
      <c r="J718" s="2"/>
    </row>
    <row r="719" spans="2:10">
      <c r="B719" s="2"/>
      <c r="C719" s="2"/>
      <c r="D719" s="2"/>
      <c r="E719" s="5"/>
      <c r="F719" s="2"/>
      <c r="G719" s="2"/>
      <c r="H719" s="2"/>
      <c r="I719" s="2"/>
      <c r="J719" s="2"/>
    </row>
    <row r="720" spans="2:10">
      <c r="B720" s="2"/>
      <c r="C720" s="2"/>
      <c r="D720" s="2"/>
      <c r="E720" s="5"/>
      <c r="F720" s="2"/>
      <c r="G720" s="2"/>
      <c r="H720" s="2"/>
      <c r="I720" s="2"/>
      <c r="J720" s="2"/>
    </row>
    <row r="721" spans="2:10">
      <c r="B721" s="2"/>
      <c r="C721" s="2"/>
      <c r="D721" s="2"/>
      <c r="E721" s="5"/>
      <c r="F721" s="2"/>
      <c r="G721" s="2"/>
      <c r="H721" s="2"/>
      <c r="I721" s="2"/>
      <c r="J721" s="2"/>
    </row>
    <row r="722" spans="2:10">
      <c r="B722" s="2"/>
      <c r="C722" s="2"/>
      <c r="D722" s="2"/>
      <c r="E722" s="5"/>
      <c r="F722" s="2"/>
      <c r="G722" s="2"/>
      <c r="H722" s="2"/>
      <c r="I722" s="2"/>
      <c r="J722" s="2"/>
    </row>
    <row r="723" spans="2:10">
      <c r="B723" s="2"/>
      <c r="C723" s="2"/>
      <c r="D723" s="2"/>
      <c r="E723" s="5"/>
      <c r="F723" s="2"/>
      <c r="G723" s="2"/>
      <c r="H723" s="2"/>
      <c r="I723" s="2"/>
      <c r="J723" s="2"/>
    </row>
    <row r="724" spans="2:10">
      <c r="B724" s="2"/>
      <c r="C724" s="2"/>
      <c r="D724" s="2"/>
      <c r="E724" s="5"/>
      <c r="F724" s="2"/>
      <c r="G724" s="2"/>
      <c r="H724" s="2"/>
      <c r="I724" s="2"/>
      <c r="J724" s="2"/>
    </row>
    <row r="725" spans="2:10">
      <c r="B725" s="2"/>
      <c r="C725" s="2"/>
      <c r="D725" s="2"/>
      <c r="E725" s="5"/>
      <c r="F725" s="2"/>
      <c r="G725" s="2"/>
      <c r="H725" s="2"/>
      <c r="I725" s="2"/>
      <c r="J725" s="2"/>
    </row>
    <row r="726" spans="2:10">
      <c r="B726" s="2"/>
      <c r="C726" s="2"/>
      <c r="D726" s="2"/>
      <c r="E726" s="5"/>
      <c r="F726" s="2"/>
      <c r="G726" s="2"/>
      <c r="H726" s="2"/>
      <c r="I726" s="2"/>
      <c r="J726" s="2"/>
    </row>
    <row r="727" spans="2:10">
      <c r="B727" s="2"/>
      <c r="C727" s="2"/>
      <c r="D727" s="2"/>
      <c r="E727" s="5"/>
      <c r="F727" s="2"/>
      <c r="G727" s="2"/>
      <c r="H727" s="2"/>
      <c r="I727" s="2"/>
      <c r="J727" s="2"/>
    </row>
    <row r="728" spans="2:10">
      <c r="B728" s="2"/>
      <c r="C728" s="2"/>
      <c r="D728" s="2"/>
      <c r="E728" s="5"/>
      <c r="F728" s="2"/>
      <c r="G728" s="2"/>
      <c r="H728" s="2"/>
      <c r="I728" s="2"/>
      <c r="J728" s="2"/>
    </row>
    <row r="729" spans="2:10">
      <c r="B729" s="2"/>
      <c r="C729" s="2"/>
      <c r="D729" s="2"/>
      <c r="E729" s="5"/>
      <c r="F729" s="2"/>
      <c r="G729" s="2"/>
      <c r="H729" s="2"/>
      <c r="I729" s="2"/>
      <c r="J729" s="2"/>
    </row>
    <row r="730" spans="2:10">
      <c r="B730" s="2"/>
      <c r="C730" s="2"/>
      <c r="D730" s="2"/>
      <c r="E730" s="5"/>
      <c r="F730" s="2"/>
      <c r="G730" s="2"/>
      <c r="H730" s="2"/>
      <c r="I730" s="2"/>
      <c r="J730" s="2"/>
    </row>
    <row r="731" spans="2:10">
      <c r="B731" s="2"/>
      <c r="C731" s="2"/>
      <c r="D731" s="2"/>
      <c r="E731" s="5"/>
      <c r="F731" s="2"/>
      <c r="G731" s="2"/>
      <c r="H731" s="2"/>
      <c r="I731" s="2"/>
      <c r="J731" s="2"/>
    </row>
    <row r="732" spans="2:10">
      <c r="B732" s="2"/>
      <c r="C732" s="2"/>
      <c r="D732" s="2"/>
      <c r="E732" s="5"/>
      <c r="F732" s="2"/>
      <c r="G732" s="2"/>
      <c r="H732" s="2"/>
      <c r="I732" s="2"/>
      <c r="J732" s="2"/>
    </row>
    <row r="733" spans="2:10">
      <c r="B733" s="2"/>
      <c r="C733" s="2"/>
      <c r="D733" s="2"/>
      <c r="E733" s="5"/>
      <c r="F733" s="2"/>
      <c r="G733" s="2"/>
      <c r="H733" s="2"/>
      <c r="I733" s="2"/>
      <c r="J733" s="2"/>
    </row>
    <row r="734" spans="2:10">
      <c r="B734" s="2"/>
      <c r="C734" s="2"/>
      <c r="D734" s="2"/>
      <c r="E734" s="5"/>
      <c r="F734" s="2"/>
      <c r="G734" s="2"/>
      <c r="H734" s="2"/>
      <c r="I734" s="2"/>
      <c r="J734" s="2"/>
    </row>
    <row r="735" spans="2:10">
      <c r="B735" s="2"/>
      <c r="C735" s="2"/>
      <c r="D735" s="2"/>
      <c r="E735" s="5"/>
      <c r="F735" s="2"/>
      <c r="G735" s="2"/>
      <c r="H735" s="2"/>
      <c r="I735" s="2"/>
      <c r="J735" s="2"/>
    </row>
    <row r="736" spans="2:10">
      <c r="B736" s="2"/>
      <c r="C736" s="2"/>
      <c r="D736" s="2"/>
      <c r="E736" s="5"/>
      <c r="F736" s="2"/>
      <c r="G736" s="2"/>
      <c r="H736" s="2"/>
      <c r="I736" s="2"/>
      <c r="J736" s="2"/>
    </row>
    <row r="737" spans="2:10">
      <c r="B737" s="2"/>
      <c r="C737" s="2"/>
      <c r="D737" s="2"/>
      <c r="E737" s="5"/>
      <c r="F737" s="2"/>
      <c r="G737" s="2"/>
      <c r="H737" s="2"/>
      <c r="I737" s="2"/>
      <c r="J737" s="2"/>
    </row>
    <row r="738" spans="2:10">
      <c r="B738" s="2"/>
      <c r="C738" s="2"/>
      <c r="D738" s="2"/>
      <c r="E738" s="5"/>
      <c r="F738" s="2"/>
      <c r="G738" s="2"/>
      <c r="H738" s="2"/>
      <c r="I738" s="2"/>
      <c r="J738" s="2"/>
    </row>
    <row r="739" spans="2:10">
      <c r="B739" s="2"/>
      <c r="C739" s="2"/>
      <c r="D739" s="2"/>
      <c r="E739" s="5"/>
      <c r="F739" s="2"/>
      <c r="G739" s="2"/>
      <c r="H739" s="2"/>
      <c r="I739" s="2"/>
      <c r="J739" s="2"/>
    </row>
    <row r="740" spans="2:10">
      <c r="B740" s="2"/>
      <c r="C740" s="2"/>
      <c r="D740" s="2"/>
      <c r="E740" s="5"/>
      <c r="F740" s="2"/>
      <c r="G740" s="2"/>
      <c r="H740" s="2"/>
      <c r="I740" s="2"/>
      <c r="J740" s="2"/>
    </row>
    <row r="741" spans="2:10">
      <c r="B741" s="2"/>
      <c r="C741" s="2"/>
      <c r="D741" s="2"/>
      <c r="E741" s="5"/>
      <c r="F741" s="2"/>
      <c r="G741" s="2"/>
      <c r="H741" s="2"/>
      <c r="I741" s="2"/>
      <c r="J741" s="2"/>
    </row>
    <row r="742" spans="2:10">
      <c r="B742" s="2"/>
      <c r="C742" s="2"/>
      <c r="D742" s="2"/>
      <c r="E742" s="5"/>
      <c r="F742" s="2"/>
      <c r="G742" s="2"/>
      <c r="H742" s="2"/>
      <c r="I742" s="2"/>
      <c r="J742" s="2"/>
    </row>
    <row r="743" spans="2:10">
      <c r="B743" s="2"/>
      <c r="C743" s="2"/>
      <c r="D743" s="2"/>
      <c r="E743" s="5"/>
      <c r="F743" s="2"/>
      <c r="G743" s="2"/>
      <c r="H743" s="2"/>
      <c r="I743" s="2"/>
      <c r="J743" s="2"/>
    </row>
    <row r="744" spans="2:10">
      <c r="B744" s="2"/>
      <c r="C744" s="2"/>
      <c r="D744" s="2"/>
      <c r="E744" s="5"/>
      <c r="F744" s="2"/>
      <c r="G744" s="2"/>
      <c r="H744" s="2"/>
      <c r="I744" s="2"/>
      <c r="J744" s="2"/>
    </row>
    <row r="745" spans="2:10">
      <c r="B745" s="2"/>
      <c r="C745" s="2"/>
      <c r="D745" s="2"/>
      <c r="E745" s="5"/>
      <c r="F745" s="2"/>
      <c r="G745" s="2"/>
      <c r="H745" s="2"/>
      <c r="I745" s="2"/>
      <c r="J745" s="2"/>
    </row>
    <row r="746" spans="2:10">
      <c r="B746" s="2"/>
      <c r="C746" s="2"/>
      <c r="D746" s="2"/>
      <c r="E746" s="5"/>
      <c r="F746" s="2"/>
      <c r="G746" s="2"/>
      <c r="H746" s="2"/>
      <c r="I746" s="2"/>
      <c r="J746" s="2"/>
    </row>
    <row r="747" spans="2:10">
      <c r="B747" s="2"/>
      <c r="C747" s="2"/>
      <c r="D747" s="2"/>
      <c r="E747" s="5"/>
      <c r="F747" s="2"/>
      <c r="G747" s="2"/>
      <c r="H747" s="2"/>
      <c r="I747" s="2"/>
      <c r="J747" s="2"/>
    </row>
    <row r="748" spans="2:10">
      <c r="B748" s="2"/>
      <c r="C748" s="2"/>
      <c r="D748" s="2"/>
      <c r="E748" s="5"/>
      <c r="F748" s="2"/>
      <c r="G748" s="2"/>
      <c r="H748" s="2"/>
      <c r="I748" s="2"/>
      <c r="J748" s="2"/>
    </row>
    <row r="749" spans="2:10">
      <c r="B749" s="2"/>
      <c r="C749" s="2"/>
      <c r="D749" s="2"/>
      <c r="E749" s="5"/>
      <c r="F749" s="2"/>
      <c r="G749" s="2"/>
      <c r="H749" s="2"/>
      <c r="I749" s="2"/>
      <c r="J749" s="2"/>
    </row>
    <row r="750" spans="2:10">
      <c r="B750" s="2"/>
      <c r="C750" s="2"/>
      <c r="D750" s="2"/>
      <c r="E750" s="5"/>
      <c r="F750" s="2"/>
      <c r="G750" s="2"/>
      <c r="H750" s="2"/>
      <c r="I750" s="2"/>
      <c r="J750" s="2"/>
    </row>
    <row r="751" spans="2:10">
      <c r="B751" s="2"/>
      <c r="C751" s="2"/>
      <c r="D751" s="2"/>
      <c r="E751" s="5"/>
      <c r="F751" s="2"/>
      <c r="G751" s="2"/>
      <c r="H751" s="2"/>
      <c r="I751" s="2"/>
      <c r="J751" s="2"/>
    </row>
    <row r="752" spans="2:10">
      <c r="B752" s="2"/>
      <c r="C752" s="2"/>
      <c r="D752" s="2"/>
      <c r="E752" s="5"/>
      <c r="F752" s="2"/>
      <c r="G752" s="2"/>
      <c r="H752" s="2"/>
      <c r="I752" s="2"/>
      <c r="J752" s="2"/>
    </row>
    <row r="753" spans="2:10">
      <c r="B753" s="2"/>
      <c r="C753" s="2"/>
      <c r="D753" s="2"/>
      <c r="E753" s="5"/>
      <c r="F753" s="2"/>
      <c r="G753" s="2"/>
      <c r="H753" s="2"/>
      <c r="I753" s="2"/>
      <c r="J753" s="2"/>
    </row>
    <row r="754" spans="2:10">
      <c r="B754" s="2"/>
      <c r="C754" s="2"/>
      <c r="D754" s="2"/>
      <c r="E754" s="5"/>
      <c r="F754" s="2"/>
      <c r="G754" s="2"/>
      <c r="H754" s="2"/>
      <c r="I754" s="2"/>
      <c r="J754" s="2"/>
    </row>
    <row r="755" spans="2:10">
      <c r="B755" s="2"/>
      <c r="C755" s="2"/>
      <c r="D755" s="2"/>
      <c r="E755" s="5"/>
      <c r="F755" s="2"/>
      <c r="G755" s="2"/>
      <c r="H755" s="2"/>
      <c r="I755" s="2"/>
      <c r="J755" s="2"/>
    </row>
    <row r="756" spans="2:10">
      <c r="B756" s="2"/>
      <c r="C756" s="2"/>
      <c r="D756" s="2"/>
      <c r="E756" s="5"/>
      <c r="F756" s="2"/>
      <c r="G756" s="2"/>
      <c r="H756" s="2"/>
      <c r="I756" s="2"/>
      <c r="J756" s="2"/>
    </row>
    <row r="757" spans="2:10">
      <c r="B757" s="2"/>
      <c r="C757" s="2"/>
      <c r="D757" s="2"/>
      <c r="E757" s="5"/>
      <c r="F757" s="2"/>
      <c r="G757" s="2"/>
      <c r="H757" s="2"/>
      <c r="I757" s="2"/>
      <c r="J757" s="2"/>
    </row>
    <row r="758" spans="2:10">
      <c r="B758" s="2"/>
      <c r="C758" s="2"/>
      <c r="D758" s="2"/>
      <c r="E758" s="5"/>
      <c r="F758" s="2"/>
      <c r="G758" s="2"/>
      <c r="H758" s="2"/>
      <c r="I758" s="2"/>
      <c r="J758" s="2"/>
    </row>
    <row r="759" spans="2:10">
      <c r="B759" s="2"/>
      <c r="C759" s="2"/>
      <c r="D759" s="2"/>
      <c r="E759" s="5"/>
      <c r="F759" s="2"/>
      <c r="G759" s="2"/>
      <c r="H759" s="2"/>
      <c r="I759" s="2"/>
      <c r="J759" s="2"/>
    </row>
    <row r="760" spans="2:10">
      <c r="B760" s="2"/>
      <c r="C760" s="2"/>
      <c r="D760" s="2"/>
      <c r="E760" s="5"/>
      <c r="F760" s="2"/>
      <c r="G760" s="2"/>
      <c r="H760" s="2"/>
      <c r="I760" s="2"/>
      <c r="J760" s="2"/>
    </row>
    <row r="761" spans="2:10">
      <c r="B761" s="2"/>
      <c r="C761" s="2"/>
      <c r="D761" s="2"/>
      <c r="E761" s="5"/>
      <c r="F761" s="2"/>
      <c r="G761" s="2"/>
      <c r="H761" s="2"/>
      <c r="I761" s="2"/>
      <c r="J761" s="2"/>
    </row>
    <row r="762" spans="2:10">
      <c r="B762" s="2"/>
      <c r="C762" s="2"/>
      <c r="D762" s="2"/>
      <c r="E762" s="5"/>
      <c r="F762" s="2"/>
      <c r="G762" s="2"/>
      <c r="H762" s="2"/>
      <c r="I762" s="2"/>
      <c r="J762" s="2"/>
    </row>
    <row r="763" spans="2:10">
      <c r="B763" s="2"/>
      <c r="C763" s="2"/>
      <c r="D763" s="2"/>
      <c r="E763" s="5"/>
      <c r="F763" s="2"/>
      <c r="G763" s="2"/>
      <c r="H763" s="2"/>
      <c r="I763" s="2"/>
      <c r="J763" s="2"/>
    </row>
    <row r="764" spans="2:10">
      <c r="B764" s="2"/>
      <c r="C764" s="2"/>
      <c r="D764" s="2"/>
      <c r="E764" s="5"/>
      <c r="F764" s="2"/>
      <c r="G764" s="2"/>
      <c r="H764" s="2"/>
      <c r="I764" s="2"/>
      <c r="J764" s="2"/>
    </row>
    <row r="765" spans="2:10">
      <c r="B765" s="2"/>
      <c r="C765" s="2"/>
      <c r="D765" s="2"/>
      <c r="E765" s="5"/>
      <c r="F765" s="2"/>
      <c r="G765" s="2"/>
      <c r="H765" s="2"/>
      <c r="I765" s="2"/>
      <c r="J765" s="2"/>
    </row>
    <row r="766" spans="2:10">
      <c r="B766" s="2"/>
      <c r="C766" s="2"/>
      <c r="D766" s="2"/>
      <c r="E766" s="5"/>
      <c r="F766" s="2"/>
      <c r="G766" s="2"/>
      <c r="H766" s="2"/>
      <c r="I766" s="2"/>
      <c r="J766" s="2"/>
    </row>
    <row r="767" spans="2:10">
      <c r="B767" s="2"/>
      <c r="C767" s="2"/>
      <c r="D767" s="2"/>
      <c r="E767" s="5"/>
      <c r="F767" s="2"/>
      <c r="G767" s="2"/>
      <c r="H767" s="2"/>
      <c r="I767" s="2"/>
      <c r="J767" s="2"/>
    </row>
    <row r="768" spans="2:10">
      <c r="B768" s="2"/>
      <c r="C768" s="2"/>
      <c r="D768" s="2"/>
      <c r="E768" s="5"/>
      <c r="F768" s="2"/>
      <c r="G768" s="2"/>
      <c r="H768" s="2"/>
      <c r="I768" s="2"/>
      <c r="J768" s="2"/>
    </row>
    <row r="769" spans="2:10">
      <c r="B769" s="2"/>
      <c r="C769" s="2"/>
      <c r="D769" s="2"/>
      <c r="E769" s="5"/>
      <c r="F769" s="2"/>
      <c r="G769" s="2"/>
      <c r="H769" s="2"/>
      <c r="I769" s="2"/>
      <c r="J769" s="2"/>
    </row>
    <row r="770" spans="2:10">
      <c r="B770" s="2"/>
      <c r="C770" s="2"/>
      <c r="D770" s="2"/>
      <c r="E770" s="5"/>
      <c r="F770" s="2"/>
      <c r="G770" s="2"/>
      <c r="H770" s="2"/>
      <c r="I770" s="2"/>
      <c r="J770" s="2"/>
    </row>
    <row r="771" spans="2:10">
      <c r="B771" s="2"/>
      <c r="C771" s="2"/>
      <c r="D771" s="2"/>
      <c r="E771" s="5"/>
      <c r="F771" s="2"/>
      <c r="G771" s="2"/>
      <c r="H771" s="2"/>
      <c r="I771" s="2"/>
      <c r="J771" s="2"/>
    </row>
    <row r="772" spans="2:10">
      <c r="B772" s="2"/>
      <c r="C772" s="2"/>
      <c r="D772" s="2"/>
      <c r="E772" s="5"/>
      <c r="F772" s="2"/>
      <c r="G772" s="2"/>
      <c r="H772" s="2"/>
      <c r="I772" s="2"/>
      <c r="J772" s="2"/>
    </row>
    <row r="773" spans="2:10">
      <c r="B773" s="2"/>
      <c r="C773" s="2"/>
      <c r="D773" s="2"/>
      <c r="E773" s="5"/>
      <c r="F773" s="2"/>
      <c r="G773" s="2"/>
      <c r="H773" s="2"/>
      <c r="I773" s="2"/>
      <c r="J773" s="2"/>
    </row>
    <row r="774" spans="2:10">
      <c r="B774" s="2"/>
      <c r="C774" s="2"/>
      <c r="D774" s="2"/>
      <c r="E774" s="5"/>
      <c r="F774" s="2"/>
      <c r="G774" s="2"/>
      <c r="H774" s="2"/>
      <c r="I774" s="2"/>
      <c r="J774" s="2"/>
    </row>
    <row r="775" spans="2:10">
      <c r="B775" s="2"/>
      <c r="C775" s="2"/>
      <c r="D775" s="2"/>
      <c r="E775" s="5"/>
      <c r="F775" s="2"/>
      <c r="G775" s="2"/>
      <c r="H775" s="2"/>
      <c r="I775" s="2"/>
      <c r="J775" s="2"/>
    </row>
    <row r="776" spans="2:10">
      <c r="B776" s="2"/>
      <c r="C776" s="2"/>
      <c r="D776" s="2"/>
      <c r="E776" s="5"/>
      <c r="F776" s="2"/>
      <c r="G776" s="2"/>
      <c r="H776" s="2"/>
      <c r="I776" s="2"/>
      <c r="J776" s="2"/>
    </row>
    <row r="777" spans="2:10">
      <c r="B777" s="2"/>
      <c r="C777" s="2"/>
      <c r="D777" s="2"/>
      <c r="E777" s="5"/>
      <c r="F777" s="2"/>
      <c r="G777" s="2"/>
      <c r="H777" s="2"/>
      <c r="I777" s="2"/>
      <c r="J777" s="2"/>
    </row>
    <row r="778" spans="2:10">
      <c r="B778" s="2"/>
      <c r="C778" s="2"/>
      <c r="D778" s="2"/>
      <c r="E778" s="5"/>
      <c r="F778" s="2"/>
      <c r="G778" s="2"/>
      <c r="H778" s="2"/>
      <c r="I778" s="2"/>
      <c r="J778" s="2"/>
    </row>
    <row r="779" spans="2:10">
      <c r="B779" s="2"/>
      <c r="C779" s="2"/>
      <c r="D779" s="2"/>
      <c r="E779" s="5"/>
      <c r="F779" s="2"/>
      <c r="G779" s="2"/>
      <c r="H779" s="2"/>
      <c r="I779" s="2"/>
      <c r="J779" s="2"/>
    </row>
    <row r="780" spans="2:10">
      <c r="B780" s="2"/>
      <c r="C780" s="2"/>
      <c r="D780" s="2"/>
      <c r="E780" s="5"/>
      <c r="F780" s="2"/>
      <c r="G780" s="2"/>
      <c r="H780" s="2"/>
      <c r="I780" s="2"/>
      <c r="J780" s="2"/>
    </row>
    <row r="781" spans="2:10">
      <c r="B781" s="2"/>
      <c r="C781" s="2"/>
      <c r="D781" s="2"/>
      <c r="E781" s="5"/>
      <c r="F781" s="2"/>
      <c r="G781" s="2"/>
      <c r="H781" s="2"/>
      <c r="I781" s="2"/>
      <c r="J781" s="2"/>
    </row>
    <row r="782" spans="2:10">
      <c r="B782" s="2"/>
      <c r="C782" s="2"/>
      <c r="D782" s="2"/>
      <c r="E782" s="5"/>
      <c r="F782" s="2"/>
      <c r="G782" s="2"/>
      <c r="H782" s="2"/>
      <c r="I782" s="2"/>
      <c r="J782" s="2"/>
    </row>
    <row r="783" spans="2:10">
      <c r="B783" s="2"/>
      <c r="C783" s="2"/>
      <c r="D783" s="2"/>
      <c r="E783" s="5"/>
      <c r="F783" s="2"/>
      <c r="G783" s="2"/>
      <c r="H783" s="2"/>
      <c r="I783" s="2"/>
      <c r="J783" s="2"/>
    </row>
    <row r="784" spans="2:10">
      <c r="B784" s="2"/>
      <c r="C784" s="2"/>
      <c r="D784" s="2"/>
      <c r="E784" s="5"/>
      <c r="F784" s="2"/>
      <c r="G784" s="2"/>
      <c r="H784" s="2"/>
      <c r="I784" s="2"/>
      <c r="J784" s="2"/>
    </row>
    <row r="785" spans="2:10">
      <c r="B785" s="2"/>
      <c r="C785" s="2"/>
      <c r="D785" s="2"/>
      <c r="E785" s="5"/>
      <c r="F785" s="2"/>
      <c r="G785" s="2"/>
      <c r="H785" s="2"/>
      <c r="I785" s="2"/>
      <c r="J785" s="2"/>
    </row>
    <row r="786" spans="2:10">
      <c r="B786" s="2"/>
      <c r="C786" s="2"/>
      <c r="D786" s="2"/>
      <c r="E786" s="5"/>
      <c r="F786" s="2"/>
      <c r="G786" s="2"/>
      <c r="H786" s="2"/>
      <c r="I786" s="2"/>
      <c r="J786" s="2"/>
    </row>
    <row r="787" spans="2:10">
      <c r="B787" s="2"/>
      <c r="C787" s="2"/>
      <c r="D787" s="2"/>
      <c r="E787" s="5"/>
      <c r="F787" s="2"/>
      <c r="G787" s="2"/>
      <c r="H787" s="2"/>
      <c r="I787" s="2"/>
      <c r="J787" s="2"/>
    </row>
    <row r="788" spans="2:10">
      <c r="B788" s="2"/>
      <c r="C788" s="2"/>
      <c r="D788" s="2"/>
      <c r="E788" s="5"/>
      <c r="F788" s="2"/>
      <c r="G788" s="2"/>
      <c r="H788" s="2"/>
      <c r="I788" s="2"/>
      <c r="J788" s="2"/>
    </row>
    <row r="789" spans="2:10">
      <c r="B789" s="2"/>
      <c r="C789" s="2"/>
      <c r="D789" s="2"/>
      <c r="E789" s="5"/>
      <c r="F789" s="2"/>
      <c r="G789" s="2"/>
      <c r="H789" s="2"/>
      <c r="I789" s="2"/>
      <c r="J789" s="2"/>
    </row>
    <row r="790" spans="2:10">
      <c r="B790" s="2"/>
      <c r="C790" s="2"/>
      <c r="D790" s="2"/>
      <c r="E790" s="5"/>
      <c r="F790" s="2"/>
      <c r="G790" s="2"/>
      <c r="H790" s="2"/>
      <c r="I790" s="2"/>
      <c r="J790" s="2"/>
    </row>
    <row r="791" spans="2:10">
      <c r="B791" s="2"/>
      <c r="C791" s="2"/>
      <c r="D791" s="2"/>
      <c r="E791" s="5"/>
      <c r="F791" s="2"/>
      <c r="G791" s="2"/>
      <c r="H791" s="2"/>
      <c r="I791" s="2"/>
      <c r="J791" s="2"/>
    </row>
    <row r="792" spans="2:10">
      <c r="B792" s="2"/>
      <c r="C792" s="2"/>
      <c r="D792" s="2"/>
      <c r="E792" s="5"/>
      <c r="F792" s="2"/>
      <c r="G792" s="2"/>
      <c r="H792" s="2"/>
      <c r="I792" s="2"/>
      <c r="J792" s="2"/>
    </row>
    <row r="793" spans="2:10">
      <c r="B793" s="2"/>
      <c r="C793" s="2"/>
      <c r="D793" s="2"/>
      <c r="E793" s="5"/>
      <c r="F793" s="2"/>
      <c r="G793" s="2"/>
      <c r="H793" s="2"/>
      <c r="I793" s="2"/>
      <c r="J793" s="2"/>
    </row>
    <row r="794" spans="2:10">
      <c r="B794" s="2"/>
      <c r="C794" s="2"/>
      <c r="D794" s="2"/>
      <c r="E794" s="5"/>
      <c r="F794" s="2"/>
      <c r="G794" s="2"/>
      <c r="H794" s="2"/>
      <c r="I794" s="2"/>
      <c r="J794" s="2"/>
    </row>
    <row r="795" spans="2:10">
      <c r="B795" s="2"/>
      <c r="C795" s="2"/>
      <c r="D795" s="2"/>
      <c r="E795" s="5"/>
      <c r="F795" s="2"/>
      <c r="G795" s="2"/>
      <c r="H795" s="2"/>
      <c r="I795" s="2"/>
      <c r="J795" s="2"/>
    </row>
    <row r="796" spans="2:10">
      <c r="B796" s="2"/>
      <c r="C796" s="2"/>
      <c r="D796" s="2"/>
      <c r="E796" s="5"/>
      <c r="F796" s="2"/>
      <c r="G796" s="2"/>
      <c r="H796" s="2"/>
      <c r="I796" s="2"/>
      <c r="J796" s="2"/>
    </row>
    <row r="797" spans="2:10">
      <c r="B797" s="2"/>
      <c r="C797" s="2"/>
      <c r="D797" s="2"/>
      <c r="E797" s="5"/>
      <c r="F797" s="2"/>
      <c r="G797" s="2"/>
      <c r="H797" s="2"/>
      <c r="I797" s="2"/>
      <c r="J797" s="2"/>
    </row>
    <row r="798" spans="2:10">
      <c r="B798" s="2"/>
      <c r="C798" s="2"/>
      <c r="D798" s="2"/>
      <c r="E798" s="5"/>
      <c r="F798" s="2"/>
      <c r="G798" s="2"/>
      <c r="H798" s="2"/>
      <c r="I798" s="2"/>
      <c r="J798" s="2"/>
    </row>
    <row r="799" spans="2:10">
      <c r="B799" s="2"/>
      <c r="C799" s="2"/>
      <c r="D799" s="2"/>
      <c r="E799" s="5"/>
      <c r="F799" s="2"/>
      <c r="G799" s="2"/>
      <c r="H799" s="2"/>
      <c r="I799" s="2"/>
      <c r="J799" s="2"/>
    </row>
    <row r="800" spans="2:10">
      <c r="B800" s="2"/>
      <c r="C800" s="2"/>
      <c r="D800" s="2"/>
      <c r="E800" s="5"/>
      <c r="F800" s="2"/>
      <c r="G800" s="2"/>
      <c r="H800" s="2"/>
      <c r="I800" s="2"/>
      <c r="J800" s="2"/>
    </row>
    <row r="801" spans="2:10">
      <c r="B801" s="2"/>
      <c r="C801" s="2"/>
      <c r="D801" s="2"/>
      <c r="E801" s="5"/>
      <c r="F801" s="2"/>
      <c r="G801" s="2"/>
      <c r="H801" s="2"/>
      <c r="I801" s="2"/>
      <c r="J801" s="2"/>
    </row>
    <row r="802" spans="2:10">
      <c r="B802" s="2"/>
      <c r="C802" s="2"/>
      <c r="D802" s="2"/>
      <c r="E802" s="5"/>
      <c r="F802" s="2"/>
      <c r="G802" s="2"/>
      <c r="H802" s="2"/>
      <c r="I802" s="2"/>
      <c r="J802" s="2"/>
    </row>
    <row r="803" spans="2:10">
      <c r="B803" s="2"/>
      <c r="C803" s="2"/>
      <c r="D803" s="2"/>
      <c r="E803" s="5"/>
      <c r="F803" s="2"/>
      <c r="G803" s="2"/>
      <c r="H803" s="2"/>
      <c r="I803" s="2"/>
      <c r="J803" s="2"/>
    </row>
    <row r="804" spans="2:10">
      <c r="B804" s="2"/>
      <c r="C804" s="2"/>
      <c r="D804" s="2"/>
      <c r="E804" s="5"/>
      <c r="F804" s="2"/>
      <c r="G804" s="2"/>
      <c r="H804" s="2"/>
      <c r="I804" s="2"/>
      <c r="J804" s="2"/>
    </row>
    <row r="805" spans="2:10">
      <c r="B805" s="2"/>
      <c r="C805" s="2"/>
      <c r="D805" s="2"/>
      <c r="E805" s="5"/>
      <c r="F805" s="2"/>
      <c r="G805" s="2"/>
      <c r="H805" s="2"/>
      <c r="I805" s="2"/>
      <c r="J805" s="2"/>
    </row>
    <row r="806" spans="2:10">
      <c r="B806" s="2"/>
      <c r="C806" s="2"/>
      <c r="D806" s="2"/>
      <c r="E806" s="5"/>
      <c r="F806" s="2"/>
      <c r="G806" s="2"/>
      <c r="H806" s="2"/>
      <c r="I806" s="2"/>
      <c r="J806" s="2"/>
    </row>
    <row r="807" spans="2:10">
      <c r="B807" s="2"/>
      <c r="C807" s="2"/>
      <c r="D807" s="2"/>
      <c r="E807" s="5"/>
      <c r="F807" s="2"/>
      <c r="G807" s="2"/>
      <c r="H807" s="2"/>
      <c r="I807" s="2"/>
      <c r="J807" s="2"/>
    </row>
    <row r="808" spans="2:10">
      <c r="B808" s="2"/>
      <c r="C808" s="2"/>
      <c r="D808" s="2"/>
      <c r="E808" s="5"/>
      <c r="F808" s="2"/>
      <c r="G808" s="2"/>
      <c r="H808" s="2"/>
      <c r="I808" s="2"/>
      <c r="J808" s="2"/>
    </row>
    <row r="809" spans="2:10">
      <c r="B809" s="2"/>
      <c r="C809" s="2"/>
      <c r="D809" s="2"/>
      <c r="E809" s="5"/>
      <c r="F809" s="2"/>
      <c r="G809" s="2"/>
      <c r="H809" s="2"/>
      <c r="I809" s="2"/>
      <c r="J809" s="2"/>
    </row>
    <row r="810" spans="2:10">
      <c r="B810" s="2"/>
      <c r="C810" s="2"/>
      <c r="D810" s="2"/>
      <c r="E810" s="5"/>
      <c r="F810" s="2"/>
      <c r="G810" s="2"/>
      <c r="H810" s="2"/>
      <c r="I810" s="2"/>
      <c r="J810" s="2"/>
    </row>
    <row r="811" spans="2:10">
      <c r="B811" s="2"/>
      <c r="C811" s="2"/>
      <c r="D811" s="2"/>
      <c r="E811" s="5"/>
      <c r="F811" s="2"/>
      <c r="G811" s="2"/>
      <c r="H811" s="2"/>
      <c r="I811" s="2"/>
      <c r="J811" s="2"/>
    </row>
    <row r="812" spans="2:10">
      <c r="B812" s="2"/>
      <c r="C812" s="2"/>
      <c r="D812" s="2"/>
      <c r="E812" s="5"/>
      <c r="F812" s="2"/>
      <c r="G812" s="2"/>
      <c r="H812" s="2"/>
      <c r="I812" s="2"/>
      <c r="J812" s="2"/>
    </row>
    <row r="813" spans="2:10">
      <c r="B813" s="2"/>
      <c r="C813" s="2"/>
      <c r="D813" s="2"/>
      <c r="E813" s="5"/>
      <c r="F813" s="2"/>
      <c r="G813" s="2"/>
      <c r="H813" s="2"/>
      <c r="I813" s="2"/>
      <c r="J813" s="2"/>
    </row>
    <row r="814" spans="2:10">
      <c r="B814" s="2"/>
      <c r="C814" s="2"/>
      <c r="D814" s="2"/>
      <c r="E814" s="5"/>
      <c r="F814" s="2"/>
      <c r="G814" s="2"/>
      <c r="H814" s="2"/>
      <c r="I814" s="2"/>
      <c r="J814" s="2"/>
    </row>
    <row r="815" spans="2:10">
      <c r="B815" s="2"/>
      <c r="C815" s="2"/>
      <c r="D815" s="2"/>
      <c r="E815" s="5"/>
      <c r="F815" s="2"/>
      <c r="G815" s="2"/>
      <c r="H815" s="2"/>
      <c r="I815" s="2"/>
      <c r="J815" s="2"/>
    </row>
    <row r="816" spans="2:10">
      <c r="B816" s="2"/>
      <c r="C816" s="2"/>
      <c r="D816" s="2"/>
      <c r="E816" s="5"/>
      <c r="F816" s="2"/>
      <c r="G816" s="2"/>
      <c r="H816" s="2"/>
      <c r="I816" s="2"/>
      <c r="J816" s="2"/>
    </row>
    <row r="817" spans="2:10">
      <c r="B817" s="2"/>
      <c r="C817" s="2"/>
      <c r="D817" s="2"/>
      <c r="E817" s="5"/>
      <c r="F817" s="2"/>
      <c r="G817" s="2"/>
      <c r="H817" s="2"/>
      <c r="I817" s="2"/>
      <c r="J817" s="2"/>
    </row>
    <row r="818" spans="2:10">
      <c r="B818" s="2"/>
      <c r="C818" s="2"/>
      <c r="D818" s="2"/>
      <c r="E818" s="5"/>
      <c r="F818" s="2"/>
      <c r="G818" s="2"/>
      <c r="H818" s="2"/>
      <c r="I818" s="2"/>
      <c r="J818" s="2"/>
    </row>
    <row r="819" spans="2:10">
      <c r="B819" s="2"/>
      <c r="C819" s="2"/>
      <c r="D819" s="2"/>
      <c r="E819" s="5"/>
      <c r="F819" s="2"/>
      <c r="G819" s="2"/>
      <c r="H819" s="2"/>
      <c r="I819" s="2"/>
      <c r="J819" s="2"/>
    </row>
    <row r="820" spans="2:10">
      <c r="B820" s="2"/>
      <c r="C820" s="2"/>
      <c r="D820" s="2"/>
      <c r="E820" s="5"/>
      <c r="F820" s="2"/>
      <c r="G820" s="2"/>
      <c r="H820" s="2"/>
      <c r="I820" s="2"/>
      <c r="J820" s="2"/>
    </row>
    <row r="821" spans="2:10">
      <c r="B821" s="2"/>
      <c r="C821" s="2"/>
      <c r="D821" s="2"/>
      <c r="E821" s="5"/>
      <c r="F821" s="2"/>
      <c r="G821" s="2"/>
      <c r="H821" s="2"/>
      <c r="I821" s="2"/>
      <c r="J821" s="2"/>
    </row>
    <row r="822" spans="2:10">
      <c r="B822" s="2"/>
      <c r="C822" s="2"/>
      <c r="D822" s="2"/>
      <c r="E822" s="5"/>
      <c r="F822" s="2"/>
      <c r="G822" s="2"/>
      <c r="H822" s="2"/>
      <c r="I822" s="2"/>
      <c r="J822" s="2"/>
    </row>
    <row r="823" spans="2:10">
      <c r="B823" s="2"/>
      <c r="C823" s="2"/>
      <c r="D823" s="2"/>
      <c r="E823" s="5"/>
      <c r="F823" s="2"/>
      <c r="G823" s="2"/>
      <c r="H823" s="2"/>
      <c r="I823" s="2"/>
      <c r="J823" s="2"/>
    </row>
    <row r="824" spans="2:10">
      <c r="B824" s="2"/>
      <c r="C824" s="2"/>
      <c r="D824" s="2"/>
      <c r="E824" s="5"/>
      <c r="F824" s="2"/>
      <c r="G824" s="2"/>
      <c r="H824" s="2"/>
      <c r="I824" s="2"/>
      <c r="J824" s="2"/>
    </row>
    <row r="825" spans="2:10">
      <c r="B825" s="2"/>
      <c r="C825" s="2"/>
      <c r="D825" s="2"/>
      <c r="E825" s="5"/>
      <c r="F825" s="2"/>
      <c r="G825" s="2"/>
      <c r="H825" s="2"/>
      <c r="I825" s="2"/>
      <c r="J825" s="2"/>
    </row>
    <row r="826" spans="2:10">
      <c r="B826" s="2"/>
      <c r="C826" s="2"/>
      <c r="D826" s="2"/>
      <c r="E826" s="5"/>
      <c r="F826" s="2"/>
      <c r="G826" s="2"/>
      <c r="H826" s="2"/>
      <c r="I826" s="2"/>
      <c r="J826" s="2"/>
    </row>
    <row r="827" spans="2:10">
      <c r="B827" s="2"/>
      <c r="C827" s="2"/>
      <c r="D827" s="2"/>
      <c r="E827" s="5"/>
      <c r="F827" s="2"/>
      <c r="G827" s="2"/>
      <c r="H827" s="2"/>
      <c r="I827" s="2"/>
      <c r="J827" s="2"/>
    </row>
    <row r="828" spans="2:10">
      <c r="B828" s="2"/>
      <c r="C828" s="2"/>
      <c r="D828" s="2"/>
      <c r="E828" s="5"/>
      <c r="F828" s="2"/>
      <c r="G828" s="2"/>
      <c r="H828" s="2"/>
      <c r="I828" s="2"/>
      <c r="J828" s="2"/>
    </row>
    <row r="829" spans="2:10">
      <c r="B829" s="2"/>
      <c r="C829" s="2"/>
      <c r="D829" s="2"/>
      <c r="E829" s="5"/>
      <c r="F829" s="2"/>
      <c r="G829" s="2"/>
      <c r="H829" s="2"/>
      <c r="I829" s="2"/>
      <c r="J829" s="2"/>
    </row>
    <row r="830" spans="2:10">
      <c r="B830" s="2"/>
      <c r="C830" s="2"/>
      <c r="D830" s="2"/>
      <c r="E830" s="5"/>
      <c r="F830" s="2"/>
      <c r="G830" s="2"/>
      <c r="H830" s="2"/>
      <c r="I830" s="2"/>
      <c r="J830" s="2"/>
    </row>
    <row r="831" spans="2:10">
      <c r="B831" s="2"/>
      <c r="C831" s="2"/>
      <c r="D831" s="2"/>
      <c r="E831" s="5"/>
      <c r="F831" s="2"/>
      <c r="G831" s="2"/>
      <c r="H831" s="2"/>
      <c r="I831" s="2"/>
      <c r="J831" s="2"/>
    </row>
    <row r="832" spans="2:10">
      <c r="B832" s="2"/>
      <c r="C832" s="2"/>
      <c r="D832" s="2"/>
      <c r="E832" s="5"/>
      <c r="F832" s="2"/>
      <c r="G832" s="2"/>
      <c r="H832" s="2"/>
      <c r="I832" s="2"/>
      <c r="J832" s="2"/>
    </row>
    <row r="833" spans="2:10">
      <c r="B833" s="2"/>
      <c r="C833" s="2"/>
      <c r="D833" s="2"/>
      <c r="E833" s="5"/>
      <c r="F833" s="2"/>
      <c r="G833" s="2"/>
      <c r="H833" s="2"/>
      <c r="I833" s="2"/>
      <c r="J833" s="2"/>
    </row>
    <row r="834" spans="2:10">
      <c r="B834" s="2"/>
      <c r="C834" s="2"/>
      <c r="D834" s="2"/>
      <c r="E834" s="5"/>
      <c r="F834" s="2"/>
      <c r="G834" s="2"/>
      <c r="H834" s="2"/>
      <c r="I834" s="2"/>
      <c r="J834" s="2"/>
    </row>
    <row r="835" spans="2:10">
      <c r="B835" s="2"/>
      <c r="C835" s="2"/>
      <c r="D835" s="2"/>
      <c r="E835" s="5"/>
      <c r="F835" s="2"/>
      <c r="G835" s="2"/>
      <c r="H835" s="2"/>
      <c r="I835" s="2"/>
      <c r="J835" s="2"/>
    </row>
    <row r="836" spans="2:10">
      <c r="B836" s="2"/>
      <c r="C836" s="2"/>
      <c r="D836" s="2"/>
      <c r="E836" s="5"/>
      <c r="F836" s="2"/>
      <c r="G836" s="2"/>
      <c r="H836" s="2"/>
      <c r="I836" s="2"/>
      <c r="J836" s="2"/>
    </row>
    <row r="837" spans="2:10">
      <c r="B837" s="2"/>
      <c r="C837" s="2"/>
      <c r="D837" s="2"/>
      <c r="E837" s="5"/>
      <c r="F837" s="2"/>
      <c r="G837" s="2"/>
      <c r="H837" s="2"/>
      <c r="I837" s="2"/>
      <c r="J837" s="2"/>
    </row>
    <row r="838" spans="2:10">
      <c r="B838" s="2"/>
      <c r="C838" s="2"/>
      <c r="D838" s="2"/>
      <c r="E838" s="5"/>
      <c r="F838" s="2"/>
      <c r="G838" s="2"/>
      <c r="H838" s="2"/>
      <c r="I838" s="2"/>
      <c r="J838" s="2"/>
    </row>
    <row r="839" spans="2:10">
      <c r="B839" s="2"/>
      <c r="C839" s="2"/>
      <c r="D839" s="2"/>
      <c r="E839" s="5"/>
      <c r="F839" s="2"/>
      <c r="G839" s="2"/>
      <c r="H839" s="2"/>
      <c r="I839" s="2"/>
      <c r="J839" s="2"/>
    </row>
    <row r="840" spans="2:10">
      <c r="B840" s="2"/>
      <c r="C840" s="2"/>
      <c r="D840" s="2"/>
      <c r="E840" s="5"/>
      <c r="F840" s="2"/>
      <c r="G840" s="2"/>
      <c r="H840" s="2"/>
      <c r="I840" s="2"/>
      <c r="J840" s="2"/>
    </row>
    <row r="841" spans="2:10">
      <c r="B841" s="2"/>
      <c r="C841" s="2"/>
      <c r="D841" s="2"/>
      <c r="E841" s="5"/>
      <c r="F841" s="2"/>
      <c r="G841" s="2"/>
      <c r="H841" s="2"/>
      <c r="I841" s="2"/>
      <c r="J841" s="2"/>
    </row>
    <row r="842" spans="2:10">
      <c r="B842" s="2"/>
      <c r="C842" s="2"/>
      <c r="D842" s="2"/>
      <c r="E842" s="5"/>
      <c r="F842" s="2"/>
      <c r="G842" s="2"/>
      <c r="H842" s="2"/>
      <c r="I842" s="2"/>
      <c r="J842" s="2"/>
    </row>
    <row r="843" spans="2:10">
      <c r="B843" s="2"/>
      <c r="C843" s="2"/>
      <c r="D843" s="2"/>
      <c r="E843" s="5"/>
      <c r="F843" s="2"/>
      <c r="G843" s="2"/>
      <c r="H843" s="2"/>
      <c r="I843" s="2"/>
      <c r="J843" s="2"/>
    </row>
    <row r="844" spans="2:10">
      <c r="B844" s="2"/>
      <c r="C844" s="2"/>
      <c r="D844" s="2"/>
      <c r="E844" s="5"/>
      <c r="F844" s="2"/>
      <c r="G844" s="2"/>
      <c r="H844" s="2"/>
      <c r="I844" s="2"/>
      <c r="J844" s="2"/>
    </row>
    <row r="845" spans="2:10">
      <c r="B845" s="2"/>
      <c r="C845" s="2"/>
      <c r="D845" s="2"/>
      <c r="E845" s="5"/>
      <c r="F845" s="2"/>
      <c r="G845" s="2"/>
      <c r="H845" s="2"/>
      <c r="I845" s="2"/>
      <c r="J845" s="2"/>
    </row>
    <row r="846" spans="2:10">
      <c r="B846" s="2"/>
      <c r="C846" s="2"/>
      <c r="D846" s="2"/>
      <c r="E846" s="5"/>
      <c r="F846" s="2"/>
      <c r="G846" s="2"/>
      <c r="H846" s="2"/>
      <c r="I846" s="2"/>
      <c r="J846" s="2"/>
    </row>
    <row r="847" spans="2:10">
      <c r="B847" s="2"/>
      <c r="C847" s="2"/>
      <c r="D847" s="2"/>
      <c r="E847" s="5"/>
      <c r="F847" s="2"/>
      <c r="G847" s="2"/>
      <c r="H847" s="2"/>
      <c r="I847" s="2"/>
      <c r="J847" s="2"/>
    </row>
    <row r="848" spans="2:10">
      <c r="B848" s="2"/>
      <c r="C848" s="2"/>
      <c r="D848" s="2"/>
      <c r="E848" s="5"/>
      <c r="F848" s="2"/>
      <c r="G848" s="2"/>
      <c r="H848" s="2"/>
      <c r="I848" s="2"/>
      <c r="J848" s="2"/>
    </row>
    <row r="849" spans="2:10">
      <c r="B849" s="2"/>
      <c r="C849" s="2"/>
      <c r="D849" s="2"/>
      <c r="E849" s="5"/>
      <c r="F849" s="2"/>
      <c r="G849" s="2"/>
      <c r="H849" s="2"/>
      <c r="I849" s="2"/>
      <c r="J849" s="2"/>
    </row>
    <row r="850" spans="2:10">
      <c r="B850" s="2"/>
      <c r="C850" s="2"/>
      <c r="D850" s="2"/>
      <c r="E850" s="5"/>
      <c r="F850" s="2"/>
      <c r="G850" s="2"/>
      <c r="H850" s="2"/>
      <c r="I850" s="2"/>
      <c r="J850" s="2"/>
    </row>
    <row r="851" spans="2:10">
      <c r="B851" s="2"/>
      <c r="C851" s="2"/>
      <c r="D851" s="2"/>
      <c r="E851" s="5"/>
      <c r="F851" s="2"/>
      <c r="G851" s="2"/>
      <c r="H851" s="2"/>
      <c r="I851" s="2"/>
      <c r="J851" s="2"/>
    </row>
    <row r="852" spans="2:10">
      <c r="B852" s="2"/>
      <c r="C852" s="2"/>
      <c r="D852" s="2"/>
      <c r="E852" s="5"/>
      <c r="F852" s="2"/>
      <c r="G852" s="2"/>
      <c r="H852" s="2"/>
      <c r="I852" s="2"/>
      <c r="J852" s="2"/>
    </row>
    <row r="853" spans="2:10">
      <c r="B853" s="2"/>
      <c r="C853" s="2"/>
      <c r="D853" s="2"/>
      <c r="E853" s="5"/>
      <c r="F853" s="2"/>
      <c r="G853" s="2"/>
      <c r="H853" s="2"/>
      <c r="I853" s="2"/>
      <c r="J853" s="2"/>
    </row>
    <row r="854" spans="2:10">
      <c r="B854" s="2"/>
      <c r="C854" s="2"/>
      <c r="D854" s="2"/>
      <c r="E854" s="5"/>
      <c r="F854" s="2"/>
      <c r="G854" s="2"/>
      <c r="H854" s="2"/>
      <c r="I854" s="2"/>
      <c r="J854" s="2"/>
    </row>
    <row r="855" spans="2:10">
      <c r="B855" s="2"/>
      <c r="C855" s="2"/>
      <c r="D855" s="2"/>
      <c r="E855" s="5"/>
      <c r="F855" s="2"/>
      <c r="G855" s="2"/>
      <c r="H855" s="2"/>
      <c r="I855" s="2"/>
      <c r="J855" s="2"/>
    </row>
    <row r="856" spans="2:10">
      <c r="B856" s="2"/>
      <c r="C856" s="2"/>
      <c r="D856" s="2"/>
      <c r="E856" s="5"/>
      <c r="F856" s="2"/>
      <c r="G856" s="2"/>
      <c r="H856" s="2"/>
      <c r="I856" s="2"/>
      <c r="J856" s="2"/>
    </row>
    <row r="857" spans="2:10">
      <c r="B857" s="2"/>
      <c r="C857" s="2"/>
      <c r="D857" s="2"/>
      <c r="E857" s="5"/>
      <c r="F857" s="2"/>
      <c r="G857" s="2"/>
      <c r="H857" s="2"/>
      <c r="I857" s="2"/>
      <c r="J857" s="2"/>
    </row>
    <row r="858" spans="2:10">
      <c r="B858" s="2"/>
      <c r="C858" s="2"/>
      <c r="D858" s="2"/>
      <c r="E858" s="5"/>
      <c r="F858" s="2"/>
      <c r="G858" s="2"/>
      <c r="H858" s="2"/>
      <c r="I858" s="2"/>
      <c r="J858" s="2"/>
    </row>
    <row r="859" spans="2:10">
      <c r="B859" s="2"/>
      <c r="C859" s="2"/>
      <c r="D859" s="2"/>
      <c r="E859" s="5"/>
      <c r="F859" s="2"/>
      <c r="G859" s="2"/>
      <c r="H859" s="2"/>
      <c r="I859" s="2"/>
      <c r="J859" s="2"/>
    </row>
    <row r="860" spans="2:10">
      <c r="B860" s="2"/>
      <c r="C860" s="2"/>
      <c r="D860" s="2"/>
      <c r="E860" s="5"/>
      <c r="F860" s="2"/>
      <c r="G860" s="2"/>
      <c r="H860" s="2"/>
      <c r="I860" s="2"/>
      <c r="J860" s="2"/>
    </row>
    <row r="861" spans="2:10">
      <c r="B861" s="2"/>
      <c r="C861" s="2"/>
      <c r="D861" s="2"/>
      <c r="E861" s="5"/>
      <c r="F861" s="2"/>
      <c r="G861" s="2"/>
      <c r="H861" s="2"/>
      <c r="I861" s="2"/>
      <c r="J861" s="2"/>
    </row>
    <row r="862" spans="2:10">
      <c r="B862" s="2"/>
      <c r="C862" s="2"/>
      <c r="D862" s="2"/>
      <c r="E862" s="5"/>
      <c r="F862" s="2"/>
      <c r="G862" s="2"/>
      <c r="H862" s="2"/>
      <c r="I862" s="2"/>
      <c r="J862" s="2"/>
    </row>
    <row r="863" spans="2:10">
      <c r="B863" s="2"/>
      <c r="C863" s="2"/>
      <c r="D863" s="2"/>
      <c r="E863" s="5"/>
      <c r="F863" s="2"/>
      <c r="G863" s="2"/>
      <c r="H863" s="2"/>
      <c r="I863" s="2"/>
      <c r="J863" s="2"/>
    </row>
    <row r="864" spans="2:10">
      <c r="B864" s="2"/>
      <c r="C864" s="2"/>
      <c r="D864" s="2"/>
      <c r="E864" s="5"/>
      <c r="F864" s="2"/>
      <c r="G864" s="2"/>
      <c r="H864" s="2"/>
      <c r="I864" s="2"/>
      <c r="J864" s="2"/>
    </row>
    <row r="865" spans="2:10">
      <c r="B865" s="2"/>
      <c r="C865" s="2"/>
      <c r="D865" s="2"/>
      <c r="E865" s="5"/>
      <c r="F865" s="2"/>
      <c r="G865" s="2"/>
      <c r="H865" s="2"/>
      <c r="I865" s="2"/>
      <c r="J865" s="2"/>
    </row>
    <row r="866" spans="2:10">
      <c r="B866" s="2"/>
      <c r="C866" s="2"/>
      <c r="D866" s="2"/>
      <c r="E866" s="5"/>
      <c r="F866" s="2"/>
      <c r="G866" s="2"/>
      <c r="H866" s="2"/>
      <c r="I866" s="2"/>
      <c r="J866" s="2"/>
    </row>
    <row r="867" spans="2:10">
      <c r="B867" s="2"/>
      <c r="C867" s="2"/>
      <c r="D867" s="2"/>
      <c r="E867" s="5"/>
      <c r="F867" s="2"/>
      <c r="G867" s="2"/>
      <c r="H867" s="2"/>
      <c r="I867" s="2"/>
      <c r="J867" s="2"/>
    </row>
    <row r="868" spans="2:10">
      <c r="B868" s="2"/>
      <c r="C868" s="2"/>
      <c r="D868" s="2"/>
      <c r="E868" s="5"/>
      <c r="F868" s="2"/>
      <c r="G868" s="2"/>
      <c r="H868" s="2"/>
      <c r="I868" s="2"/>
      <c r="J868" s="2"/>
    </row>
    <row r="869" spans="2:10">
      <c r="B869" s="2"/>
      <c r="C869" s="2"/>
      <c r="D869" s="2"/>
      <c r="E869" s="5"/>
      <c r="F869" s="2"/>
      <c r="G869" s="2"/>
      <c r="H869" s="2"/>
      <c r="I869" s="2"/>
      <c r="J869" s="2"/>
    </row>
    <row r="870" spans="2:10">
      <c r="B870" s="2"/>
      <c r="C870" s="2"/>
      <c r="D870" s="2"/>
      <c r="E870" s="5"/>
      <c r="F870" s="2"/>
      <c r="G870" s="2"/>
      <c r="H870" s="2"/>
      <c r="I870" s="2"/>
      <c r="J870" s="2"/>
    </row>
    <row r="871" spans="2:10">
      <c r="B871" s="2"/>
      <c r="C871" s="2"/>
      <c r="D871" s="2"/>
      <c r="E871" s="5"/>
      <c r="F871" s="2"/>
      <c r="G871" s="2"/>
      <c r="H871" s="2"/>
      <c r="I871" s="2"/>
      <c r="J871" s="2"/>
    </row>
    <row r="872" spans="2:10">
      <c r="B872" s="2"/>
      <c r="C872" s="2"/>
      <c r="D872" s="2"/>
      <c r="E872" s="5"/>
      <c r="F872" s="2"/>
      <c r="G872" s="2"/>
      <c r="H872" s="2"/>
      <c r="I872" s="2"/>
      <c r="J872" s="2"/>
    </row>
    <row r="873" spans="2:10">
      <c r="B873" s="2"/>
      <c r="C873" s="2"/>
      <c r="D873" s="2"/>
      <c r="E873" s="5"/>
      <c r="F873" s="2"/>
      <c r="G873" s="2"/>
      <c r="H873" s="2"/>
      <c r="I873" s="2"/>
      <c r="J873" s="2"/>
    </row>
    <row r="874" spans="2:10">
      <c r="B874" s="2"/>
      <c r="C874" s="2"/>
      <c r="D874" s="2"/>
      <c r="E874" s="5"/>
      <c r="F874" s="2"/>
      <c r="G874" s="2"/>
      <c r="H874" s="2"/>
      <c r="I874" s="2"/>
      <c r="J874" s="2"/>
    </row>
    <row r="875" spans="2:10">
      <c r="B875" s="2"/>
      <c r="C875" s="2"/>
      <c r="D875" s="2"/>
      <c r="E875" s="5"/>
      <c r="F875" s="2"/>
      <c r="G875" s="2"/>
      <c r="H875" s="2"/>
      <c r="I875" s="2"/>
      <c r="J875" s="2"/>
    </row>
    <row r="876" spans="2:10">
      <c r="B876" s="2"/>
      <c r="C876" s="2"/>
      <c r="D876" s="2"/>
      <c r="E876" s="5"/>
      <c r="F876" s="2"/>
      <c r="G876" s="2"/>
      <c r="H876" s="2"/>
      <c r="I876" s="2"/>
      <c r="J876" s="2"/>
    </row>
    <row r="877" spans="2:10">
      <c r="B877" s="2"/>
      <c r="C877" s="2"/>
      <c r="D877" s="2"/>
      <c r="E877" s="5"/>
      <c r="F877" s="2"/>
      <c r="G877" s="2"/>
      <c r="H877" s="2"/>
      <c r="I877" s="2"/>
      <c r="J877" s="2"/>
    </row>
    <row r="878" spans="2:10">
      <c r="B878" s="2"/>
      <c r="C878" s="2"/>
      <c r="D878" s="2"/>
      <c r="E878" s="5"/>
      <c r="F878" s="2"/>
      <c r="G878" s="2"/>
      <c r="H878" s="2"/>
      <c r="I878" s="2"/>
      <c r="J878" s="2"/>
    </row>
    <row r="879" spans="2:10">
      <c r="B879" s="2"/>
      <c r="C879" s="2"/>
      <c r="D879" s="2"/>
      <c r="E879" s="5"/>
      <c r="F879" s="2"/>
      <c r="G879" s="2"/>
      <c r="H879" s="2"/>
      <c r="I879" s="2"/>
      <c r="J879" s="2"/>
    </row>
    <row r="880" spans="2:10">
      <c r="B880" s="2"/>
      <c r="C880" s="2"/>
      <c r="D880" s="2"/>
      <c r="E880" s="5"/>
      <c r="F880" s="2"/>
      <c r="G880" s="2"/>
      <c r="H880" s="2"/>
      <c r="I880" s="2"/>
      <c r="J880" s="2"/>
    </row>
    <row r="881" spans="2:10">
      <c r="B881" s="2"/>
      <c r="C881" s="2"/>
      <c r="D881" s="2"/>
      <c r="E881" s="5"/>
      <c r="F881" s="2"/>
      <c r="G881" s="2"/>
      <c r="H881" s="2"/>
      <c r="I881" s="2"/>
      <c r="J881" s="2"/>
    </row>
    <row r="882" spans="2:10">
      <c r="B882" s="2"/>
      <c r="C882" s="2"/>
      <c r="D882" s="2"/>
      <c r="E882" s="5"/>
      <c r="F882" s="2"/>
      <c r="G882" s="2"/>
      <c r="H882" s="2"/>
      <c r="I882" s="2"/>
      <c r="J882" s="2"/>
    </row>
    <row r="883" spans="2:10">
      <c r="B883" s="2"/>
      <c r="C883" s="2"/>
      <c r="D883" s="2"/>
      <c r="E883" s="5"/>
      <c r="F883" s="2"/>
      <c r="G883" s="2"/>
      <c r="H883" s="2"/>
      <c r="I883" s="2"/>
      <c r="J883" s="2"/>
    </row>
    <row r="884" spans="2:10">
      <c r="B884" s="2"/>
      <c r="C884" s="2"/>
      <c r="D884" s="2"/>
      <c r="E884" s="5"/>
      <c r="F884" s="2"/>
      <c r="G884" s="2"/>
      <c r="H884" s="2"/>
      <c r="I884" s="2"/>
      <c r="J884" s="2"/>
    </row>
    <row r="885" spans="2:10">
      <c r="B885" s="2"/>
      <c r="C885" s="2"/>
      <c r="D885" s="2"/>
      <c r="E885" s="5"/>
      <c r="F885" s="2"/>
      <c r="G885" s="2"/>
      <c r="H885" s="2"/>
      <c r="I885" s="2"/>
      <c r="J885" s="2"/>
    </row>
    <row r="886" spans="2:10">
      <c r="B886" s="2"/>
      <c r="C886" s="2"/>
      <c r="D886" s="2"/>
      <c r="E886" s="5"/>
      <c r="F886" s="2"/>
      <c r="G886" s="2"/>
      <c r="H886" s="2"/>
      <c r="I886" s="2"/>
      <c r="J886" s="2"/>
    </row>
    <row r="887" spans="2:10">
      <c r="B887" s="2"/>
      <c r="C887" s="2"/>
      <c r="D887" s="2"/>
      <c r="E887" s="5"/>
      <c r="F887" s="2"/>
      <c r="G887" s="2"/>
      <c r="H887" s="2"/>
      <c r="I887" s="2"/>
      <c r="J887" s="2"/>
    </row>
    <row r="888" spans="2:10">
      <c r="B888" s="2"/>
      <c r="C888" s="2"/>
      <c r="D888" s="2"/>
      <c r="E888" s="5"/>
      <c r="F888" s="2"/>
      <c r="G888" s="2"/>
      <c r="H888" s="2"/>
      <c r="I888" s="2"/>
      <c r="J888" s="2"/>
    </row>
    <row r="889" spans="2:10">
      <c r="B889" s="2"/>
      <c r="C889" s="2"/>
      <c r="D889" s="2"/>
      <c r="E889" s="5"/>
      <c r="F889" s="2"/>
      <c r="G889" s="2"/>
      <c r="H889" s="2"/>
      <c r="I889" s="2"/>
      <c r="J889" s="2"/>
    </row>
    <row r="890" spans="2:10">
      <c r="B890" s="2"/>
      <c r="C890" s="2"/>
      <c r="D890" s="2"/>
      <c r="E890" s="5"/>
      <c r="F890" s="2"/>
      <c r="G890" s="2"/>
      <c r="H890" s="2"/>
      <c r="I890" s="2"/>
      <c r="J890" s="2"/>
    </row>
    <row r="891" spans="2:10">
      <c r="B891" s="2"/>
      <c r="C891" s="2"/>
      <c r="D891" s="2"/>
      <c r="E891" s="5"/>
      <c r="F891" s="2"/>
      <c r="G891" s="2"/>
      <c r="H891" s="2"/>
      <c r="I891" s="2"/>
      <c r="J891" s="2"/>
    </row>
    <row r="892" spans="2:10">
      <c r="B892" s="2"/>
      <c r="C892" s="2"/>
      <c r="D892" s="2"/>
      <c r="E892" s="5"/>
      <c r="F892" s="2"/>
      <c r="G892" s="2"/>
      <c r="H892" s="2"/>
      <c r="I892" s="2"/>
      <c r="J892" s="2"/>
    </row>
    <row r="893" spans="2:10">
      <c r="B893" s="2"/>
      <c r="C893" s="2"/>
      <c r="D893" s="2"/>
      <c r="E893" s="5"/>
      <c r="F893" s="2"/>
      <c r="G893" s="2"/>
      <c r="H893" s="2"/>
      <c r="I893" s="2"/>
      <c r="J893" s="2"/>
    </row>
    <row r="894" spans="2:10">
      <c r="B894" s="2"/>
      <c r="C894" s="2"/>
      <c r="D894" s="2"/>
      <c r="E894" s="5"/>
      <c r="F894" s="2"/>
      <c r="G894" s="2"/>
      <c r="H894" s="2"/>
      <c r="I894" s="2"/>
      <c r="J894" s="2"/>
    </row>
    <row r="895" spans="2:10">
      <c r="B895" s="2"/>
      <c r="C895" s="2"/>
      <c r="D895" s="2"/>
      <c r="E895" s="5"/>
      <c r="F895" s="2"/>
      <c r="G895" s="2"/>
      <c r="H895" s="2"/>
      <c r="I895" s="2"/>
      <c r="J895" s="2"/>
    </row>
    <row r="896" spans="2:10">
      <c r="B896" s="2"/>
      <c r="C896" s="2"/>
      <c r="D896" s="2"/>
      <c r="E896" s="5"/>
      <c r="F896" s="2"/>
      <c r="G896" s="2"/>
      <c r="H896" s="2"/>
      <c r="I896" s="2"/>
      <c r="J896" s="2"/>
    </row>
    <row r="897" spans="2:10">
      <c r="B897" s="2"/>
      <c r="C897" s="2"/>
      <c r="D897" s="2"/>
      <c r="E897" s="5"/>
      <c r="F897" s="2"/>
      <c r="G897" s="2"/>
      <c r="H897" s="2"/>
      <c r="I897" s="2"/>
      <c r="J897" s="2"/>
    </row>
    <row r="898" spans="2:10">
      <c r="B898" s="2"/>
      <c r="C898" s="2"/>
      <c r="D898" s="2"/>
      <c r="E898" s="5"/>
      <c r="F898" s="2"/>
      <c r="G898" s="2"/>
      <c r="H898" s="2"/>
      <c r="I898" s="2"/>
      <c r="J898" s="2"/>
    </row>
    <row r="899" spans="2:10">
      <c r="B899" s="2"/>
      <c r="C899" s="2"/>
      <c r="D899" s="2"/>
      <c r="E899" s="5"/>
      <c r="F899" s="2"/>
      <c r="G899" s="2"/>
      <c r="H899" s="2"/>
      <c r="I899" s="2"/>
      <c r="J899" s="2"/>
    </row>
    <row r="900" spans="2:10">
      <c r="B900" s="2"/>
      <c r="C900" s="2"/>
      <c r="D900" s="2"/>
      <c r="E900" s="5"/>
      <c r="F900" s="2"/>
      <c r="G900" s="2"/>
      <c r="H900" s="2"/>
      <c r="I900" s="2"/>
      <c r="J900" s="2"/>
    </row>
    <row r="901" spans="2:10">
      <c r="B901" s="2"/>
      <c r="C901" s="2"/>
      <c r="D901" s="2"/>
      <c r="E901" s="5"/>
      <c r="F901" s="2"/>
      <c r="G901" s="2"/>
      <c r="H901" s="2"/>
      <c r="I901" s="2"/>
      <c r="J901" s="2"/>
    </row>
    <row r="902" spans="2:10">
      <c r="B902" s="2"/>
      <c r="C902" s="2"/>
      <c r="D902" s="2"/>
      <c r="E902" s="5"/>
      <c r="F902" s="2"/>
      <c r="G902" s="2"/>
      <c r="H902" s="2"/>
      <c r="I902" s="2"/>
      <c r="J902" s="2"/>
    </row>
    <row r="903" spans="2:10">
      <c r="B903" s="2"/>
      <c r="C903" s="2"/>
      <c r="D903" s="2"/>
      <c r="E903" s="5"/>
      <c r="F903" s="2"/>
      <c r="G903" s="2"/>
      <c r="H903" s="2"/>
      <c r="I903" s="2"/>
      <c r="J903" s="2"/>
    </row>
    <row r="904" spans="2:10">
      <c r="B904" s="2"/>
      <c r="C904" s="2"/>
      <c r="D904" s="2"/>
      <c r="E904" s="5"/>
      <c r="F904" s="2"/>
      <c r="G904" s="2"/>
      <c r="H904" s="2"/>
      <c r="I904" s="2"/>
      <c r="J904" s="2"/>
    </row>
    <row r="905" spans="2:10">
      <c r="B905" s="2"/>
      <c r="C905" s="2"/>
      <c r="D905" s="2"/>
      <c r="E905" s="5"/>
      <c r="F905" s="2"/>
      <c r="G905" s="2"/>
      <c r="H905" s="2"/>
      <c r="I905" s="2"/>
      <c r="J905" s="2"/>
    </row>
    <row r="906" spans="2:10">
      <c r="B906" s="2"/>
      <c r="C906" s="2"/>
      <c r="D906" s="2"/>
      <c r="E906" s="5"/>
      <c r="F906" s="2"/>
      <c r="G906" s="2"/>
      <c r="H906" s="2"/>
      <c r="I906" s="2"/>
      <c r="J906" s="2"/>
    </row>
    <row r="907" spans="2:10">
      <c r="B907" s="2"/>
      <c r="C907" s="2"/>
      <c r="D907" s="2"/>
      <c r="E907" s="5"/>
      <c r="F907" s="2"/>
      <c r="G907" s="2"/>
      <c r="H907" s="2"/>
      <c r="I907" s="2"/>
      <c r="J907" s="2"/>
    </row>
    <row r="908" spans="2:10">
      <c r="B908" s="2"/>
      <c r="C908" s="2"/>
      <c r="D908" s="2"/>
      <c r="E908" s="5"/>
      <c r="F908" s="2"/>
      <c r="G908" s="2"/>
      <c r="H908" s="2"/>
      <c r="I908" s="2"/>
      <c r="J908" s="2"/>
    </row>
    <row r="909" spans="2:10">
      <c r="B909" s="2"/>
      <c r="C909" s="2"/>
      <c r="D909" s="2"/>
      <c r="E909" s="5"/>
      <c r="F909" s="2"/>
      <c r="G909" s="2"/>
      <c r="H909" s="2"/>
      <c r="I909" s="2"/>
      <c r="J909" s="2"/>
    </row>
    <row r="910" spans="2:10">
      <c r="B910" s="2"/>
      <c r="C910" s="2"/>
      <c r="D910" s="2"/>
      <c r="E910" s="5"/>
      <c r="F910" s="2"/>
      <c r="G910" s="2"/>
      <c r="H910" s="2"/>
      <c r="I910" s="2"/>
      <c r="J910" s="2"/>
    </row>
    <row r="911" spans="2:10">
      <c r="B911" s="2"/>
      <c r="C911" s="2"/>
      <c r="D911" s="2"/>
      <c r="E911" s="5"/>
      <c r="F911" s="2"/>
      <c r="G911" s="2"/>
      <c r="H911" s="2"/>
      <c r="I911" s="2"/>
      <c r="J911" s="2"/>
    </row>
    <row r="912" spans="2:10">
      <c r="B912" s="2"/>
      <c r="C912" s="2"/>
      <c r="D912" s="2"/>
      <c r="E912" s="5"/>
      <c r="F912" s="2"/>
      <c r="G912" s="2"/>
      <c r="H912" s="2"/>
      <c r="I912" s="2"/>
      <c r="J912" s="2"/>
    </row>
    <row r="913" spans="2:10">
      <c r="B913" s="2"/>
      <c r="C913" s="2"/>
      <c r="D913" s="2"/>
      <c r="E913" s="5"/>
      <c r="F913" s="2"/>
      <c r="G913" s="2"/>
      <c r="H913" s="2"/>
      <c r="I913" s="2"/>
      <c r="J913" s="2"/>
    </row>
    <row r="914" spans="2:10">
      <c r="B914" s="2"/>
      <c r="C914" s="2"/>
      <c r="D914" s="2"/>
      <c r="E914" s="5"/>
      <c r="F914" s="2"/>
      <c r="G914" s="2"/>
      <c r="H914" s="2"/>
      <c r="I914" s="2"/>
      <c r="J914" s="2"/>
    </row>
    <row r="915" spans="2:10">
      <c r="B915" s="2"/>
      <c r="C915" s="2"/>
      <c r="D915" s="2"/>
      <c r="E915" s="5"/>
      <c r="F915" s="2"/>
      <c r="G915" s="2"/>
      <c r="H915" s="2"/>
      <c r="I915" s="2"/>
      <c r="J915" s="2"/>
    </row>
    <row r="916" spans="2:10">
      <c r="B916" s="2"/>
      <c r="C916" s="2"/>
      <c r="D916" s="2"/>
      <c r="E916" s="5"/>
      <c r="F916" s="2"/>
      <c r="G916" s="2"/>
      <c r="H916" s="2"/>
      <c r="I916" s="2"/>
      <c r="J916" s="2"/>
    </row>
    <row r="917" spans="2:10">
      <c r="B917" s="2"/>
      <c r="C917" s="2"/>
      <c r="D917" s="2"/>
      <c r="E917" s="5"/>
      <c r="F917" s="2"/>
      <c r="G917" s="2"/>
      <c r="H917" s="2"/>
      <c r="I917" s="2"/>
      <c r="J917" s="2"/>
    </row>
    <row r="918" spans="2:10">
      <c r="B918" s="2"/>
      <c r="C918" s="2"/>
      <c r="D918" s="2"/>
      <c r="E918" s="5"/>
      <c r="F918" s="2"/>
      <c r="G918" s="2"/>
      <c r="H918" s="2"/>
      <c r="I918" s="2"/>
      <c r="J918" s="2"/>
    </row>
    <row r="919" spans="2:10">
      <c r="B919" s="2"/>
      <c r="C919" s="2"/>
      <c r="D919" s="2"/>
      <c r="E919" s="5"/>
      <c r="F919" s="2"/>
      <c r="G919" s="2"/>
      <c r="H919" s="2"/>
      <c r="I919" s="2"/>
      <c r="J919" s="2"/>
    </row>
    <row r="920" spans="2:10">
      <c r="B920" s="2"/>
      <c r="C920" s="2"/>
      <c r="D920" s="2"/>
      <c r="E920" s="5"/>
      <c r="F920" s="2"/>
      <c r="G920" s="2"/>
      <c r="H920" s="2"/>
      <c r="I920" s="2"/>
      <c r="J920" s="2"/>
    </row>
    <row r="921" spans="2:10">
      <c r="B921" s="2"/>
      <c r="C921" s="2"/>
      <c r="D921" s="2"/>
      <c r="E921" s="5"/>
      <c r="F921" s="2"/>
      <c r="G921" s="2"/>
      <c r="H921" s="2"/>
      <c r="I921" s="2"/>
      <c r="J921" s="2"/>
    </row>
    <row r="922" spans="2:10">
      <c r="B922" s="2"/>
      <c r="C922" s="2"/>
      <c r="D922" s="2"/>
      <c r="E922" s="5"/>
      <c r="F922" s="2"/>
      <c r="G922" s="2"/>
      <c r="H922" s="2"/>
      <c r="I922" s="2"/>
      <c r="J922" s="2"/>
    </row>
    <row r="923" spans="2:10">
      <c r="B923" s="2"/>
      <c r="C923" s="2"/>
      <c r="D923" s="2"/>
      <c r="E923" s="5"/>
      <c r="F923" s="2"/>
      <c r="G923" s="2"/>
      <c r="H923" s="2"/>
      <c r="I923" s="2"/>
      <c r="J923" s="2"/>
    </row>
    <row r="924" spans="2:10">
      <c r="B924" s="2"/>
      <c r="C924" s="2"/>
      <c r="D924" s="2"/>
      <c r="E924" s="5"/>
      <c r="F924" s="2"/>
      <c r="G924" s="2"/>
      <c r="H924" s="2"/>
      <c r="I924" s="2"/>
      <c r="J924" s="2"/>
    </row>
    <row r="925" spans="2:10">
      <c r="B925" s="2"/>
      <c r="C925" s="2"/>
      <c r="D925" s="2"/>
      <c r="E925" s="5"/>
      <c r="F925" s="2"/>
      <c r="G925" s="2"/>
      <c r="H925" s="2"/>
      <c r="I925" s="2"/>
      <c r="J925" s="2"/>
    </row>
    <row r="926" spans="2:10">
      <c r="B926" s="2"/>
      <c r="C926" s="2"/>
      <c r="D926" s="2"/>
      <c r="E926" s="5"/>
      <c r="F926" s="2"/>
      <c r="G926" s="2"/>
      <c r="H926" s="2"/>
      <c r="I926" s="2"/>
      <c r="J926" s="2"/>
    </row>
    <row r="927" spans="2:10">
      <c r="B927" s="2"/>
      <c r="C927" s="2"/>
      <c r="D927" s="2"/>
      <c r="E927" s="5"/>
      <c r="F927" s="2"/>
      <c r="G927" s="2"/>
      <c r="H927" s="2"/>
      <c r="I927" s="2"/>
      <c r="J927" s="2"/>
    </row>
    <row r="928" spans="2:10">
      <c r="B928" s="2"/>
      <c r="C928" s="2"/>
      <c r="D928" s="2"/>
      <c r="E928" s="5"/>
      <c r="F928" s="2"/>
      <c r="G928" s="2"/>
      <c r="H928" s="2"/>
      <c r="I928" s="2"/>
      <c r="J928" s="2"/>
    </row>
    <row r="929" spans="2:10">
      <c r="B929" s="2"/>
      <c r="C929" s="2"/>
      <c r="D929" s="2"/>
      <c r="E929" s="5"/>
      <c r="F929" s="2"/>
      <c r="G929" s="2"/>
      <c r="H929" s="2"/>
      <c r="I929" s="2"/>
      <c r="J929" s="2"/>
    </row>
    <row r="930" spans="2:10">
      <c r="B930" s="2"/>
      <c r="C930" s="2"/>
      <c r="D930" s="2"/>
      <c r="E930" s="5"/>
      <c r="F930" s="2"/>
      <c r="G930" s="2"/>
      <c r="H930" s="2"/>
      <c r="I930" s="2"/>
      <c r="J930" s="2"/>
    </row>
    <row r="931" spans="2:10">
      <c r="B931" s="2"/>
      <c r="C931" s="2"/>
      <c r="D931" s="2"/>
      <c r="E931" s="5"/>
      <c r="F931" s="2"/>
      <c r="G931" s="2"/>
      <c r="H931" s="2"/>
      <c r="I931" s="2"/>
      <c r="J931" s="2"/>
    </row>
    <row r="932" spans="2:10">
      <c r="B932" s="2"/>
      <c r="C932" s="2"/>
      <c r="D932" s="2"/>
      <c r="E932" s="5"/>
      <c r="F932" s="2"/>
      <c r="G932" s="2"/>
      <c r="H932" s="2"/>
      <c r="I932" s="2"/>
      <c r="J932" s="2"/>
    </row>
    <row r="933" spans="2:10">
      <c r="B933" s="2"/>
      <c r="C933" s="2"/>
      <c r="D933" s="2"/>
      <c r="E933" s="5"/>
      <c r="F933" s="2"/>
      <c r="G933" s="2"/>
      <c r="H933" s="2"/>
      <c r="I933" s="2"/>
      <c r="J933" s="2"/>
    </row>
    <row r="934" spans="2:10">
      <c r="B934" s="2"/>
      <c r="C934" s="2"/>
      <c r="D934" s="2"/>
      <c r="E934" s="5"/>
      <c r="F934" s="2"/>
      <c r="G934" s="2"/>
      <c r="H934" s="2"/>
      <c r="I934" s="2"/>
      <c r="J934" s="2"/>
    </row>
    <row r="935" spans="2:10">
      <c r="B935" s="2"/>
      <c r="C935" s="2"/>
      <c r="D935" s="2"/>
      <c r="E935" s="5"/>
      <c r="F935" s="2"/>
      <c r="G935" s="2"/>
      <c r="H935" s="2"/>
      <c r="I935" s="2"/>
      <c r="J935" s="2"/>
    </row>
    <row r="936" spans="2:10">
      <c r="B936" s="2"/>
      <c r="C936" s="2"/>
      <c r="D936" s="2"/>
      <c r="E936" s="5"/>
      <c r="F936" s="2"/>
      <c r="G936" s="2"/>
      <c r="H936" s="2"/>
      <c r="I936" s="2"/>
      <c r="J936" s="2"/>
    </row>
    <row r="937" spans="2:10">
      <c r="B937" s="2"/>
      <c r="C937" s="2"/>
      <c r="D937" s="2"/>
      <c r="E937" s="5"/>
      <c r="F937" s="2"/>
      <c r="G937" s="2"/>
      <c r="H937" s="2"/>
      <c r="I937" s="2"/>
      <c r="J937" s="2"/>
    </row>
    <row r="938" spans="2:10">
      <c r="B938" s="2"/>
      <c r="C938" s="2"/>
      <c r="D938" s="2"/>
      <c r="E938" s="5"/>
      <c r="F938" s="2"/>
      <c r="G938" s="2"/>
      <c r="H938" s="2"/>
      <c r="I938" s="2"/>
      <c r="J938" s="2"/>
    </row>
    <row r="939" spans="2:10">
      <c r="B939" s="2"/>
      <c r="C939" s="2"/>
      <c r="D939" s="2"/>
      <c r="E939" s="5"/>
      <c r="F939" s="2"/>
      <c r="G939" s="2"/>
      <c r="H939" s="2"/>
      <c r="I939" s="2"/>
      <c r="J939" s="2"/>
    </row>
    <row r="940" spans="2:10">
      <c r="B940" s="2"/>
      <c r="C940" s="2"/>
      <c r="D940" s="2"/>
      <c r="E940" s="5"/>
      <c r="F940" s="2"/>
      <c r="G940" s="2"/>
      <c r="H940" s="2"/>
      <c r="I940" s="2"/>
      <c r="J940" s="2"/>
    </row>
    <row r="941" spans="2:10">
      <c r="B941" s="2"/>
      <c r="C941" s="2"/>
      <c r="D941" s="2"/>
      <c r="E941" s="5"/>
      <c r="F941" s="2"/>
      <c r="G941" s="2"/>
      <c r="H941" s="2"/>
      <c r="I941" s="2"/>
      <c r="J941" s="2"/>
    </row>
    <row r="942" spans="2:10">
      <c r="B942" s="2"/>
      <c r="C942" s="2"/>
      <c r="D942" s="2"/>
      <c r="E942" s="5"/>
      <c r="F942" s="2"/>
      <c r="G942" s="2"/>
      <c r="H942" s="2"/>
      <c r="I942" s="2"/>
      <c r="J942" s="2"/>
    </row>
    <row r="943" spans="2:10">
      <c r="B943" s="2"/>
      <c r="C943" s="2"/>
      <c r="D943" s="2"/>
      <c r="E943" s="5"/>
      <c r="F943" s="2"/>
      <c r="G943" s="2"/>
      <c r="H943" s="2"/>
      <c r="I943" s="2"/>
      <c r="J943" s="2"/>
    </row>
    <row r="944" spans="2:10">
      <c r="B944" s="2"/>
      <c r="C944" s="2"/>
      <c r="D944" s="2"/>
      <c r="E944" s="5"/>
      <c r="F944" s="2"/>
      <c r="G944" s="2"/>
      <c r="H944" s="2"/>
      <c r="I944" s="2"/>
      <c r="J944" s="2"/>
    </row>
    <row r="945" spans="2:10">
      <c r="B945" s="2"/>
      <c r="C945" s="2"/>
      <c r="D945" s="2"/>
      <c r="E945" s="5"/>
      <c r="F945" s="2"/>
      <c r="G945" s="2"/>
      <c r="H945" s="2"/>
      <c r="I945" s="2"/>
      <c r="J945" s="2"/>
    </row>
    <row r="946" spans="2:10">
      <c r="B946" s="2"/>
      <c r="C946" s="2"/>
      <c r="D946" s="2"/>
      <c r="E946" s="5"/>
      <c r="F946" s="2"/>
      <c r="G946" s="2"/>
      <c r="H946" s="2"/>
      <c r="I946" s="2"/>
      <c r="J946" s="2"/>
    </row>
    <row r="947" spans="2:10">
      <c r="B947" s="2"/>
      <c r="C947" s="2"/>
      <c r="D947" s="2"/>
      <c r="E947" s="5"/>
      <c r="F947" s="2"/>
      <c r="G947" s="2"/>
      <c r="H947" s="2"/>
      <c r="I947" s="2"/>
      <c r="J947" s="2"/>
    </row>
    <row r="948" spans="2:10">
      <c r="B948" s="2"/>
      <c r="C948" s="2"/>
      <c r="D948" s="2"/>
      <c r="E948" s="5"/>
      <c r="F948" s="2"/>
      <c r="G948" s="2"/>
      <c r="H948" s="2"/>
      <c r="I948" s="2"/>
      <c r="J948" s="2"/>
    </row>
    <row r="949" spans="2:10">
      <c r="B949" s="2"/>
      <c r="C949" s="2"/>
      <c r="D949" s="2"/>
      <c r="E949" s="5"/>
      <c r="F949" s="2"/>
      <c r="G949" s="2"/>
      <c r="H949" s="2"/>
      <c r="I949" s="2"/>
      <c r="J949" s="2"/>
    </row>
    <row r="950" spans="2:10">
      <c r="B950" s="2"/>
      <c r="C950" s="2"/>
      <c r="D950" s="2"/>
      <c r="E950" s="5"/>
      <c r="F950" s="2"/>
      <c r="G950" s="2"/>
      <c r="H950" s="2"/>
      <c r="I950" s="2"/>
      <c r="J950" s="2"/>
    </row>
    <row r="951" spans="2:10">
      <c r="B951" s="2"/>
      <c r="C951" s="2"/>
      <c r="D951" s="2"/>
      <c r="E951" s="5"/>
      <c r="F951" s="2"/>
      <c r="G951" s="2"/>
      <c r="H951" s="2"/>
      <c r="I951" s="2"/>
      <c r="J951" s="2"/>
    </row>
    <row r="952" spans="2:10">
      <c r="B952" s="2"/>
      <c r="C952" s="2"/>
      <c r="D952" s="2"/>
      <c r="E952" s="5"/>
      <c r="F952" s="2"/>
      <c r="G952" s="2"/>
      <c r="H952" s="2"/>
      <c r="I952" s="2"/>
      <c r="J952" s="2"/>
    </row>
    <row r="953" spans="2:10">
      <c r="B953" s="2"/>
      <c r="C953" s="2"/>
      <c r="D953" s="2"/>
      <c r="E953" s="5"/>
      <c r="F953" s="2"/>
      <c r="G953" s="2"/>
      <c r="H953" s="2"/>
      <c r="I953" s="2"/>
      <c r="J953" s="2"/>
    </row>
    <row r="954" spans="2:10">
      <c r="B954" s="2"/>
      <c r="C954" s="2"/>
      <c r="D954" s="2"/>
      <c r="E954" s="5"/>
      <c r="F954" s="2"/>
      <c r="G954" s="2"/>
      <c r="H954" s="2"/>
      <c r="I954" s="2"/>
      <c r="J954" s="2"/>
    </row>
    <row r="955" spans="2:10">
      <c r="B955" s="2"/>
      <c r="C955" s="2"/>
      <c r="D955" s="2"/>
      <c r="E955" s="5"/>
      <c r="F955" s="2"/>
      <c r="G955" s="2"/>
      <c r="H955" s="2"/>
      <c r="I955" s="2"/>
      <c r="J955" s="2"/>
    </row>
    <row r="956" spans="2:10">
      <c r="B956" s="2"/>
      <c r="C956" s="2"/>
      <c r="D956" s="2"/>
      <c r="E956" s="5"/>
      <c r="F956" s="2"/>
      <c r="G956" s="2"/>
      <c r="H956" s="2"/>
      <c r="I956" s="2"/>
      <c r="J956" s="2"/>
    </row>
    <row r="957" spans="2:10">
      <c r="B957" s="2"/>
      <c r="C957" s="2"/>
      <c r="D957" s="2"/>
      <c r="E957" s="5"/>
      <c r="F957" s="2"/>
      <c r="G957" s="2"/>
      <c r="H957" s="2"/>
      <c r="I957" s="2"/>
      <c r="J957" s="2"/>
    </row>
    <row r="958" spans="2:10">
      <c r="B958" s="2"/>
      <c r="C958" s="2"/>
      <c r="D958" s="2"/>
      <c r="E958" s="5"/>
      <c r="F958" s="2"/>
      <c r="G958" s="2"/>
      <c r="H958" s="2"/>
      <c r="I958" s="2"/>
      <c r="J958" s="2"/>
    </row>
    <row r="959" spans="2:10">
      <c r="B959" s="2"/>
      <c r="C959" s="2"/>
      <c r="D959" s="2"/>
      <c r="E959" s="5"/>
      <c r="F959" s="2"/>
      <c r="G959" s="2"/>
      <c r="H959" s="2"/>
      <c r="I959" s="2"/>
      <c r="J959" s="2"/>
    </row>
    <row r="960" spans="2:10">
      <c r="B960" s="2"/>
      <c r="C960" s="2"/>
      <c r="D960" s="2"/>
      <c r="E960" s="5"/>
      <c r="F960" s="2"/>
      <c r="G960" s="2"/>
      <c r="H960" s="2"/>
      <c r="I960" s="2"/>
      <c r="J960" s="2"/>
    </row>
    <row r="961" spans="2:10">
      <c r="B961" s="2"/>
      <c r="C961" s="2"/>
      <c r="D961" s="2"/>
      <c r="E961" s="5"/>
      <c r="F961" s="2"/>
      <c r="G961" s="2"/>
      <c r="H961" s="2"/>
      <c r="I961" s="2"/>
      <c r="J961" s="2"/>
    </row>
    <row r="962" spans="2:10">
      <c r="B962" s="2"/>
      <c r="C962" s="2"/>
      <c r="D962" s="2"/>
      <c r="E962" s="5"/>
      <c r="F962" s="2"/>
      <c r="G962" s="2"/>
      <c r="H962" s="2"/>
      <c r="I962" s="2"/>
      <c r="J962" s="2"/>
    </row>
    <row r="963" spans="2:10">
      <c r="B963" s="2"/>
      <c r="C963" s="2"/>
      <c r="D963" s="2"/>
      <c r="E963" s="5"/>
      <c r="F963" s="2"/>
      <c r="G963" s="2"/>
      <c r="H963" s="2"/>
      <c r="I963" s="2"/>
      <c r="J963" s="2"/>
    </row>
    <row r="964" spans="2:10">
      <c r="B964" s="2"/>
      <c r="C964" s="2"/>
      <c r="D964" s="2"/>
      <c r="E964" s="5"/>
      <c r="F964" s="2"/>
      <c r="G964" s="2"/>
      <c r="H964" s="2"/>
      <c r="I964" s="2"/>
      <c r="J964" s="2"/>
    </row>
    <row r="965" spans="2:10">
      <c r="B965" s="2"/>
      <c r="C965" s="2"/>
      <c r="D965" s="2"/>
      <c r="E965" s="5"/>
      <c r="F965" s="2"/>
      <c r="G965" s="2"/>
      <c r="H965" s="2"/>
      <c r="I965" s="2"/>
      <c r="J965" s="2"/>
    </row>
    <row r="966" spans="2:10">
      <c r="B966" s="2"/>
      <c r="C966" s="2"/>
      <c r="D966" s="2"/>
      <c r="E966" s="5"/>
      <c r="F966" s="2"/>
      <c r="G966" s="2"/>
      <c r="H966" s="2"/>
      <c r="I966" s="2"/>
      <c r="J966" s="2"/>
    </row>
    <row r="967" spans="2:10">
      <c r="B967" s="2"/>
      <c r="C967" s="2"/>
      <c r="D967" s="2"/>
      <c r="E967" s="5"/>
      <c r="F967" s="2"/>
      <c r="G967" s="2"/>
      <c r="H967" s="2"/>
      <c r="I967" s="2"/>
      <c r="J967" s="2"/>
    </row>
    <row r="968" spans="2:10">
      <c r="B968" s="2"/>
      <c r="C968" s="2"/>
      <c r="D968" s="2"/>
      <c r="E968" s="5"/>
      <c r="F968" s="2"/>
      <c r="G968" s="2"/>
      <c r="H968" s="2"/>
      <c r="I968" s="2"/>
      <c r="J968" s="2"/>
    </row>
    <row r="969" spans="2:10">
      <c r="B969" s="2"/>
      <c r="C969" s="2"/>
      <c r="D969" s="2"/>
      <c r="E969" s="5"/>
      <c r="F969" s="2"/>
      <c r="G969" s="2"/>
      <c r="H969" s="2"/>
      <c r="I969" s="2"/>
      <c r="J969" s="2"/>
    </row>
    <row r="970" spans="2:10">
      <c r="B970" s="2"/>
      <c r="C970" s="2"/>
      <c r="D970" s="2"/>
      <c r="E970" s="5"/>
      <c r="F970" s="2"/>
      <c r="G970" s="2"/>
      <c r="H970" s="2"/>
      <c r="I970" s="2"/>
      <c r="J970" s="2"/>
    </row>
    <row r="971" spans="2:10">
      <c r="B971" s="2"/>
      <c r="C971" s="2"/>
      <c r="D971" s="2"/>
      <c r="E971" s="5"/>
      <c r="F971" s="2"/>
      <c r="G971" s="2"/>
      <c r="H971" s="2"/>
      <c r="I971" s="2"/>
      <c r="J971" s="2"/>
    </row>
    <row r="972" spans="2:10">
      <c r="B972" s="2"/>
      <c r="C972" s="2"/>
      <c r="D972" s="2"/>
      <c r="E972" s="5"/>
      <c r="F972" s="2"/>
      <c r="G972" s="2"/>
      <c r="H972" s="2"/>
      <c r="I972" s="2"/>
      <c r="J972" s="2"/>
    </row>
    <row r="973" spans="2:10">
      <c r="B973" s="2"/>
      <c r="C973" s="2"/>
      <c r="D973" s="2"/>
      <c r="E973" s="5"/>
      <c r="F973" s="2"/>
      <c r="G973" s="2"/>
      <c r="H973" s="2"/>
      <c r="I973" s="2"/>
      <c r="J973" s="2"/>
    </row>
    <row r="974" spans="2:10">
      <c r="B974" s="2"/>
      <c r="C974" s="2"/>
      <c r="D974" s="2"/>
      <c r="E974" s="5"/>
      <c r="F974" s="2"/>
      <c r="G974" s="2"/>
      <c r="H974" s="2"/>
      <c r="I974" s="2"/>
      <c r="J974" s="2"/>
    </row>
    <row r="975" spans="2:10">
      <c r="B975" s="2"/>
      <c r="C975" s="2"/>
      <c r="D975" s="2"/>
      <c r="E975" s="5"/>
      <c r="F975" s="2"/>
      <c r="G975" s="2"/>
      <c r="H975" s="2"/>
      <c r="I975" s="2"/>
      <c r="J975" s="2"/>
    </row>
    <row r="976" spans="2:10">
      <c r="B976" s="2"/>
      <c r="C976" s="2"/>
      <c r="D976" s="2"/>
      <c r="E976" s="5"/>
      <c r="F976" s="2"/>
      <c r="G976" s="2"/>
      <c r="H976" s="2"/>
      <c r="I976" s="2"/>
      <c r="J976" s="2"/>
    </row>
    <row r="977" spans="2:10">
      <c r="B977" s="2"/>
      <c r="C977" s="2"/>
      <c r="D977" s="2"/>
      <c r="E977" s="5"/>
      <c r="F977" s="2"/>
      <c r="G977" s="2"/>
      <c r="H977" s="2"/>
      <c r="I977" s="2"/>
      <c r="J977" s="2"/>
    </row>
    <row r="978" spans="2:10">
      <c r="B978" s="2"/>
      <c r="C978" s="2"/>
      <c r="D978" s="2"/>
      <c r="E978" s="5"/>
      <c r="F978" s="2"/>
      <c r="G978" s="2"/>
      <c r="H978" s="2"/>
      <c r="I978" s="2"/>
      <c r="J978" s="2"/>
    </row>
    <row r="979" spans="2:10">
      <c r="B979" s="2"/>
      <c r="C979" s="2"/>
      <c r="D979" s="2"/>
      <c r="E979" s="5"/>
      <c r="F979" s="2"/>
      <c r="G979" s="2"/>
      <c r="H979" s="2"/>
      <c r="I979" s="2"/>
      <c r="J979" s="2"/>
    </row>
    <row r="980" spans="2:10">
      <c r="B980" s="2"/>
      <c r="C980" s="2"/>
      <c r="D980" s="2"/>
      <c r="E980" s="5"/>
      <c r="F980" s="2"/>
      <c r="G980" s="2"/>
      <c r="H980" s="2"/>
      <c r="I980" s="2"/>
      <c r="J980" s="2"/>
    </row>
    <row r="981" spans="2:10">
      <c r="B981" s="2"/>
      <c r="C981" s="2"/>
      <c r="D981" s="2"/>
      <c r="E981" s="5"/>
      <c r="F981" s="2"/>
      <c r="G981" s="2"/>
      <c r="H981" s="2"/>
      <c r="I981" s="2"/>
      <c r="J981" s="2"/>
    </row>
    <row r="982" spans="2:10">
      <c r="B982" s="2"/>
      <c r="C982" s="2"/>
      <c r="D982" s="2"/>
      <c r="E982" s="5"/>
      <c r="F982" s="2"/>
      <c r="G982" s="2"/>
      <c r="H982" s="2"/>
      <c r="I982" s="2"/>
      <c r="J982" s="2"/>
    </row>
    <row r="983" spans="2:10">
      <c r="B983" s="2"/>
      <c r="C983" s="2"/>
      <c r="D983" s="2"/>
      <c r="E983" s="5"/>
      <c r="F983" s="2"/>
      <c r="G983" s="2"/>
      <c r="H983" s="2"/>
      <c r="I983" s="2"/>
      <c r="J983" s="2"/>
    </row>
    <row r="984" spans="2:10">
      <c r="B984" s="2"/>
      <c r="C984" s="2"/>
      <c r="D984" s="2"/>
      <c r="E984" s="5"/>
      <c r="F984" s="2"/>
      <c r="G984" s="2"/>
      <c r="H984" s="2"/>
      <c r="I984" s="2"/>
      <c r="J984" s="2"/>
    </row>
    <row r="985" spans="2:10">
      <c r="B985" s="2"/>
      <c r="C985" s="2"/>
      <c r="D985" s="2"/>
      <c r="E985" s="5"/>
      <c r="F985" s="2"/>
      <c r="G985" s="2"/>
      <c r="H985" s="2"/>
      <c r="I985" s="2"/>
      <c r="J985" s="2"/>
    </row>
    <row r="986" spans="2:10">
      <c r="B986" s="2"/>
      <c r="C986" s="2"/>
      <c r="D986" s="2"/>
      <c r="E986" s="5"/>
      <c r="F986" s="2"/>
      <c r="G986" s="2"/>
      <c r="H986" s="2"/>
      <c r="I986" s="2"/>
      <c r="J986" s="2"/>
    </row>
    <row r="987" spans="2:10">
      <c r="B987" s="2"/>
      <c r="C987" s="2"/>
      <c r="D987" s="2"/>
      <c r="E987" s="5"/>
      <c r="F987" s="2"/>
      <c r="G987" s="2"/>
      <c r="H987" s="2"/>
      <c r="I987" s="2"/>
      <c r="J987" s="2"/>
    </row>
    <row r="988" spans="2:10">
      <c r="B988" s="2"/>
      <c r="C988" s="2"/>
      <c r="D988" s="2"/>
      <c r="E988" s="5"/>
      <c r="F988" s="2"/>
      <c r="G988" s="2"/>
      <c r="H988" s="2"/>
      <c r="I988" s="2"/>
      <c r="J988" s="2"/>
    </row>
    <row r="989" spans="2:10">
      <c r="B989" s="2"/>
      <c r="C989" s="2"/>
      <c r="D989" s="2"/>
      <c r="E989" s="5"/>
      <c r="F989" s="2"/>
      <c r="G989" s="2"/>
      <c r="H989" s="2"/>
      <c r="I989" s="2"/>
      <c r="J989" s="2"/>
    </row>
    <row r="990" spans="2:10">
      <c r="B990" s="2"/>
      <c r="C990" s="2"/>
      <c r="D990" s="2"/>
      <c r="E990" s="5"/>
      <c r="F990" s="2"/>
      <c r="G990" s="2"/>
      <c r="H990" s="2"/>
      <c r="I990" s="2"/>
      <c r="J990" s="2"/>
    </row>
    <row r="991" spans="2:10">
      <c r="B991" s="2"/>
      <c r="C991" s="2"/>
      <c r="D991" s="2"/>
      <c r="E991" s="5"/>
      <c r="F991" s="2"/>
      <c r="G991" s="2"/>
      <c r="H991" s="2"/>
      <c r="I991" s="2"/>
      <c r="J991" s="2"/>
    </row>
  </sheetData>
  <autoFilter ref="B3:J3" xr:uid="{00000000-0001-0000-0100-000000000000}">
    <sortState xmlns:xlrd2="http://schemas.microsoft.com/office/spreadsheetml/2017/richdata2" ref="B4:J96">
      <sortCondition ref="C3"/>
    </sortState>
  </autoFilter>
  <phoneticPr fontId="12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4132-A60D-49B6-BCC2-3526473FECA7}">
  <dimension ref="A1:O1247"/>
  <sheetViews>
    <sheetView zoomScaleNormal="100" workbookViewId="0">
      <pane xSplit="3" ySplit="2" topLeftCell="D1134" activePane="bottomRight" state="frozen"/>
      <selection pane="topRight" activeCell="I1" sqref="I1"/>
      <selection pane="bottomLeft" activeCell="A5" sqref="A5"/>
      <selection pane="bottomRight" activeCell="A1157" sqref="A1157:XFD1247"/>
    </sheetView>
  </sheetViews>
  <sheetFormatPr defaultColWidth="12.5703125" defaultRowHeight="15" customHeight="1"/>
  <cols>
    <col min="1" max="1" width="14.140625" style="79" customWidth="1"/>
    <col min="2" max="3" width="10.7109375" style="79" customWidth="1"/>
    <col min="4" max="4" width="20.28515625" style="79" bestFit="1" customWidth="1"/>
    <col min="5" max="5" width="9" style="79" customWidth="1"/>
    <col min="6" max="6" width="10.7109375" style="79" bestFit="1" customWidth="1"/>
    <col min="7" max="7" width="31.7109375" style="79" bestFit="1" customWidth="1"/>
    <col min="8" max="9" width="14.140625" style="79" customWidth="1"/>
    <col min="10" max="10" width="15.7109375" style="79" customWidth="1"/>
    <col min="11" max="11" width="12.7109375" style="79" bestFit="1" customWidth="1"/>
    <col min="12" max="12" width="14.140625" style="79" customWidth="1"/>
    <col min="13" max="13" width="14.5703125" style="79" hidden="1" customWidth="1"/>
    <col min="14" max="14" width="14.140625" style="79" customWidth="1"/>
    <col min="15" max="15" width="15.140625" style="79" customWidth="1"/>
    <col min="16" max="16384" width="12.5703125" style="79"/>
  </cols>
  <sheetData>
    <row r="1" spans="1:15" ht="12.75" customHeight="1">
      <c r="A1" s="62" t="s">
        <v>276</v>
      </c>
      <c r="B1" s="62" t="s">
        <v>277</v>
      </c>
      <c r="C1" s="63" t="s">
        <v>1</v>
      </c>
      <c r="D1" s="64" t="s">
        <v>278</v>
      </c>
      <c r="E1" s="64" t="s">
        <v>162</v>
      </c>
      <c r="F1" s="65" t="s">
        <v>279</v>
      </c>
      <c r="G1" s="62" t="s">
        <v>280</v>
      </c>
      <c r="H1" s="66" t="s">
        <v>281</v>
      </c>
      <c r="I1" s="67" t="s">
        <v>430</v>
      </c>
      <c r="J1" s="68" t="s">
        <v>282</v>
      </c>
      <c r="K1" s="69"/>
      <c r="L1" s="69"/>
      <c r="M1" s="69"/>
      <c r="N1" s="69"/>
      <c r="O1" s="69"/>
    </row>
    <row r="2" spans="1:15" ht="12.75" customHeight="1">
      <c r="A2" s="62" t="s">
        <v>276</v>
      </c>
      <c r="B2" s="62" t="s">
        <v>277</v>
      </c>
      <c r="C2" s="70" t="s">
        <v>1</v>
      </c>
      <c r="D2" s="64" t="s">
        <v>278</v>
      </c>
      <c r="E2" s="64" t="s">
        <v>432</v>
      </c>
      <c r="F2" s="65" t="s">
        <v>400</v>
      </c>
      <c r="G2" s="62" t="s">
        <v>280</v>
      </c>
      <c r="H2" s="66" t="s">
        <v>281</v>
      </c>
      <c r="I2" s="67" t="s">
        <v>430</v>
      </c>
      <c r="J2" s="71" t="s">
        <v>406</v>
      </c>
      <c r="K2" s="71" t="s">
        <v>403</v>
      </c>
      <c r="L2" s="72" t="s">
        <v>404</v>
      </c>
      <c r="M2" s="71" t="s">
        <v>402</v>
      </c>
      <c r="N2" s="71" t="s">
        <v>405</v>
      </c>
      <c r="O2" s="73" t="s">
        <v>425</v>
      </c>
    </row>
    <row r="3" spans="1:15" ht="12.75" customHeight="1">
      <c r="A3" s="74">
        <v>46055</v>
      </c>
      <c r="B3" s="75" t="str">
        <f t="shared" ref="B3:B66" si="0">TEXT(A3,"aaa")</f>
        <v>월</v>
      </c>
      <c r="C3" s="75" t="s">
        <v>334</v>
      </c>
      <c r="D3" s="75" t="str">
        <f>VLOOKUP($C3,청소코드!$C$4:$J$188,3,FALSE)</f>
        <v>센텀 2차 406</v>
      </c>
      <c r="E3" s="75">
        <f>VLOOKUP($C3,청소코드!$C$4:$J$188,4,FALSE)</f>
        <v>1.5</v>
      </c>
      <c r="F3" s="75" t="s">
        <v>401</v>
      </c>
      <c r="G3" s="75" t="s">
        <v>440</v>
      </c>
      <c r="H3" s="75"/>
      <c r="I3" s="75" t="s">
        <v>439</v>
      </c>
      <c r="J3" s="76">
        <f t="shared" ref="J3:J66" si="1">SUM(K3:O3)</f>
        <v>25000</v>
      </c>
      <c r="K3" s="75">
        <f>VLOOKUP($C3,청소코드!$C$4:$J$188,8,FALSE)</f>
        <v>20000</v>
      </c>
      <c r="L3" s="77">
        <v>5000</v>
      </c>
      <c r="M3" s="78"/>
      <c r="N3" s="77"/>
      <c r="O3" s="77"/>
    </row>
    <row r="4" spans="1:15" ht="12.75" customHeight="1">
      <c r="A4" s="74">
        <v>46055</v>
      </c>
      <c r="B4" s="75" t="str">
        <f t="shared" si="0"/>
        <v>월</v>
      </c>
      <c r="C4" s="75" t="s">
        <v>356</v>
      </c>
      <c r="D4" s="75" t="str">
        <f>VLOOKUP($C4,청소코드!$C$4:$J$188,3,FALSE)</f>
        <v>성우 803</v>
      </c>
      <c r="E4" s="75">
        <f>VLOOKUP($C4,청소코드!$C$4:$J$188,4,FALSE)</f>
        <v>3</v>
      </c>
      <c r="F4" s="75" t="s">
        <v>429</v>
      </c>
      <c r="G4" s="75" t="s">
        <v>441</v>
      </c>
      <c r="H4" s="75"/>
      <c r="I4" s="75" t="s">
        <v>439</v>
      </c>
      <c r="J4" s="76">
        <f t="shared" si="1"/>
        <v>35000</v>
      </c>
      <c r="K4" s="75">
        <f>VLOOKUP($C4,청소코드!$C$4:$J$188,8,FALSE)</f>
        <v>30000</v>
      </c>
      <c r="L4" s="77">
        <v>5000</v>
      </c>
      <c r="M4" s="78"/>
      <c r="N4" s="77"/>
      <c r="O4" s="77"/>
    </row>
    <row r="5" spans="1:15" ht="12.75" customHeight="1">
      <c r="A5" s="74">
        <v>46055</v>
      </c>
      <c r="B5" s="75" t="str">
        <f t="shared" si="0"/>
        <v>월</v>
      </c>
      <c r="C5" s="75" t="s">
        <v>371</v>
      </c>
      <c r="D5" s="75" t="str">
        <f>VLOOKUP($C5,청소코드!$C$4:$J$188,3,FALSE)</f>
        <v>예건 602</v>
      </c>
      <c r="E5" s="75">
        <f>VLOOKUP($C5,청소코드!$C$4:$J$188,4,FALSE)</f>
        <v>1</v>
      </c>
      <c r="F5" s="75" t="s">
        <v>429</v>
      </c>
      <c r="G5" s="75"/>
      <c r="H5" s="75"/>
      <c r="I5" s="75" t="s">
        <v>431</v>
      </c>
      <c r="J5" s="76">
        <f t="shared" si="1"/>
        <v>18000</v>
      </c>
      <c r="K5" s="75">
        <f>VLOOKUP($C5,청소코드!$C$4:$J$188,8,FALSE)</f>
        <v>18000</v>
      </c>
      <c r="L5" s="77"/>
      <c r="M5" s="78"/>
      <c r="N5" s="77"/>
      <c r="O5" s="77"/>
    </row>
    <row r="6" spans="1:15" ht="12.75" customHeight="1">
      <c r="A6" s="74">
        <v>46055</v>
      </c>
      <c r="B6" s="75" t="str">
        <f t="shared" si="0"/>
        <v>월</v>
      </c>
      <c r="C6" s="75" t="s">
        <v>360</v>
      </c>
      <c r="D6" s="75" t="str">
        <f>VLOOKUP($C6,청소코드!$C$4:$J$188,3,FALSE)</f>
        <v>더하임 306</v>
      </c>
      <c r="E6" s="75">
        <f>VLOOKUP($C6,청소코드!$C$4:$J$188,4,FALSE)</f>
        <v>1.5</v>
      </c>
      <c r="F6" s="75" t="s">
        <v>437</v>
      </c>
      <c r="G6" s="75" t="s">
        <v>440</v>
      </c>
      <c r="H6" s="75"/>
      <c r="I6" s="75" t="s">
        <v>431</v>
      </c>
      <c r="J6" s="76">
        <f t="shared" si="1"/>
        <v>25000</v>
      </c>
      <c r="K6" s="75">
        <f>VLOOKUP($C6,청소코드!$C$4:$J$188,8,FALSE)</f>
        <v>20000</v>
      </c>
      <c r="L6" s="77">
        <v>5000</v>
      </c>
      <c r="M6" s="78"/>
      <c r="N6" s="77"/>
      <c r="O6" s="77"/>
    </row>
    <row r="7" spans="1:15" ht="12.75" customHeight="1">
      <c r="A7" s="74">
        <v>46055</v>
      </c>
      <c r="B7" s="75" t="str">
        <f t="shared" si="0"/>
        <v>월</v>
      </c>
      <c r="C7" s="75" t="s">
        <v>417</v>
      </c>
      <c r="D7" s="75" t="str">
        <f>VLOOKUP($C7,청소코드!$C$4:$J$188,3,FALSE)</f>
        <v>더하임 504</v>
      </c>
      <c r="E7" s="75">
        <f>VLOOKUP($C7,청소코드!$C$4:$J$188,4,FALSE)</f>
        <v>1</v>
      </c>
      <c r="F7" s="75" t="s">
        <v>437</v>
      </c>
      <c r="G7" s="75"/>
      <c r="H7" s="75"/>
      <c r="I7" s="75" t="s">
        <v>431</v>
      </c>
      <c r="J7" s="76">
        <f t="shared" si="1"/>
        <v>18000</v>
      </c>
      <c r="K7" s="75">
        <f>VLOOKUP($C7,청소코드!$C$4:$J$188,8,FALSE)</f>
        <v>18000</v>
      </c>
      <c r="L7" s="77"/>
      <c r="M7" s="78"/>
      <c r="N7" s="77"/>
      <c r="O7" s="77"/>
    </row>
    <row r="8" spans="1:15" ht="12.75" customHeight="1">
      <c r="A8" s="74">
        <v>46055</v>
      </c>
      <c r="B8" s="75" t="str">
        <f t="shared" si="0"/>
        <v>월</v>
      </c>
      <c r="C8" s="75" t="s">
        <v>361</v>
      </c>
      <c r="D8" s="75" t="str">
        <f>VLOOKUP($C8,청소코드!$C$4:$J$188,3,FALSE)</f>
        <v>더하임 506</v>
      </c>
      <c r="E8" s="75">
        <f>VLOOKUP($C8,청소코드!$C$4:$J$188,4,FALSE)</f>
        <v>1.5</v>
      </c>
      <c r="F8" s="75" t="s">
        <v>437</v>
      </c>
      <c r="G8" s="75"/>
      <c r="H8" s="75"/>
      <c r="I8" s="75" t="s">
        <v>431</v>
      </c>
      <c r="J8" s="76">
        <f t="shared" si="1"/>
        <v>20000</v>
      </c>
      <c r="K8" s="75">
        <f>VLOOKUP($C8,청소코드!$C$4:$J$188,8,FALSE)</f>
        <v>20000</v>
      </c>
      <c r="L8" s="77"/>
      <c r="M8" s="78"/>
      <c r="N8" s="77"/>
      <c r="O8" s="77"/>
    </row>
    <row r="9" spans="1:15" ht="12.75" customHeight="1">
      <c r="A9" s="74">
        <v>46055</v>
      </c>
      <c r="B9" s="75" t="str">
        <f t="shared" si="0"/>
        <v>월</v>
      </c>
      <c r="C9" s="75" t="s">
        <v>387</v>
      </c>
      <c r="D9" s="75" t="str">
        <f>VLOOKUP($C9,청소코드!$C$4:$J$188,3,FALSE)</f>
        <v>더하임 604</v>
      </c>
      <c r="E9" s="75">
        <f>VLOOKUP($C9,청소코드!$C$4:$J$188,4,FALSE)</f>
        <v>1</v>
      </c>
      <c r="F9" s="75" t="s">
        <v>437</v>
      </c>
      <c r="G9" s="75"/>
      <c r="H9" s="75"/>
      <c r="I9" s="75" t="s">
        <v>439</v>
      </c>
      <c r="J9" s="76">
        <f t="shared" si="1"/>
        <v>18000</v>
      </c>
      <c r="K9" s="75">
        <f>VLOOKUP($C9,청소코드!$C$4:$J$188,8,FALSE)</f>
        <v>18000</v>
      </c>
      <c r="L9" s="77"/>
      <c r="M9" s="78"/>
      <c r="N9" s="77"/>
      <c r="O9" s="77"/>
    </row>
    <row r="10" spans="1:15" ht="12.75" customHeight="1">
      <c r="A10" s="74">
        <v>46055</v>
      </c>
      <c r="B10" s="75" t="str">
        <f t="shared" si="0"/>
        <v>월</v>
      </c>
      <c r="C10" s="75" t="s">
        <v>286</v>
      </c>
      <c r="D10" s="75" t="str">
        <f>VLOOKUP($C10,청소코드!$C$4:$J$188,3,FALSE)</f>
        <v>청광3차 1416</v>
      </c>
      <c r="E10" s="75">
        <f>VLOOKUP($C10,청소코드!$C$4:$J$188,4,FALSE)</f>
        <v>1</v>
      </c>
      <c r="F10" s="75" t="s">
        <v>438</v>
      </c>
      <c r="G10" s="75" t="s">
        <v>440</v>
      </c>
      <c r="H10" s="75"/>
      <c r="I10" s="75" t="s">
        <v>439</v>
      </c>
      <c r="J10" s="76">
        <f t="shared" si="1"/>
        <v>23000</v>
      </c>
      <c r="K10" s="75">
        <f>VLOOKUP($C10,청소코드!$C$4:$J$188,8,FALSE)</f>
        <v>18000</v>
      </c>
      <c r="L10" s="77">
        <v>5000</v>
      </c>
      <c r="M10" s="78"/>
      <c r="N10" s="77"/>
      <c r="O10" s="77"/>
    </row>
    <row r="11" spans="1:15" ht="12.75" customHeight="1">
      <c r="A11" s="74">
        <v>46055</v>
      </c>
      <c r="B11" s="75" t="str">
        <f t="shared" si="0"/>
        <v>월</v>
      </c>
      <c r="C11" s="75" t="s">
        <v>287</v>
      </c>
      <c r="D11" s="75" t="str">
        <f>VLOOKUP($C11,청소코드!$C$4:$J$188,3,FALSE)</f>
        <v>청광3차 1412</v>
      </c>
      <c r="E11" s="75">
        <f>VLOOKUP($C11,청소코드!$C$4:$J$188,4,FALSE)</f>
        <v>1</v>
      </c>
      <c r="F11" s="75" t="s">
        <v>438</v>
      </c>
      <c r="G11" s="75"/>
      <c r="H11" s="75"/>
      <c r="I11" s="75" t="s">
        <v>439</v>
      </c>
      <c r="J11" s="76">
        <f t="shared" si="1"/>
        <v>18000</v>
      </c>
      <c r="K11" s="75">
        <f>VLOOKUP($C11,청소코드!$C$4:$J$188,8,FALSE)</f>
        <v>18000</v>
      </c>
      <c r="L11" s="77"/>
      <c r="M11" s="78"/>
      <c r="N11" s="77"/>
      <c r="O11" s="77"/>
    </row>
    <row r="12" spans="1:15" ht="12.75" customHeight="1">
      <c r="A12" s="74">
        <v>46055</v>
      </c>
      <c r="B12" s="75" t="str">
        <f t="shared" si="0"/>
        <v>월</v>
      </c>
      <c r="C12" s="75" t="s">
        <v>295</v>
      </c>
      <c r="D12" s="75" t="str">
        <f>VLOOKUP($C12,청소코드!$C$4:$J$188,3,FALSE)</f>
        <v>르센티 1801</v>
      </c>
      <c r="E12" s="75" t="str">
        <f>VLOOKUP($C12,청소코드!$C$4:$J$188,4,FALSE)</f>
        <v>복</v>
      </c>
      <c r="F12" s="75" t="s">
        <v>426</v>
      </c>
      <c r="G12" s="75" t="s">
        <v>440</v>
      </c>
      <c r="H12" s="75"/>
      <c r="I12" s="75" t="s">
        <v>439</v>
      </c>
      <c r="J12" s="76">
        <f t="shared" si="1"/>
        <v>25000</v>
      </c>
      <c r="K12" s="75">
        <f>VLOOKUP($C12,청소코드!$C$4:$J$188,8,FALSE)</f>
        <v>20000</v>
      </c>
      <c r="L12" s="77">
        <v>5000</v>
      </c>
      <c r="M12" s="78"/>
      <c r="N12" s="77"/>
      <c r="O12" s="77"/>
    </row>
    <row r="13" spans="1:15" ht="12.75" customHeight="1">
      <c r="A13" s="74">
        <v>46055</v>
      </c>
      <c r="B13" s="75" t="str">
        <f t="shared" si="0"/>
        <v>월</v>
      </c>
      <c r="C13" s="75" t="s">
        <v>292</v>
      </c>
      <c r="D13" s="75" t="str">
        <f>VLOOKUP($C13,청소코드!$C$4:$J$188,3,FALSE)</f>
        <v>오앤 401</v>
      </c>
      <c r="E13" s="75">
        <f>VLOOKUP($C13,청소코드!$C$4:$J$188,4,FALSE)</f>
        <v>1</v>
      </c>
      <c r="F13" s="75" t="s">
        <v>426</v>
      </c>
      <c r="G13" s="75"/>
      <c r="H13" s="75"/>
      <c r="I13" s="75" t="s">
        <v>439</v>
      </c>
      <c r="J13" s="76">
        <f t="shared" si="1"/>
        <v>18000</v>
      </c>
      <c r="K13" s="75">
        <f>VLOOKUP($C13,청소코드!$C$4:$J$188,8,FALSE)</f>
        <v>18000</v>
      </c>
      <c r="L13" s="77"/>
      <c r="M13" s="78"/>
      <c r="N13" s="77"/>
      <c r="O13" s="77"/>
    </row>
    <row r="14" spans="1:15" ht="12.75" customHeight="1">
      <c r="A14" s="74">
        <v>46055</v>
      </c>
      <c r="B14" s="75" t="str">
        <f t="shared" si="0"/>
        <v>월</v>
      </c>
      <c r="C14" s="75" t="s">
        <v>416</v>
      </c>
      <c r="D14" s="75" t="str">
        <f>VLOOKUP($C14,청소코드!$C$4:$J$188,3,FALSE)</f>
        <v>청광1차 207</v>
      </c>
      <c r="E14" s="75">
        <f>VLOOKUP($C14,청소코드!$C$4:$J$188,4,FALSE)</f>
        <v>0</v>
      </c>
      <c r="F14" s="75" t="s">
        <v>426</v>
      </c>
      <c r="G14" s="75"/>
      <c r="H14" s="75"/>
      <c r="I14" s="75" t="s">
        <v>439</v>
      </c>
      <c r="J14" s="76">
        <f t="shared" si="1"/>
        <v>10000</v>
      </c>
      <c r="K14" s="75">
        <f>VLOOKUP($C14,청소코드!$C$4:$J$188,8,FALSE)</f>
        <v>10000</v>
      </c>
      <c r="L14" s="77"/>
      <c r="M14" s="78"/>
      <c r="N14" s="77"/>
      <c r="O14" s="77"/>
    </row>
    <row r="15" spans="1:15" ht="12.75" customHeight="1">
      <c r="A15" s="74">
        <v>46056</v>
      </c>
      <c r="B15" s="75" t="str">
        <f t="shared" si="0"/>
        <v>화</v>
      </c>
      <c r="C15" s="75" t="s">
        <v>325</v>
      </c>
      <c r="D15" s="75" t="str">
        <f>VLOOKUP($C15,청소코드!$C$4:$J$188,3,FALSE)</f>
        <v>센텀 2차 501</v>
      </c>
      <c r="E15" s="75">
        <f>VLOOKUP($C15,청소코드!$C$4:$J$188,4,FALSE)</f>
        <v>1.5</v>
      </c>
      <c r="F15" s="75" t="s">
        <v>429</v>
      </c>
      <c r="G15" s="75"/>
      <c r="H15" s="75"/>
      <c r="I15" s="75" t="s">
        <v>439</v>
      </c>
      <c r="J15" s="76">
        <f t="shared" si="1"/>
        <v>20000</v>
      </c>
      <c r="K15" s="75">
        <f>VLOOKUP($C15,청소코드!$C$4:$J$188,8,FALSE)</f>
        <v>20000</v>
      </c>
      <c r="L15" s="77"/>
      <c r="M15" s="78"/>
      <c r="N15" s="77"/>
      <c r="O15" s="77"/>
    </row>
    <row r="16" spans="1:15" ht="12.75" customHeight="1">
      <c r="A16" s="74">
        <v>46056</v>
      </c>
      <c r="B16" s="75" t="str">
        <f t="shared" si="0"/>
        <v>화</v>
      </c>
      <c r="C16" s="75" t="s">
        <v>371</v>
      </c>
      <c r="D16" s="75" t="str">
        <f>VLOOKUP($C16,청소코드!$C$4:$J$188,3,FALSE)</f>
        <v>예건 602</v>
      </c>
      <c r="E16" s="75">
        <f>VLOOKUP($C16,청소코드!$C$4:$J$188,4,FALSE)</f>
        <v>1</v>
      </c>
      <c r="F16" s="75" t="s">
        <v>429</v>
      </c>
      <c r="G16" s="75" t="s">
        <v>450</v>
      </c>
      <c r="H16" s="75"/>
      <c r="I16" s="75" t="s">
        <v>439</v>
      </c>
      <c r="J16" s="76">
        <f t="shared" si="1"/>
        <v>18000</v>
      </c>
      <c r="K16" s="75">
        <f>VLOOKUP($C16,청소코드!$C$4:$J$188,8,FALSE)</f>
        <v>18000</v>
      </c>
      <c r="L16" s="77"/>
      <c r="M16" s="78"/>
      <c r="N16" s="77"/>
      <c r="O16" s="77"/>
    </row>
    <row r="17" spans="1:15" ht="12.75" customHeight="1">
      <c r="A17" s="74">
        <v>46056</v>
      </c>
      <c r="B17" s="75" t="str">
        <f t="shared" si="0"/>
        <v>화</v>
      </c>
      <c r="C17" s="75" t="s">
        <v>373</v>
      </c>
      <c r="D17" s="75" t="str">
        <f>VLOOKUP($C17,청소코드!$C$4:$J$188,3,FALSE)</f>
        <v>더하임 204</v>
      </c>
      <c r="E17" s="75">
        <f>VLOOKUP($C17,청소코드!$C$4:$J$188,4,FALSE)</f>
        <v>1</v>
      </c>
      <c r="F17" s="75" t="s">
        <v>437</v>
      </c>
      <c r="G17" s="75"/>
      <c r="H17" s="75"/>
      <c r="I17" s="75" t="s">
        <v>439</v>
      </c>
      <c r="J17" s="76">
        <f t="shared" si="1"/>
        <v>18000</v>
      </c>
      <c r="K17" s="75">
        <f>VLOOKUP($C17,청소코드!$C$4:$J$188,8,FALSE)</f>
        <v>18000</v>
      </c>
      <c r="L17" s="77"/>
      <c r="M17" s="78"/>
      <c r="N17" s="77"/>
      <c r="O17" s="77"/>
    </row>
    <row r="18" spans="1:15" ht="12.75" customHeight="1">
      <c r="A18" s="74">
        <v>46056</v>
      </c>
      <c r="B18" s="75" t="str">
        <f t="shared" si="0"/>
        <v>화</v>
      </c>
      <c r="C18" s="75" t="s">
        <v>417</v>
      </c>
      <c r="D18" s="75" t="str">
        <f>VLOOKUP($C18,청소코드!$C$4:$J$188,3,FALSE)</f>
        <v>더하임 504</v>
      </c>
      <c r="E18" s="75">
        <f>VLOOKUP($C18,청소코드!$C$4:$J$188,4,FALSE)</f>
        <v>1</v>
      </c>
      <c r="F18" s="75" t="s">
        <v>437</v>
      </c>
      <c r="G18" s="75"/>
      <c r="H18" s="75"/>
      <c r="I18" s="75" t="s">
        <v>439</v>
      </c>
      <c r="J18" s="76">
        <f t="shared" si="1"/>
        <v>18000</v>
      </c>
      <c r="K18" s="75">
        <f>VLOOKUP($C18,청소코드!$C$4:$J$188,8,FALSE)</f>
        <v>18000</v>
      </c>
      <c r="L18" s="77"/>
      <c r="M18" s="78"/>
      <c r="N18" s="77"/>
      <c r="O18" s="77"/>
    </row>
    <row r="19" spans="1:15" ht="12.75" customHeight="1">
      <c r="A19" s="74">
        <v>46056</v>
      </c>
      <c r="B19" s="75" t="str">
        <f t="shared" si="0"/>
        <v>화</v>
      </c>
      <c r="C19" s="75" t="s">
        <v>387</v>
      </c>
      <c r="D19" s="75" t="str">
        <f>VLOOKUP($C19,청소코드!$C$4:$J$188,3,FALSE)</f>
        <v>더하임 604</v>
      </c>
      <c r="E19" s="75">
        <f>VLOOKUP($C19,청소코드!$C$4:$J$188,4,FALSE)</f>
        <v>1</v>
      </c>
      <c r="F19" s="75" t="s">
        <v>437</v>
      </c>
      <c r="G19" s="75"/>
      <c r="H19" s="75"/>
      <c r="I19" s="75" t="s">
        <v>439</v>
      </c>
      <c r="J19" s="76">
        <f t="shared" si="1"/>
        <v>18000</v>
      </c>
      <c r="K19" s="75">
        <f>VLOOKUP($C19,청소코드!$C$4:$J$188,8,FALSE)</f>
        <v>18000</v>
      </c>
      <c r="L19" s="77"/>
      <c r="M19" s="78"/>
      <c r="N19" s="77"/>
      <c r="O19" s="77"/>
    </row>
    <row r="20" spans="1:15" ht="12.75" customHeight="1">
      <c r="A20" s="74">
        <v>46056</v>
      </c>
      <c r="B20" s="75" t="str">
        <f t="shared" si="0"/>
        <v>화</v>
      </c>
      <c r="C20" s="75" t="s">
        <v>301</v>
      </c>
      <c r="D20" s="75" t="str">
        <f>VLOOKUP($C20,청소코드!$C$4:$J$188,3,FALSE)</f>
        <v>청광3차 507</v>
      </c>
      <c r="E20" s="75">
        <f>VLOOKUP($C20,청소코드!$C$4:$J$188,4,FALSE)</f>
        <v>1</v>
      </c>
      <c r="F20" s="75" t="s">
        <v>449</v>
      </c>
      <c r="G20" s="75"/>
      <c r="H20" s="75"/>
      <c r="I20" s="75" t="s">
        <v>439</v>
      </c>
      <c r="J20" s="76">
        <f t="shared" si="1"/>
        <v>18000</v>
      </c>
      <c r="K20" s="75">
        <f>VLOOKUP($C20,청소코드!$C$4:$J$188,8,FALSE)</f>
        <v>18000</v>
      </c>
      <c r="L20" s="77"/>
      <c r="M20" s="78"/>
      <c r="N20" s="77"/>
      <c r="O20" s="77"/>
    </row>
    <row r="21" spans="1:15" ht="12.75" customHeight="1">
      <c r="A21" s="74">
        <v>46056</v>
      </c>
      <c r="B21" s="75" t="str">
        <f t="shared" si="0"/>
        <v>화</v>
      </c>
      <c r="C21" s="75" t="s">
        <v>287</v>
      </c>
      <c r="D21" s="75" t="str">
        <f>VLOOKUP($C21,청소코드!$C$4:$J$188,3,FALSE)</f>
        <v>청광3차 1412</v>
      </c>
      <c r="E21" s="75">
        <f>VLOOKUP($C21,청소코드!$C$4:$J$188,4,FALSE)</f>
        <v>1</v>
      </c>
      <c r="F21" s="75" t="s">
        <v>449</v>
      </c>
      <c r="G21" s="75"/>
      <c r="H21" s="75"/>
      <c r="I21" s="75" t="s">
        <v>439</v>
      </c>
      <c r="J21" s="76">
        <f t="shared" si="1"/>
        <v>18000</v>
      </c>
      <c r="K21" s="75">
        <f>VLOOKUP($C21,청소코드!$C$4:$J$188,8,FALSE)</f>
        <v>18000</v>
      </c>
      <c r="L21" s="77"/>
      <c r="M21" s="78"/>
      <c r="N21" s="77"/>
      <c r="O21" s="77"/>
    </row>
    <row r="22" spans="1:15" ht="12.75" customHeight="1">
      <c r="A22" s="74">
        <v>46056</v>
      </c>
      <c r="B22" s="75" t="str">
        <f t="shared" si="0"/>
        <v>화</v>
      </c>
      <c r="C22" s="75" t="s">
        <v>283</v>
      </c>
      <c r="D22" s="75" t="str">
        <f>VLOOKUP($C22,청소코드!$C$4:$J$188,3,FALSE)</f>
        <v>강동QV 1604</v>
      </c>
      <c r="E22" s="75">
        <f>VLOOKUP($C22,청소코드!$C$4:$J$188,4,FALSE)</f>
        <v>1</v>
      </c>
      <c r="F22" s="75" t="s">
        <v>401</v>
      </c>
      <c r="G22" s="75"/>
      <c r="H22" s="75"/>
      <c r="I22" s="75" t="s">
        <v>439</v>
      </c>
      <c r="J22" s="76">
        <f t="shared" si="1"/>
        <v>18000</v>
      </c>
      <c r="K22" s="75">
        <f>VLOOKUP($C22,청소코드!$C$4:$J$188,8,FALSE)</f>
        <v>18000</v>
      </c>
      <c r="L22" s="77"/>
      <c r="M22" s="78"/>
      <c r="N22" s="77"/>
      <c r="O22" s="77"/>
    </row>
    <row r="23" spans="1:15" ht="12.75" customHeight="1">
      <c r="A23" s="74">
        <v>46056</v>
      </c>
      <c r="B23" s="75" t="str">
        <f t="shared" si="0"/>
        <v>화</v>
      </c>
      <c r="C23" s="75" t="s">
        <v>295</v>
      </c>
      <c r="D23" s="75" t="str">
        <f>VLOOKUP($C23,청소코드!$C$4:$J$188,3,FALSE)</f>
        <v>르센티 1801</v>
      </c>
      <c r="E23" s="75" t="str">
        <f>VLOOKUP($C23,청소코드!$C$4:$J$188,4,FALSE)</f>
        <v>복</v>
      </c>
      <c r="F23" s="75" t="s">
        <v>401</v>
      </c>
      <c r="G23" s="75"/>
      <c r="H23" s="75"/>
      <c r="I23" s="75" t="s">
        <v>439</v>
      </c>
      <c r="J23" s="76">
        <f t="shared" si="1"/>
        <v>20000</v>
      </c>
      <c r="K23" s="75">
        <f>VLOOKUP($C23,청소코드!$C$4:$J$188,8,FALSE)</f>
        <v>20000</v>
      </c>
      <c r="L23" s="77"/>
      <c r="M23" s="78"/>
      <c r="N23" s="77"/>
      <c r="O23" s="77"/>
    </row>
    <row r="24" spans="1:15" ht="12.75" customHeight="1">
      <c r="A24" s="74">
        <v>46056</v>
      </c>
      <c r="B24" s="75" t="str">
        <f t="shared" si="0"/>
        <v>화</v>
      </c>
      <c r="C24" s="75" t="s">
        <v>292</v>
      </c>
      <c r="D24" s="75" t="str">
        <f>VLOOKUP($C24,청소코드!$C$4:$J$188,3,FALSE)</f>
        <v>오앤 401</v>
      </c>
      <c r="E24" s="75">
        <f>VLOOKUP($C24,청소코드!$C$4:$J$188,4,FALSE)</f>
        <v>1</v>
      </c>
      <c r="F24" s="75" t="s">
        <v>426</v>
      </c>
      <c r="G24" s="75"/>
      <c r="H24" s="75"/>
      <c r="I24" s="75" t="s">
        <v>439</v>
      </c>
      <c r="J24" s="76">
        <f t="shared" si="1"/>
        <v>18000</v>
      </c>
      <c r="K24" s="75">
        <f>VLOOKUP($C24,청소코드!$C$4:$J$188,8,FALSE)</f>
        <v>18000</v>
      </c>
      <c r="L24" s="77"/>
      <c r="M24" s="78"/>
      <c r="N24" s="77"/>
      <c r="O24" s="77"/>
    </row>
    <row r="25" spans="1:15" ht="12.75" customHeight="1">
      <c r="A25" s="74">
        <v>46056</v>
      </c>
      <c r="B25" s="75" t="str">
        <f t="shared" si="0"/>
        <v>화</v>
      </c>
      <c r="C25" s="75" t="s">
        <v>416</v>
      </c>
      <c r="D25" s="75" t="str">
        <f>VLOOKUP($C25,청소코드!$C$4:$J$188,3,FALSE)</f>
        <v>청광1차 207</v>
      </c>
      <c r="E25" s="75">
        <f>VLOOKUP($C25,청소코드!$C$4:$J$188,4,FALSE)</f>
        <v>0</v>
      </c>
      <c r="F25" s="75" t="s">
        <v>426</v>
      </c>
      <c r="G25" s="75"/>
      <c r="H25" s="75"/>
      <c r="I25" s="75" t="s">
        <v>439</v>
      </c>
      <c r="J25" s="76">
        <f t="shared" si="1"/>
        <v>10000</v>
      </c>
      <c r="K25" s="75">
        <f>VLOOKUP($C25,청소코드!$C$4:$J$188,8,FALSE)</f>
        <v>10000</v>
      </c>
      <c r="L25" s="77"/>
      <c r="M25" s="78"/>
      <c r="N25" s="77"/>
      <c r="O25" s="77"/>
    </row>
    <row r="26" spans="1:15" ht="12.75" customHeight="1">
      <c r="A26" s="74">
        <v>46057</v>
      </c>
      <c r="B26" s="75" t="str">
        <f t="shared" si="0"/>
        <v>수</v>
      </c>
      <c r="C26" s="75" t="s">
        <v>393</v>
      </c>
      <c r="D26" s="75" t="str">
        <f>VLOOKUP($C26,청소코드!$C$4:$J$188,3,FALSE)</f>
        <v>대치동 103호</v>
      </c>
      <c r="E26" s="75">
        <f>VLOOKUP($C26,청소코드!$C$4:$J$188,4,FALSE)</f>
        <v>1.5</v>
      </c>
      <c r="F26" s="75" t="s">
        <v>451</v>
      </c>
      <c r="G26" s="75"/>
      <c r="H26" s="75"/>
      <c r="I26" s="75" t="s">
        <v>439</v>
      </c>
      <c r="J26" s="76">
        <f t="shared" si="1"/>
        <v>20000</v>
      </c>
      <c r="K26" s="75">
        <f>VLOOKUP($C26,청소코드!$C$4:$J$188,8,FALSE)</f>
        <v>20000</v>
      </c>
      <c r="L26" s="77"/>
      <c r="M26" s="78"/>
      <c r="N26" s="77"/>
      <c r="O26" s="77"/>
    </row>
    <row r="27" spans="1:15" ht="12.75" customHeight="1">
      <c r="A27" s="74">
        <v>46057</v>
      </c>
      <c r="B27" s="75" t="str">
        <f t="shared" si="0"/>
        <v>수</v>
      </c>
      <c r="C27" s="75" t="s">
        <v>334</v>
      </c>
      <c r="D27" s="75" t="str">
        <f>VLOOKUP($C27,청소코드!$C$4:$J$188,3,FALSE)</f>
        <v>센텀 2차 406</v>
      </c>
      <c r="E27" s="75">
        <f>VLOOKUP($C27,청소코드!$C$4:$J$188,4,FALSE)</f>
        <v>1.5</v>
      </c>
      <c r="F27" s="75" t="s">
        <v>438</v>
      </c>
      <c r="G27" s="75"/>
      <c r="H27" s="75"/>
      <c r="I27" s="75" t="s">
        <v>439</v>
      </c>
      <c r="J27" s="76">
        <f t="shared" si="1"/>
        <v>20000</v>
      </c>
      <c r="K27" s="75">
        <f>VLOOKUP($C27,청소코드!$C$4:$J$188,8,FALSE)</f>
        <v>20000</v>
      </c>
      <c r="L27" s="77"/>
      <c r="M27" s="78"/>
      <c r="N27" s="77"/>
      <c r="O27" s="77"/>
    </row>
    <row r="28" spans="1:15" ht="12.75" customHeight="1">
      <c r="A28" s="74">
        <v>46057</v>
      </c>
      <c r="B28" s="75" t="str">
        <f t="shared" si="0"/>
        <v>수</v>
      </c>
      <c r="C28" s="75" t="s">
        <v>325</v>
      </c>
      <c r="D28" s="75" t="str">
        <f>VLOOKUP($C28,청소코드!$C$4:$J$188,3,FALSE)</f>
        <v>센텀 2차 501</v>
      </c>
      <c r="E28" s="75">
        <f>VLOOKUP($C28,청소코드!$C$4:$J$188,4,FALSE)</f>
        <v>1.5</v>
      </c>
      <c r="F28" s="75" t="s">
        <v>438</v>
      </c>
      <c r="G28" s="75"/>
      <c r="H28" s="75"/>
      <c r="I28" s="75" t="s">
        <v>439</v>
      </c>
      <c r="J28" s="76">
        <f t="shared" si="1"/>
        <v>20000</v>
      </c>
      <c r="K28" s="75">
        <f>VLOOKUP($C28,청소코드!$C$4:$J$188,8,FALSE)</f>
        <v>20000</v>
      </c>
      <c r="L28" s="77"/>
      <c r="M28" s="78"/>
      <c r="N28" s="77"/>
      <c r="O28" s="77"/>
    </row>
    <row r="29" spans="1:15" ht="12.75" customHeight="1">
      <c r="A29" s="74">
        <v>46057</v>
      </c>
      <c r="B29" s="75" t="str">
        <f t="shared" si="0"/>
        <v>수</v>
      </c>
      <c r="C29" s="75" t="s">
        <v>371</v>
      </c>
      <c r="D29" s="75" t="str">
        <f>VLOOKUP($C29,청소코드!$C$4:$J$188,3,FALSE)</f>
        <v>예건 602</v>
      </c>
      <c r="E29" s="75">
        <f>VLOOKUP($C29,청소코드!$C$4:$J$188,4,FALSE)</f>
        <v>1</v>
      </c>
      <c r="F29" s="75" t="s">
        <v>401</v>
      </c>
      <c r="G29" s="75"/>
      <c r="H29" s="75"/>
      <c r="I29" s="75" t="s">
        <v>439</v>
      </c>
      <c r="J29" s="76">
        <f t="shared" si="1"/>
        <v>18000</v>
      </c>
      <c r="K29" s="75">
        <f>VLOOKUP($C29,청소코드!$C$4:$J$188,8,FALSE)</f>
        <v>18000</v>
      </c>
      <c r="L29" s="77"/>
      <c r="M29" s="78"/>
      <c r="N29" s="77"/>
      <c r="O29" s="77"/>
    </row>
    <row r="30" spans="1:15" ht="12.75" customHeight="1">
      <c r="A30" s="74">
        <v>46057</v>
      </c>
      <c r="B30" s="75" t="str">
        <f t="shared" si="0"/>
        <v>수</v>
      </c>
      <c r="C30" s="75" t="s">
        <v>373</v>
      </c>
      <c r="D30" s="75" t="str">
        <f>VLOOKUP($C30,청소코드!$C$4:$J$188,3,FALSE)</f>
        <v>더하임 204</v>
      </c>
      <c r="E30" s="75">
        <f>VLOOKUP($C30,청소코드!$C$4:$J$188,4,FALSE)</f>
        <v>1</v>
      </c>
      <c r="F30" s="75" t="s">
        <v>437</v>
      </c>
      <c r="G30" s="75"/>
      <c r="H30" s="75"/>
      <c r="I30" s="75" t="s">
        <v>439</v>
      </c>
      <c r="J30" s="76">
        <f t="shared" si="1"/>
        <v>18000</v>
      </c>
      <c r="K30" s="75">
        <f>VLOOKUP($C30,청소코드!$C$4:$J$188,8,FALSE)</f>
        <v>18000</v>
      </c>
      <c r="L30" s="77"/>
      <c r="M30" s="78"/>
      <c r="N30" s="77"/>
      <c r="O30" s="77"/>
    </row>
    <row r="31" spans="1:15" ht="12.75" customHeight="1">
      <c r="A31" s="74">
        <v>46057</v>
      </c>
      <c r="B31" s="75" t="str">
        <f t="shared" si="0"/>
        <v>수</v>
      </c>
      <c r="C31" s="75" t="s">
        <v>360</v>
      </c>
      <c r="D31" s="75" t="str">
        <f>VLOOKUP($C31,청소코드!$C$4:$J$188,3,FALSE)</f>
        <v>더하임 306</v>
      </c>
      <c r="E31" s="75">
        <f>VLOOKUP($C31,청소코드!$C$4:$J$188,4,FALSE)</f>
        <v>1.5</v>
      </c>
      <c r="F31" s="75" t="s">
        <v>437</v>
      </c>
      <c r="G31" s="75"/>
      <c r="H31" s="75"/>
      <c r="I31" s="75" t="s">
        <v>439</v>
      </c>
      <c r="J31" s="76">
        <f t="shared" si="1"/>
        <v>20000</v>
      </c>
      <c r="K31" s="75">
        <f>VLOOKUP($C31,청소코드!$C$4:$J$188,8,FALSE)</f>
        <v>20000</v>
      </c>
      <c r="L31" s="77"/>
      <c r="M31" s="78"/>
      <c r="N31" s="77"/>
      <c r="O31" s="77"/>
    </row>
    <row r="32" spans="1:15" ht="12.75" customHeight="1">
      <c r="A32" s="74">
        <v>46057</v>
      </c>
      <c r="B32" s="75" t="str">
        <f t="shared" si="0"/>
        <v>수</v>
      </c>
      <c r="C32" s="75" t="s">
        <v>390</v>
      </c>
      <c r="D32" s="75" t="str">
        <f>VLOOKUP($C32,청소코드!$C$4:$J$188,3,FALSE)</f>
        <v>더하임 406</v>
      </c>
      <c r="E32" s="75">
        <f>VLOOKUP($C32,청소코드!$C$4:$J$188,4,FALSE)</f>
        <v>1.5</v>
      </c>
      <c r="F32" s="75" t="s">
        <v>437</v>
      </c>
      <c r="G32" s="75"/>
      <c r="H32" s="75"/>
      <c r="I32" s="75" t="s">
        <v>439</v>
      </c>
      <c r="J32" s="76">
        <f t="shared" si="1"/>
        <v>20000</v>
      </c>
      <c r="K32" s="75">
        <f>VLOOKUP($C32,청소코드!$C$4:$J$188,8,FALSE)</f>
        <v>20000</v>
      </c>
      <c r="L32" s="77"/>
      <c r="M32" s="78"/>
      <c r="N32" s="77"/>
      <c r="O32" s="77"/>
    </row>
    <row r="33" spans="1:15" ht="12.75" customHeight="1">
      <c r="A33" s="74">
        <v>46057</v>
      </c>
      <c r="B33" s="75" t="str">
        <f t="shared" si="0"/>
        <v>수</v>
      </c>
      <c r="C33" s="75" t="s">
        <v>417</v>
      </c>
      <c r="D33" s="75" t="str">
        <f>VLOOKUP($C33,청소코드!$C$4:$J$188,3,FALSE)</f>
        <v>더하임 504</v>
      </c>
      <c r="E33" s="75">
        <f>VLOOKUP($C33,청소코드!$C$4:$J$188,4,FALSE)</f>
        <v>1</v>
      </c>
      <c r="F33" s="75" t="s">
        <v>437</v>
      </c>
      <c r="G33" s="75"/>
      <c r="H33" s="75"/>
      <c r="I33" s="75" t="s">
        <v>439</v>
      </c>
      <c r="J33" s="76">
        <f t="shared" si="1"/>
        <v>18000</v>
      </c>
      <c r="K33" s="75">
        <f>VLOOKUP($C33,청소코드!$C$4:$J$188,8,FALSE)</f>
        <v>18000</v>
      </c>
      <c r="L33" s="77"/>
      <c r="M33" s="78"/>
      <c r="N33" s="77"/>
      <c r="O33" s="77"/>
    </row>
    <row r="34" spans="1:15" ht="12.75" customHeight="1">
      <c r="A34" s="74">
        <v>46057</v>
      </c>
      <c r="B34" s="75" t="str">
        <f t="shared" si="0"/>
        <v>수</v>
      </c>
      <c r="C34" s="75" t="s">
        <v>292</v>
      </c>
      <c r="D34" s="75" t="str">
        <f>VLOOKUP($C34,청소코드!$C$4:$J$188,3,FALSE)</f>
        <v>오앤 401</v>
      </c>
      <c r="E34" s="75">
        <f>VLOOKUP($C34,청소코드!$C$4:$J$188,4,FALSE)</f>
        <v>1</v>
      </c>
      <c r="F34" s="75" t="s">
        <v>426</v>
      </c>
      <c r="G34" s="75"/>
      <c r="H34" s="75"/>
      <c r="I34" s="75" t="s">
        <v>439</v>
      </c>
      <c r="J34" s="76">
        <f t="shared" si="1"/>
        <v>18000</v>
      </c>
      <c r="K34" s="75">
        <f>VLOOKUP($C34,청소코드!$C$4:$J$188,8,FALSE)</f>
        <v>18000</v>
      </c>
      <c r="L34" s="77"/>
      <c r="M34" s="78"/>
      <c r="N34" s="77"/>
      <c r="O34" s="77"/>
    </row>
    <row r="35" spans="1:15" ht="12.75" customHeight="1">
      <c r="A35" s="74">
        <v>46057</v>
      </c>
      <c r="B35" s="75" t="str">
        <f t="shared" si="0"/>
        <v>수</v>
      </c>
      <c r="C35" s="75" t="s">
        <v>416</v>
      </c>
      <c r="D35" s="75" t="str">
        <f>VLOOKUP($C35,청소코드!$C$4:$J$188,3,FALSE)</f>
        <v>청광1차 207</v>
      </c>
      <c r="E35" s="75">
        <f>VLOOKUP($C35,청소코드!$C$4:$J$188,4,FALSE)</f>
        <v>0</v>
      </c>
      <c r="F35" s="75" t="s">
        <v>426</v>
      </c>
      <c r="G35" s="75"/>
      <c r="H35" s="75"/>
      <c r="I35" s="75" t="s">
        <v>439</v>
      </c>
      <c r="J35" s="76">
        <f t="shared" si="1"/>
        <v>10000</v>
      </c>
      <c r="K35" s="75">
        <f>VLOOKUP($C35,청소코드!$C$4:$J$188,8,FALSE)</f>
        <v>10000</v>
      </c>
      <c r="L35" s="77"/>
      <c r="M35" s="78"/>
      <c r="N35" s="77"/>
      <c r="O35" s="77"/>
    </row>
    <row r="36" spans="1:15" ht="12.75" customHeight="1">
      <c r="A36" s="74">
        <v>46058</v>
      </c>
      <c r="B36" s="75" t="str">
        <f t="shared" si="0"/>
        <v>목</v>
      </c>
      <c r="C36" s="75" t="s">
        <v>397</v>
      </c>
      <c r="D36" s="75" t="str">
        <f>VLOOKUP($C36,청소코드!$C$4:$J$188,3,FALSE)</f>
        <v>대치동 102호</v>
      </c>
      <c r="E36" s="75">
        <f>VLOOKUP($C36,청소코드!$C$4:$J$188,4,FALSE)</f>
        <v>1</v>
      </c>
      <c r="F36" s="75" t="s">
        <v>451</v>
      </c>
      <c r="G36" s="75"/>
      <c r="H36" s="75"/>
      <c r="I36" s="75" t="s">
        <v>439</v>
      </c>
      <c r="J36" s="76">
        <f t="shared" si="1"/>
        <v>18000</v>
      </c>
      <c r="K36" s="75">
        <f>VLOOKUP($C36,청소코드!$C$4:$J$188,8,FALSE)</f>
        <v>18000</v>
      </c>
      <c r="L36" s="77"/>
      <c r="M36" s="78"/>
      <c r="N36" s="77"/>
      <c r="O36" s="77"/>
    </row>
    <row r="37" spans="1:15" ht="12.75" customHeight="1">
      <c r="A37" s="74">
        <v>46058</v>
      </c>
      <c r="B37" s="75" t="str">
        <f t="shared" si="0"/>
        <v>목</v>
      </c>
      <c r="C37" s="75" t="s">
        <v>393</v>
      </c>
      <c r="D37" s="75" t="str">
        <f>VLOOKUP($C37,청소코드!$C$4:$J$188,3,FALSE)</f>
        <v>대치동 103호</v>
      </c>
      <c r="E37" s="75">
        <f>VLOOKUP($C37,청소코드!$C$4:$J$188,4,FALSE)</f>
        <v>1.5</v>
      </c>
      <c r="F37" s="75" t="s">
        <v>451</v>
      </c>
      <c r="G37" s="75"/>
      <c r="H37" s="75"/>
      <c r="I37" s="75" t="s">
        <v>439</v>
      </c>
      <c r="J37" s="76">
        <f t="shared" si="1"/>
        <v>20000</v>
      </c>
      <c r="K37" s="75">
        <f>VLOOKUP($C37,청소코드!$C$4:$J$188,8,FALSE)</f>
        <v>20000</v>
      </c>
      <c r="L37" s="77"/>
      <c r="M37" s="78"/>
      <c r="N37" s="77"/>
      <c r="O37" s="77"/>
    </row>
    <row r="38" spans="1:15" ht="12.75" customHeight="1">
      <c r="A38" s="74">
        <v>46058</v>
      </c>
      <c r="B38" s="75" t="str">
        <f t="shared" si="0"/>
        <v>목</v>
      </c>
      <c r="C38" s="75" t="s">
        <v>360</v>
      </c>
      <c r="D38" s="75" t="str">
        <f>VLOOKUP($C38,청소코드!$C$4:$J$188,3,FALSE)</f>
        <v>더하임 306</v>
      </c>
      <c r="E38" s="75">
        <f>VLOOKUP($C38,청소코드!$C$4:$J$188,4,FALSE)</f>
        <v>1.5</v>
      </c>
      <c r="F38" s="75" t="s">
        <v>452</v>
      </c>
      <c r="G38" s="75"/>
      <c r="H38" s="75"/>
      <c r="I38" s="75" t="s">
        <v>439</v>
      </c>
      <c r="J38" s="76">
        <f t="shared" si="1"/>
        <v>20000</v>
      </c>
      <c r="K38" s="75">
        <f>VLOOKUP($C38,청소코드!$C$4:$J$188,8,FALSE)</f>
        <v>20000</v>
      </c>
      <c r="L38" s="77"/>
      <c r="M38" s="78"/>
      <c r="N38" s="77"/>
      <c r="O38" s="77"/>
    </row>
    <row r="39" spans="1:15" ht="12.75" customHeight="1">
      <c r="A39" s="74">
        <v>46058</v>
      </c>
      <c r="B39" s="75" t="str">
        <f t="shared" si="0"/>
        <v>목</v>
      </c>
      <c r="C39" s="75" t="s">
        <v>417</v>
      </c>
      <c r="D39" s="75" t="str">
        <f>VLOOKUP($C39,청소코드!$C$4:$J$188,3,FALSE)</f>
        <v>더하임 504</v>
      </c>
      <c r="E39" s="75">
        <f>VLOOKUP($C39,청소코드!$C$4:$J$188,4,FALSE)</f>
        <v>1</v>
      </c>
      <c r="F39" s="75" t="s">
        <v>452</v>
      </c>
      <c r="G39" s="75"/>
      <c r="H39" s="75"/>
      <c r="I39" s="75" t="s">
        <v>439</v>
      </c>
      <c r="J39" s="76">
        <f t="shared" si="1"/>
        <v>18000</v>
      </c>
      <c r="K39" s="75">
        <f>VLOOKUP($C39,청소코드!$C$4:$J$188,8,FALSE)</f>
        <v>18000</v>
      </c>
      <c r="L39" s="77"/>
      <c r="M39" s="78"/>
      <c r="N39" s="77"/>
      <c r="O39" s="77"/>
    </row>
    <row r="40" spans="1:15" ht="12.75" customHeight="1">
      <c r="A40" s="74">
        <v>46058</v>
      </c>
      <c r="B40" s="75" t="str">
        <f t="shared" si="0"/>
        <v>목</v>
      </c>
      <c r="C40" s="75" t="s">
        <v>301</v>
      </c>
      <c r="D40" s="75" t="str">
        <f>VLOOKUP($C40,청소코드!$C$4:$J$188,3,FALSE)</f>
        <v>청광3차 507</v>
      </c>
      <c r="E40" s="75">
        <f>VLOOKUP($C40,청소코드!$C$4:$J$188,4,FALSE)</f>
        <v>1</v>
      </c>
      <c r="F40" s="75" t="s">
        <v>438</v>
      </c>
      <c r="G40" s="75"/>
      <c r="H40" s="75"/>
      <c r="I40" s="75" t="s">
        <v>439</v>
      </c>
      <c r="J40" s="76">
        <f t="shared" si="1"/>
        <v>18000</v>
      </c>
      <c r="K40" s="75">
        <f>VLOOKUP($C40,청소코드!$C$4:$J$188,8,FALSE)</f>
        <v>18000</v>
      </c>
      <c r="L40" s="77"/>
      <c r="M40" s="78"/>
      <c r="N40" s="77"/>
      <c r="O40" s="77"/>
    </row>
    <row r="41" spans="1:15" ht="12.75" customHeight="1">
      <c r="A41" s="74">
        <v>46058</v>
      </c>
      <c r="B41" s="75" t="str">
        <f t="shared" si="0"/>
        <v>목</v>
      </c>
      <c r="C41" s="75" t="s">
        <v>287</v>
      </c>
      <c r="D41" s="75" t="str">
        <f>VLOOKUP($C41,청소코드!$C$4:$J$188,3,FALSE)</f>
        <v>청광3차 1412</v>
      </c>
      <c r="E41" s="75">
        <f>VLOOKUP($C41,청소코드!$C$4:$J$188,4,FALSE)</f>
        <v>1</v>
      </c>
      <c r="F41" s="75" t="s">
        <v>438</v>
      </c>
      <c r="G41" s="75"/>
      <c r="H41" s="75"/>
      <c r="I41" s="75" t="s">
        <v>439</v>
      </c>
      <c r="J41" s="76">
        <f t="shared" si="1"/>
        <v>18000</v>
      </c>
      <c r="K41" s="75">
        <f>VLOOKUP($C41,청소코드!$C$4:$J$188,8,FALSE)</f>
        <v>18000</v>
      </c>
      <c r="L41" s="77"/>
      <c r="M41" s="78"/>
      <c r="N41" s="77"/>
      <c r="O41" s="77"/>
    </row>
    <row r="42" spans="1:15" ht="12.75" customHeight="1">
      <c r="A42" s="74">
        <v>46058</v>
      </c>
      <c r="B42" s="75" t="str">
        <f t="shared" si="0"/>
        <v>목</v>
      </c>
      <c r="C42" s="75" t="s">
        <v>283</v>
      </c>
      <c r="D42" s="75" t="str">
        <f>VLOOKUP($C42,청소코드!$C$4:$J$188,3,FALSE)</f>
        <v>강동QV 1604</v>
      </c>
      <c r="E42" s="75">
        <f>VLOOKUP($C42,청소코드!$C$4:$J$188,4,FALSE)</f>
        <v>1</v>
      </c>
      <c r="F42" s="75" t="s">
        <v>449</v>
      </c>
      <c r="G42" s="75"/>
      <c r="H42" s="75"/>
      <c r="I42" s="75" t="s">
        <v>439</v>
      </c>
      <c r="J42" s="76">
        <f t="shared" si="1"/>
        <v>18000</v>
      </c>
      <c r="K42" s="75">
        <f>VLOOKUP($C42,청소코드!$C$4:$J$188,8,FALSE)</f>
        <v>18000</v>
      </c>
      <c r="L42" s="77"/>
      <c r="M42" s="78"/>
      <c r="N42" s="77"/>
      <c r="O42" s="77"/>
    </row>
    <row r="43" spans="1:15" ht="12.75" customHeight="1">
      <c r="A43" s="74">
        <v>46058</v>
      </c>
      <c r="B43" s="75" t="str">
        <f t="shared" si="0"/>
        <v>목</v>
      </c>
      <c r="C43" s="75" t="s">
        <v>295</v>
      </c>
      <c r="D43" s="75" t="str">
        <f>VLOOKUP($C43,청소코드!$C$4:$J$188,3,FALSE)</f>
        <v>르센티 1801</v>
      </c>
      <c r="E43" s="75" t="str">
        <f>VLOOKUP($C43,청소코드!$C$4:$J$188,4,FALSE)</f>
        <v>복</v>
      </c>
      <c r="F43" s="75" t="s">
        <v>449</v>
      </c>
      <c r="G43" s="75"/>
      <c r="H43" s="75"/>
      <c r="I43" s="75" t="s">
        <v>439</v>
      </c>
      <c r="J43" s="76">
        <f t="shared" si="1"/>
        <v>20000</v>
      </c>
      <c r="K43" s="75">
        <f>VLOOKUP($C43,청소코드!$C$4:$J$188,8,FALSE)</f>
        <v>20000</v>
      </c>
      <c r="L43" s="77"/>
      <c r="M43" s="78"/>
      <c r="N43" s="77"/>
      <c r="O43" s="77"/>
    </row>
    <row r="44" spans="1:15" ht="12.75" customHeight="1">
      <c r="A44" s="74">
        <v>46058</v>
      </c>
      <c r="B44" s="75" t="str">
        <f t="shared" si="0"/>
        <v>목</v>
      </c>
      <c r="C44" s="75" t="s">
        <v>315</v>
      </c>
      <c r="D44" s="75" t="str">
        <f>VLOOKUP($C44,청소코드!$C$4:$J$188,3,FALSE)</f>
        <v>동구햇살 1203</v>
      </c>
      <c r="E44" s="75" t="str">
        <f>VLOOKUP($C44,청소코드!$C$4:$J$188,4,FALSE)</f>
        <v>복</v>
      </c>
      <c r="F44" s="75" t="s">
        <v>429</v>
      </c>
      <c r="G44" s="75" t="s">
        <v>453</v>
      </c>
      <c r="H44" s="75"/>
      <c r="I44" s="75" t="s">
        <v>439</v>
      </c>
      <c r="J44" s="76">
        <f t="shared" si="1"/>
        <v>30000</v>
      </c>
      <c r="K44" s="75">
        <f>VLOOKUP($C44,청소코드!$C$4:$J$188,8,FALSE)</f>
        <v>20000</v>
      </c>
      <c r="L44" s="77">
        <v>10000</v>
      </c>
      <c r="M44" s="78"/>
      <c r="N44" s="77"/>
      <c r="O44" s="77"/>
    </row>
    <row r="45" spans="1:15" ht="12.75" customHeight="1">
      <c r="A45" s="74">
        <v>46058</v>
      </c>
      <c r="B45" s="75" t="str">
        <f t="shared" si="0"/>
        <v>목</v>
      </c>
      <c r="C45" s="75" t="s">
        <v>372</v>
      </c>
      <c r="D45" s="75" t="str">
        <f>VLOOKUP($C45,청소코드!$C$4:$J$188,3,FALSE)</f>
        <v>예건 702</v>
      </c>
      <c r="E45" s="75">
        <f>VLOOKUP($C45,청소코드!$C$4:$J$188,4,FALSE)</f>
        <v>1</v>
      </c>
      <c r="F45" s="75" t="s">
        <v>429</v>
      </c>
      <c r="G45" s="75"/>
      <c r="H45" s="75"/>
      <c r="I45" s="75" t="s">
        <v>439</v>
      </c>
      <c r="J45" s="76">
        <f t="shared" si="1"/>
        <v>18000</v>
      </c>
      <c r="K45" s="75">
        <f>VLOOKUP($C45,청소코드!$C$4:$J$188,8,FALSE)</f>
        <v>18000</v>
      </c>
      <c r="L45" s="77"/>
      <c r="M45" s="78"/>
      <c r="N45" s="77"/>
      <c r="O45" s="77"/>
    </row>
    <row r="46" spans="1:15" ht="12.75" customHeight="1">
      <c r="A46" s="74">
        <v>46058</v>
      </c>
      <c r="B46" s="75" t="str">
        <f t="shared" si="0"/>
        <v>목</v>
      </c>
      <c r="C46" s="75" t="s">
        <v>334</v>
      </c>
      <c r="D46" s="75" t="str">
        <f>VLOOKUP($C46,청소코드!$C$4:$J$188,3,FALSE)</f>
        <v>센텀 2차 406</v>
      </c>
      <c r="E46" s="75">
        <f>VLOOKUP($C46,청소코드!$C$4:$J$188,4,FALSE)</f>
        <v>1.5</v>
      </c>
      <c r="F46" s="75" t="s">
        <v>426</v>
      </c>
      <c r="G46" s="75"/>
      <c r="H46" s="75"/>
      <c r="I46" s="75" t="s">
        <v>439</v>
      </c>
      <c r="J46" s="76">
        <f t="shared" si="1"/>
        <v>20000</v>
      </c>
      <c r="K46" s="75">
        <f>VLOOKUP($C46,청소코드!$C$4:$J$188,8,FALSE)</f>
        <v>20000</v>
      </c>
      <c r="L46" s="77"/>
      <c r="M46" s="78"/>
      <c r="N46" s="77"/>
      <c r="O46" s="77"/>
    </row>
    <row r="47" spans="1:15" ht="12.75" customHeight="1">
      <c r="A47" s="74">
        <v>46058</v>
      </c>
      <c r="B47" s="75" t="str">
        <f t="shared" si="0"/>
        <v>목</v>
      </c>
      <c r="C47" s="75" t="s">
        <v>292</v>
      </c>
      <c r="D47" s="75" t="str">
        <f>VLOOKUP($C47,청소코드!$C$4:$J$188,3,FALSE)</f>
        <v>오앤 401</v>
      </c>
      <c r="E47" s="75">
        <f>VLOOKUP($C47,청소코드!$C$4:$J$188,4,FALSE)</f>
        <v>1</v>
      </c>
      <c r="F47" s="75" t="s">
        <v>426</v>
      </c>
      <c r="G47" s="75"/>
      <c r="H47" s="75"/>
      <c r="I47" s="75" t="s">
        <v>439</v>
      </c>
      <c r="J47" s="76">
        <f t="shared" si="1"/>
        <v>18000</v>
      </c>
      <c r="K47" s="75">
        <f>VLOOKUP($C47,청소코드!$C$4:$J$188,8,FALSE)</f>
        <v>18000</v>
      </c>
      <c r="L47" s="77"/>
      <c r="M47" s="78"/>
      <c r="N47" s="77"/>
      <c r="O47" s="77"/>
    </row>
    <row r="48" spans="1:15" ht="12.75" customHeight="1">
      <c r="A48" s="74">
        <v>46058</v>
      </c>
      <c r="B48" s="75" t="str">
        <f t="shared" si="0"/>
        <v>목</v>
      </c>
      <c r="C48" s="75" t="s">
        <v>300</v>
      </c>
      <c r="D48" s="75" t="str">
        <f>VLOOKUP($C48,청소코드!$C$4:$J$188,3,FALSE)</f>
        <v>하람휴 902</v>
      </c>
      <c r="E48" s="75">
        <f>VLOOKUP($C48,청소코드!$C$4:$J$188,4,FALSE)</f>
        <v>2</v>
      </c>
      <c r="F48" s="75" t="s">
        <v>408</v>
      </c>
      <c r="G48" s="75"/>
      <c r="H48" s="75"/>
      <c r="I48" s="75" t="s">
        <v>439</v>
      </c>
      <c r="J48" s="76">
        <f t="shared" si="1"/>
        <v>23000</v>
      </c>
      <c r="K48" s="75">
        <f>VLOOKUP($C48,청소코드!$C$4:$J$188,8,FALSE)</f>
        <v>23000</v>
      </c>
      <c r="L48" s="77"/>
      <c r="M48" s="78"/>
      <c r="N48" s="77"/>
      <c r="O48" s="77"/>
    </row>
    <row r="49" spans="1:15" ht="12.75" customHeight="1">
      <c r="A49" s="74">
        <v>46058</v>
      </c>
      <c r="B49" s="75" t="str">
        <f t="shared" si="0"/>
        <v>목</v>
      </c>
      <c r="C49" s="75" t="s">
        <v>416</v>
      </c>
      <c r="D49" s="75" t="str">
        <f>VLOOKUP($C49,청소코드!$C$4:$J$188,3,FALSE)</f>
        <v>청광1차 207</v>
      </c>
      <c r="E49" s="75">
        <f>VLOOKUP($C49,청소코드!$C$4:$J$188,4,FALSE)</f>
        <v>0</v>
      </c>
      <c r="F49" s="75" t="s">
        <v>426</v>
      </c>
      <c r="G49" s="75"/>
      <c r="H49" s="75"/>
      <c r="I49" s="75" t="s">
        <v>439</v>
      </c>
      <c r="J49" s="76">
        <f t="shared" si="1"/>
        <v>10000</v>
      </c>
      <c r="K49" s="75">
        <f>VLOOKUP($C49,청소코드!$C$4:$J$188,8,FALSE)</f>
        <v>10000</v>
      </c>
      <c r="L49" s="77"/>
      <c r="M49" s="78"/>
      <c r="N49" s="77"/>
      <c r="O49" s="77"/>
    </row>
    <row r="50" spans="1:15" ht="12.75" customHeight="1">
      <c r="A50" s="74">
        <v>46059</v>
      </c>
      <c r="B50" s="75" t="str">
        <f t="shared" si="0"/>
        <v>금</v>
      </c>
      <c r="C50" s="75" t="s">
        <v>356</v>
      </c>
      <c r="D50" s="75" t="str">
        <f>VLOOKUP($C50,청소코드!$C$4:$J$188,3,FALSE)</f>
        <v>성우 803</v>
      </c>
      <c r="E50" s="75">
        <f>VLOOKUP($C50,청소코드!$C$4:$J$188,4,FALSE)</f>
        <v>3</v>
      </c>
      <c r="F50" s="75" t="s">
        <v>401</v>
      </c>
      <c r="G50" s="75"/>
      <c r="H50" s="75"/>
      <c r="I50" s="75" t="s">
        <v>439</v>
      </c>
      <c r="J50" s="76">
        <f t="shared" si="1"/>
        <v>30000</v>
      </c>
      <c r="K50" s="75">
        <f>VLOOKUP($C50,청소코드!$C$4:$J$188,8,FALSE)</f>
        <v>30000</v>
      </c>
      <c r="L50" s="77"/>
      <c r="M50" s="78"/>
      <c r="N50" s="77"/>
      <c r="O50" s="77"/>
    </row>
    <row r="51" spans="1:15" ht="12.75" customHeight="1">
      <c r="A51" s="74">
        <v>46059</v>
      </c>
      <c r="B51" s="75" t="str">
        <f t="shared" si="0"/>
        <v>금</v>
      </c>
      <c r="C51" s="75" t="s">
        <v>373</v>
      </c>
      <c r="D51" s="75" t="str">
        <f>VLOOKUP($C51,청소코드!$C$4:$J$188,3,FALSE)</f>
        <v>더하임 204</v>
      </c>
      <c r="E51" s="75">
        <f>VLOOKUP($C51,청소코드!$C$4:$J$188,4,FALSE)</f>
        <v>1</v>
      </c>
      <c r="F51" s="75" t="s">
        <v>426</v>
      </c>
      <c r="G51" s="75"/>
      <c r="H51" s="75"/>
      <c r="I51" s="75" t="s">
        <v>439</v>
      </c>
      <c r="J51" s="76">
        <f t="shared" si="1"/>
        <v>18000</v>
      </c>
      <c r="K51" s="75">
        <f>VLOOKUP($C51,청소코드!$C$4:$J$188,8,FALSE)</f>
        <v>18000</v>
      </c>
      <c r="L51" s="77"/>
      <c r="M51" s="78"/>
      <c r="N51" s="77"/>
      <c r="O51" s="77"/>
    </row>
    <row r="52" spans="1:15" ht="12.75" customHeight="1">
      <c r="A52" s="74">
        <v>46059</v>
      </c>
      <c r="B52" s="75" t="str">
        <f t="shared" si="0"/>
        <v>금</v>
      </c>
      <c r="C52" s="75" t="s">
        <v>360</v>
      </c>
      <c r="D52" s="75" t="str">
        <f>VLOOKUP($C52,청소코드!$C$4:$J$188,3,FALSE)</f>
        <v>더하임 306</v>
      </c>
      <c r="E52" s="75">
        <f>VLOOKUP($C52,청소코드!$C$4:$J$188,4,FALSE)</f>
        <v>1.5</v>
      </c>
      <c r="F52" s="75" t="s">
        <v>426</v>
      </c>
      <c r="G52" s="75"/>
      <c r="H52" s="75"/>
      <c r="I52" s="75" t="s">
        <v>439</v>
      </c>
      <c r="J52" s="76">
        <f t="shared" si="1"/>
        <v>20000</v>
      </c>
      <c r="K52" s="75">
        <f>VLOOKUP($C52,청소코드!$C$4:$J$188,8,FALSE)</f>
        <v>20000</v>
      </c>
      <c r="L52" s="77"/>
      <c r="M52" s="78"/>
      <c r="N52" s="77"/>
      <c r="O52" s="77"/>
    </row>
    <row r="53" spans="1:15" ht="12.75" customHeight="1">
      <c r="A53" s="74">
        <v>46059</v>
      </c>
      <c r="B53" s="75" t="str">
        <f t="shared" si="0"/>
        <v>금</v>
      </c>
      <c r="C53" s="75" t="s">
        <v>301</v>
      </c>
      <c r="D53" s="75" t="str">
        <f>VLOOKUP($C53,청소코드!$C$4:$J$188,3,FALSE)</f>
        <v>청광3차 507</v>
      </c>
      <c r="E53" s="75">
        <f>VLOOKUP($C53,청소코드!$C$4:$J$188,4,FALSE)</f>
        <v>1</v>
      </c>
      <c r="F53" s="75" t="s">
        <v>429</v>
      </c>
      <c r="G53" s="75"/>
      <c r="H53" s="75"/>
      <c r="I53" s="75" t="s">
        <v>439</v>
      </c>
      <c r="J53" s="76">
        <f t="shared" si="1"/>
        <v>18000</v>
      </c>
      <c r="K53" s="75">
        <f>VLOOKUP($C53,청소코드!$C$4:$J$188,8,FALSE)</f>
        <v>18000</v>
      </c>
      <c r="L53" s="77"/>
      <c r="M53" s="78"/>
      <c r="N53" s="77"/>
      <c r="O53" s="77"/>
    </row>
    <row r="54" spans="1:15" ht="12.75" customHeight="1">
      <c r="A54" s="74">
        <v>46059</v>
      </c>
      <c r="B54" s="75" t="str">
        <f t="shared" si="0"/>
        <v>금</v>
      </c>
      <c r="C54" s="75" t="s">
        <v>287</v>
      </c>
      <c r="D54" s="75" t="str">
        <f>VLOOKUP($C54,청소코드!$C$4:$J$188,3,FALSE)</f>
        <v>청광3차 1412</v>
      </c>
      <c r="E54" s="75">
        <f>VLOOKUP($C54,청소코드!$C$4:$J$188,4,FALSE)</f>
        <v>1</v>
      </c>
      <c r="F54" s="75" t="s">
        <v>429</v>
      </c>
      <c r="G54" s="75"/>
      <c r="H54" s="75"/>
      <c r="I54" s="75" t="s">
        <v>439</v>
      </c>
      <c r="J54" s="76">
        <f t="shared" si="1"/>
        <v>18000</v>
      </c>
      <c r="K54" s="75">
        <f>VLOOKUP($C54,청소코드!$C$4:$J$188,8,FALSE)</f>
        <v>18000</v>
      </c>
      <c r="L54" s="77"/>
      <c r="M54" s="78"/>
      <c r="N54" s="77"/>
      <c r="O54" s="77"/>
    </row>
    <row r="55" spans="1:15" ht="12.75" customHeight="1">
      <c r="A55" s="74">
        <v>46059</v>
      </c>
      <c r="B55" s="75" t="str">
        <f t="shared" si="0"/>
        <v>금</v>
      </c>
      <c r="C55" s="75" t="s">
        <v>283</v>
      </c>
      <c r="D55" s="75" t="str">
        <f>VLOOKUP($C55,청소코드!$C$4:$J$188,3,FALSE)</f>
        <v>강동QV 1604</v>
      </c>
      <c r="E55" s="75">
        <f>VLOOKUP($C55,청소코드!$C$4:$J$188,4,FALSE)</f>
        <v>1</v>
      </c>
      <c r="F55" s="75" t="s">
        <v>438</v>
      </c>
      <c r="G55" s="75"/>
      <c r="H55" s="75"/>
      <c r="I55" s="75" t="s">
        <v>439</v>
      </c>
      <c r="J55" s="76">
        <f t="shared" si="1"/>
        <v>18000</v>
      </c>
      <c r="K55" s="75">
        <f>VLOOKUP($C55,청소코드!$C$4:$J$188,8,FALSE)</f>
        <v>18000</v>
      </c>
      <c r="L55" s="77"/>
      <c r="M55" s="78"/>
      <c r="N55" s="77"/>
      <c r="O55" s="77"/>
    </row>
    <row r="56" spans="1:15" ht="12.75" customHeight="1">
      <c r="A56" s="74">
        <v>46059</v>
      </c>
      <c r="B56" s="75" t="str">
        <f t="shared" si="0"/>
        <v>금</v>
      </c>
      <c r="C56" s="75" t="s">
        <v>334</v>
      </c>
      <c r="D56" s="75" t="str">
        <f>VLOOKUP($C56,청소코드!$C$4:$J$188,3,FALSE)</f>
        <v>센텀 2차 406</v>
      </c>
      <c r="E56" s="75">
        <f>VLOOKUP($C56,청소코드!$C$4:$J$188,4,FALSE)</f>
        <v>1.5</v>
      </c>
      <c r="F56" s="75" t="s">
        <v>438</v>
      </c>
      <c r="G56" s="75"/>
      <c r="H56" s="75"/>
      <c r="I56" s="75" t="s">
        <v>439</v>
      </c>
      <c r="J56" s="76">
        <f t="shared" si="1"/>
        <v>20000</v>
      </c>
      <c r="K56" s="75">
        <f>VLOOKUP($C56,청소코드!$C$4:$J$188,8,FALSE)</f>
        <v>20000</v>
      </c>
      <c r="L56" s="77"/>
      <c r="M56" s="78"/>
      <c r="N56" s="77"/>
      <c r="O56" s="77"/>
    </row>
    <row r="57" spans="1:15" ht="12.75" customHeight="1">
      <c r="A57" s="74">
        <v>46059</v>
      </c>
      <c r="B57" s="75" t="str">
        <f t="shared" si="0"/>
        <v>금</v>
      </c>
      <c r="C57" s="75" t="s">
        <v>292</v>
      </c>
      <c r="D57" s="75" t="str">
        <f>VLOOKUP($C57,청소코드!$C$4:$J$188,3,FALSE)</f>
        <v>오앤 401</v>
      </c>
      <c r="E57" s="75">
        <f>VLOOKUP($C57,청소코드!$C$4:$J$188,4,FALSE)</f>
        <v>1</v>
      </c>
      <c r="F57" s="75" t="s">
        <v>437</v>
      </c>
      <c r="G57" s="75"/>
      <c r="H57" s="75"/>
      <c r="I57" s="75" t="s">
        <v>439</v>
      </c>
      <c r="J57" s="76">
        <f t="shared" si="1"/>
        <v>18000</v>
      </c>
      <c r="K57" s="75">
        <f>VLOOKUP($C57,청소코드!$C$4:$J$188,8,FALSE)</f>
        <v>18000</v>
      </c>
      <c r="L57" s="77"/>
      <c r="M57" s="78"/>
      <c r="N57" s="77"/>
      <c r="O57" s="77"/>
    </row>
    <row r="58" spans="1:15" ht="12.75" customHeight="1">
      <c r="A58" s="74">
        <v>46059</v>
      </c>
      <c r="B58" s="75" t="str">
        <f t="shared" si="0"/>
        <v>금</v>
      </c>
      <c r="C58" s="75" t="s">
        <v>331</v>
      </c>
      <c r="D58" s="75" t="str">
        <f>VLOOKUP($C58,청소코드!$C$4:$J$188,3,FALSE)</f>
        <v>si 502</v>
      </c>
      <c r="E58" s="75">
        <f>VLOOKUP($C58,청소코드!$C$4:$J$188,4,FALSE)</f>
        <v>1</v>
      </c>
      <c r="F58" s="75" t="s">
        <v>437</v>
      </c>
      <c r="G58" s="75"/>
      <c r="H58" s="75"/>
      <c r="I58" s="75" t="s">
        <v>439</v>
      </c>
      <c r="J58" s="76">
        <f t="shared" si="1"/>
        <v>20000</v>
      </c>
      <c r="K58" s="75">
        <f>VLOOKUP($C58,청소코드!$C$4:$J$188,8,FALSE)</f>
        <v>20000</v>
      </c>
      <c r="L58" s="77"/>
      <c r="M58" s="78"/>
      <c r="N58" s="77"/>
      <c r="O58" s="77"/>
    </row>
    <row r="59" spans="1:15" ht="12.75" customHeight="1">
      <c r="A59" s="74">
        <v>46059</v>
      </c>
      <c r="B59" s="75" t="str">
        <f t="shared" si="0"/>
        <v>금</v>
      </c>
      <c r="C59" s="75" t="s">
        <v>315</v>
      </c>
      <c r="D59" s="75" t="str">
        <f>VLOOKUP($C59,청소코드!$C$4:$J$188,3,FALSE)</f>
        <v>동구햇살 1203</v>
      </c>
      <c r="E59" s="75" t="str">
        <f>VLOOKUP($C59,청소코드!$C$4:$J$188,4,FALSE)</f>
        <v>복</v>
      </c>
      <c r="F59" s="75" t="s">
        <v>426</v>
      </c>
      <c r="G59" s="75"/>
      <c r="H59" s="75"/>
      <c r="I59" s="75" t="s">
        <v>439</v>
      </c>
      <c r="J59" s="76">
        <f t="shared" si="1"/>
        <v>20000</v>
      </c>
      <c r="K59" s="75">
        <f>VLOOKUP($C59,청소코드!$C$4:$J$188,8,FALSE)</f>
        <v>20000</v>
      </c>
      <c r="L59" s="77"/>
      <c r="M59" s="78"/>
      <c r="N59" s="77"/>
      <c r="O59" s="77"/>
    </row>
    <row r="60" spans="1:15" ht="12.75" customHeight="1">
      <c r="A60" s="74">
        <v>46059</v>
      </c>
      <c r="B60" s="75" t="str">
        <f t="shared" si="0"/>
        <v>금</v>
      </c>
      <c r="C60" s="75" t="s">
        <v>344</v>
      </c>
      <c r="D60" s="75" t="str">
        <f>VLOOKUP($C60,청소코드!$C$4:$J$188,3,FALSE)</f>
        <v>오금스타 402</v>
      </c>
      <c r="E60" s="75">
        <f>VLOOKUP($C60,청소코드!$C$4:$J$188,4,FALSE)</f>
        <v>1</v>
      </c>
      <c r="F60" s="75" t="s">
        <v>449</v>
      </c>
      <c r="G60" s="75" t="s">
        <v>454</v>
      </c>
      <c r="H60" s="75"/>
      <c r="I60" s="75" t="s">
        <v>439</v>
      </c>
      <c r="J60" s="76">
        <f t="shared" si="1"/>
        <v>38500</v>
      </c>
      <c r="K60" s="75">
        <f>VLOOKUP($C60,청소코드!$C$4:$J$188,8,FALSE)</f>
        <v>18000</v>
      </c>
      <c r="L60" s="77"/>
      <c r="M60" s="78"/>
      <c r="N60" s="77">
        <v>20500</v>
      </c>
      <c r="O60" s="77"/>
    </row>
    <row r="61" spans="1:15" ht="12.75" customHeight="1">
      <c r="A61" s="74">
        <v>46059</v>
      </c>
      <c r="B61" s="75" t="str">
        <f t="shared" si="0"/>
        <v>금</v>
      </c>
      <c r="C61" s="75" t="s">
        <v>302</v>
      </c>
      <c r="D61" s="75" t="str">
        <f>VLOOKUP($C61,청소코드!$C$4:$J$188,3,FALSE)</f>
        <v>하람휴 1102</v>
      </c>
      <c r="E61" s="75">
        <f>VLOOKUP($C61,청소코드!$C$4:$J$188,4,FALSE)</f>
        <v>2</v>
      </c>
      <c r="F61" s="75" t="s">
        <v>408</v>
      </c>
      <c r="G61" s="75"/>
      <c r="H61" s="75"/>
      <c r="I61" s="75" t="s">
        <v>439</v>
      </c>
      <c r="J61" s="76">
        <f t="shared" si="1"/>
        <v>23000</v>
      </c>
      <c r="K61" s="75">
        <f>VLOOKUP($C61,청소코드!$C$4:$J$188,8,FALSE)</f>
        <v>23000</v>
      </c>
      <c r="L61" s="77"/>
      <c r="M61" s="78"/>
      <c r="N61" s="77"/>
      <c r="O61" s="77"/>
    </row>
    <row r="62" spans="1:15" ht="12.75" customHeight="1">
      <c r="A62" s="74">
        <v>46059</v>
      </c>
      <c r="B62" s="75" t="str">
        <f t="shared" si="0"/>
        <v>금</v>
      </c>
      <c r="C62" s="75" t="s">
        <v>385</v>
      </c>
      <c r="D62" s="75" t="str">
        <f>VLOOKUP($C62,청소코드!$C$4:$J$188,3,FALSE)</f>
        <v>하람휴 1001</v>
      </c>
      <c r="E62" s="75">
        <f>VLOOKUP($C62,청소코드!$C$4:$J$188,4,FALSE)</f>
        <v>2</v>
      </c>
      <c r="F62" s="75" t="s">
        <v>408</v>
      </c>
      <c r="G62" s="75"/>
      <c r="H62" s="75"/>
      <c r="I62" s="75" t="s">
        <v>439</v>
      </c>
      <c r="J62" s="76">
        <f t="shared" si="1"/>
        <v>23000</v>
      </c>
      <c r="K62" s="75">
        <f>VLOOKUP($C62,청소코드!$C$4:$J$188,8,FALSE)</f>
        <v>23000</v>
      </c>
      <c r="L62" s="77"/>
      <c r="M62" s="78"/>
      <c r="N62" s="77"/>
      <c r="O62" s="77"/>
    </row>
    <row r="63" spans="1:15" ht="12.75" customHeight="1">
      <c r="A63" s="74">
        <v>46059</v>
      </c>
      <c r="B63" s="75" t="str">
        <f t="shared" si="0"/>
        <v>금</v>
      </c>
      <c r="C63" s="75" t="s">
        <v>416</v>
      </c>
      <c r="D63" s="75" t="str">
        <f>VLOOKUP($C63,청소코드!$C$4:$J$188,3,FALSE)</f>
        <v>청광1차 207</v>
      </c>
      <c r="E63" s="75">
        <f>VLOOKUP($C63,청소코드!$C$4:$J$188,4,FALSE)</f>
        <v>0</v>
      </c>
      <c r="F63" s="75" t="s">
        <v>426</v>
      </c>
      <c r="G63" s="75"/>
      <c r="H63" s="75"/>
      <c r="I63" s="75" t="s">
        <v>439</v>
      </c>
      <c r="J63" s="76">
        <f t="shared" si="1"/>
        <v>10000</v>
      </c>
      <c r="K63" s="75">
        <f>VLOOKUP($C63,청소코드!$C$4:$J$188,8,FALSE)</f>
        <v>10000</v>
      </c>
      <c r="L63" s="77"/>
      <c r="M63" s="78"/>
      <c r="N63" s="77"/>
      <c r="O63" s="77"/>
    </row>
    <row r="64" spans="1:15" ht="12.75" customHeight="1">
      <c r="A64" s="74">
        <v>46060</v>
      </c>
      <c r="B64" s="75" t="str">
        <f t="shared" si="0"/>
        <v>토</v>
      </c>
      <c r="C64" s="75" t="s">
        <v>393</v>
      </c>
      <c r="D64" s="75" t="str">
        <f>VLOOKUP($C64,청소코드!$C$4:$J$188,3,FALSE)</f>
        <v>대치동 103호</v>
      </c>
      <c r="E64" s="75">
        <f>VLOOKUP($C64,청소코드!$C$4:$J$188,4,FALSE)</f>
        <v>1.5</v>
      </c>
      <c r="F64" s="75" t="s">
        <v>451</v>
      </c>
      <c r="G64" s="75"/>
      <c r="H64" s="75"/>
      <c r="I64" s="75" t="s">
        <v>439</v>
      </c>
      <c r="J64" s="76">
        <f t="shared" si="1"/>
        <v>20000</v>
      </c>
      <c r="K64" s="75">
        <f>VLOOKUP($C64,청소코드!$C$4:$J$188,8,FALSE)</f>
        <v>20000</v>
      </c>
      <c r="L64" s="77"/>
      <c r="M64" s="78"/>
      <c r="N64" s="77"/>
      <c r="O64" s="77"/>
    </row>
    <row r="65" spans="1:15" ht="12.75" customHeight="1">
      <c r="A65" s="74">
        <v>46060</v>
      </c>
      <c r="B65" s="75" t="str">
        <f t="shared" si="0"/>
        <v>토</v>
      </c>
      <c r="C65" s="75" t="s">
        <v>334</v>
      </c>
      <c r="D65" s="75" t="str">
        <f>VLOOKUP($C65,청소코드!$C$4:$J$188,3,FALSE)</f>
        <v>센텀 2차 406</v>
      </c>
      <c r="E65" s="75">
        <f>VLOOKUP($C65,청소코드!$C$4:$J$188,4,FALSE)</f>
        <v>1.5</v>
      </c>
      <c r="F65" s="75" t="s">
        <v>429</v>
      </c>
      <c r="G65" s="75"/>
      <c r="H65" s="75"/>
      <c r="I65" s="75" t="s">
        <v>439</v>
      </c>
      <c r="J65" s="76">
        <f t="shared" si="1"/>
        <v>20000</v>
      </c>
      <c r="K65" s="75">
        <f>VLOOKUP($C65,청소코드!$C$4:$J$188,8,FALSE)</f>
        <v>20000</v>
      </c>
      <c r="L65" s="77"/>
      <c r="M65" s="78"/>
      <c r="N65" s="77"/>
      <c r="O65" s="77"/>
    </row>
    <row r="66" spans="1:15" ht="12.75" customHeight="1">
      <c r="A66" s="74">
        <v>46060</v>
      </c>
      <c r="B66" s="75" t="str">
        <f t="shared" si="0"/>
        <v>토</v>
      </c>
      <c r="C66" s="75" t="s">
        <v>325</v>
      </c>
      <c r="D66" s="75" t="str">
        <f>VLOOKUP($C66,청소코드!$C$4:$J$188,3,FALSE)</f>
        <v>센텀 2차 501</v>
      </c>
      <c r="E66" s="75">
        <f>VLOOKUP($C66,청소코드!$C$4:$J$188,4,FALSE)</f>
        <v>1.5</v>
      </c>
      <c r="F66" s="75" t="s">
        <v>429</v>
      </c>
      <c r="G66" s="75"/>
      <c r="H66" s="75"/>
      <c r="I66" s="75" t="s">
        <v>439</v>
      </c>
      <c r="J66" s="76">
        <f t="shared" si="1"/>
        <v>20000</v>
      </c>
      <c r="K66" s="75">
        <f>VLOOKUP($C66,청소코드!$C$4:$J$188,8,FALSE)</f>
        <v>20000</v>
      </c>
      <c r="L66" s="77"/>
      <c r="M66" s="78"/>
      <c r="N66" s="77"/>
      <c r="O66" s="77"/>
    </row>
    <row r="67" spans="1:15" ht="12.75" customHeight="1">
      <c r="A67" s="74">
        <v>46060</v>
      </c>
      <c r="B67" s="75" t="str">
        <f t="shared" ref="B67:B130" si="2">TEXT(A67,"aaa")</f>
        <v>토</v>
      </c>
      <c r="C67" s="75" t="s">
        <v>339</v>
      </c>
      <c r="D67" s="75" t="str">
        <f>VLOOKUP($C67,청소코드!$C$4:$J$188,3,FALSE)</f>
        <v>센텀 2차 606</v>
      </c>
      <c r="E67" s="75">
        <f>VLOOKUP($C67,청소코드!$C$4:$J$188,4,FALSE)</f>
        <v>1.5</v>
      </c>
      <c r="F67" s="75" t="s">
        <v>429</v>
      </c>
      <c r="G67" s="75"/>
      <c r="H67" s="75"/>
      <c r="I67" s="75" t="s">
        <v>439</v>
      </c>
      <c r="J67" s="76">
        <f t="shared" ref="J67:J130" si="3">SUM(K67:O67)</f>
        <v>20000</v>
      </c>
      <c r="K67" s="75">
        <f>VLOOKUP($C67,청소코드!$C$4:$J$188,8,FALSE)</f>
        <v>20000</v>
      </c>
      <c r="L67" s="77"/>
      <c r="M67" s="78"/>
      <c r="N67" s="77"/>
      <c r="O67" s="77"/>
    </row>
    <row r="68" spans="1:15" ht="12.75" customHeight="1">
      <c r="A68" s="74">
        <v>46060</v>
      </c>
      <c r="B68" s="75" t="str">
        <f t="shared" si="2"/>
        <v>토</v>
      </c>
      <c r="C68" s="75" t="s">
        <v>356</v>
      </c>
      <c r="D68" s="75" t="str">
        <f>VLOOKUP($C68,청소코드!$C$4:$J$188,3,FALSE)</f>
        <v>성우 803</v>
      </c>
      <c r="E68" s="75">
        <f>VLOOKUP($C68,청소코드!$C$4:$J$188,4,FALSE)</f>
        <v>3</v>
      </c>
      <c r="F68" s="75" t="s">
        <v>438</v>
      </c>
      <c r="G68" s="75" t="s">
        <v>456</v>
      </c>
      <c r="H68" s="75"/>
      <c r="I68" s="75" t="s">
        <v>439</v>
      </c>
      <c r="J68" s="76">
        <f t="shared" si="3"/>
        <v>30000</v>
      </c>
      <c r="K68" s="75">
        <f>VLOOKUP($C68,청소코드!$C$4:$J$188,8,FALSE)</f>
        <v>30000</v>
      </c>
      <c r="L68" s="77"/>
      <c r="M68" s="78"/>
      <c r="N68" s="77"/>
      <c r="O68" s="77"/>
    </row>
    <row r="69" spans="1:15" ht="12.75" customHeight="1">
      <c r="A69" s="74">
        <v>46060</v>
      </c>
      <c r="B69" s="75" t="str">
        <f t="shared" si="2"/>
        <v>토</v>
      </c>
      <c r="C69" s="75" t="s">
        <v>341</v>
      </c>
      <c r="D69" s="75" t="str">
        <f>VLOOKUP($C69,청소코드!$C$4:$J$188,3,FALSE)</f>
        <v>예건 303</v>
      </c>
      <c r="E69" s="75">
        <f>VLOOKUP($C69,청소코드!$C$4:$J$188,4,FALSE)</f>
        <v>2</v>
      </c>
      <c r="F69" s="75" t="s">
        <v>438</v>
      </c>
      <c r="G69" s="75"/>
      <c r="H69" s="75"/>
      <c r="I69" s="75" t="s">
        <v>439</v>
      </c>
      <c r="J69" s="76">
        <f t="shared" si="3"/>
        <v>23000</v>
      </c>
      <c r="K69" s="75">
        <f>VLOOKUP($C69,청소코드!$C$4:$J$188,8,FALSE)</f>
        <v>23000</v>
      </c>
      <c r="L69" s="77"/>
      <c r="M69" s="78"/>
      <c r="N69" s="77"/>
      <c r="O69" s="77"/>
    </row>
    <row r="70" spans="1:15" ht="12.75" customHeight="1">
      <c r="A70" s="74">
        <v>46060</v>
      </c>
      <c r="B70" s="75" t="str">
        <f t="shared" si="2"/>
        <v>토</v>
      </c>
      <c r="C70" s="75" t="s">
        <v>371</v>
      </c>
      <c r="D70" s="75" t="str">
        <f>VLOOKUP($C70,청소코드!$C$4:$J$188,3,FALSE)</f>
        <v>예건 602</v>
      </c>
      <c r="E70" s="75">
        <f>VLOOKUP($C70,청소코드!$C$4:$J$188,4,FALSE)</f>
        <v>1</v>
      </c>
      <c r="F70" s="75" t="s">
        <v>438</v>
      </c>
      <c r="G70" s="75"/>
      <c r="H70" s="75"/>
      <c r="I70" s="75" t="s">
        <v>439</v>
      </c>
      <c r="J70" s="76">
        <f t="shared" si="3"/>
        <v>18000</v>
      </c>
      <c r="K70" s="75">
        <f>VLOOKUP($C70,청소코드!$C$4:$J$188,8,FALSE)</f>
        <v>18000</v>
      </c>
      <c r="L70" s="77"/>
      <c r="M70" s="78"/>
      <c r="N70" s="77"/>
      <c r="O70" s="77"/>
    </row>
    <row r="71" spans="1:15" ht="12.75" customHeight="1">
      <c r="A71" s="74">
        <v>46060</v>
      </c>
      <c r="B71" s="75" t="str">
        <f t="shared" si="2"/>
        <v>토</v>
      </c>
      <c r="C71" s="75" t="s">
        <v>373</v>
      </c>
      <c r="D71" s="75" t="str">
        <f>VLOOKUP($C71,청소코드!$C$4:$J$188,3,FALSE)</f>
        <v>더하임 204</v>
      </c>
      <c r="E71" s="75">
        <f>VLOOKUP($C71,청소코드!$C$4:$J$188,4,FALSE)</f>
        <v>1</v>
      </c>
      <c r="F71" s="75" t="s">
        <v>426</v>
      </c>
      <c r="G71" s="75"/>
      <c r="H71" s="75"/>
      <c r="I71" s="75" t="s">
        <v>439</v>
      </c>
      <c r="J71" s="76">
        <f t="shared" si="3"/>
        <v>18000</v>
      </c>
      <c r="K71" s="75">
        <f>VLOOKUP($C71,청소코드!$C$4:$J$188,8,FALSE)</f>
        <v>18000</v>
      </c>
      <c r="L71" s="77"/>
      <c r="M71" s="78"/>
      <c r="N71" s="77"/>
      <c r="O71" s="77"/>
    </row>
    <row r="72" spans="1:15" ht="12.75" customHeight="1">
      <c r="A72" s="74">
        <v>46060</v>
      </c>
      <c r="B72" s="75" t="str">
        <f t="shared" si="2"/>
        <v>토</v>
      </c>
      <c r="C72" s="75" t="s">
        <v>417</v>
      </c>
      <c r="D72" s="75" t="str">
        <f>VLOOKUP($C72,청소코드!$C$4:$J$188,3,FALSE)</f>
        <v>더하임 504</v>
      </c>
      <c r="E72" s="75">
        <f>VLOOKUP($C72,청소코드!$C$4:$J$188,4,FALSE)</f>
        <v>1</v>
      </c>
      <c r="F72" s="75" t="s">
        <v>426</v>
      </c>
      <c r="G72" s="75" t="s">
        <v>457</v>
      </c>
      <c r="H72" s="75"/>
      <c r="I72" s="75" t="s">
        <v>439</v>
      </c>
      <c r="J72" s="76">
        <f t="shared" si="3"/>
        <v>18000</v>
      </c>
      <c r="K72" s="75">
        <f>VLOOKUP($C72,청소코드!$C$4:$J$188,8,FALSE)</f>
        <v>18000</v>
      </c>
      <c r="L72" s="77"/>
      <c r="M72" s="78"/>
      <c r="N72" s="77"/>
      <c r="O72" s="77"/>
    </row>
    <row r="73" spans="1:15" ht="12.75" customHeight="1">
      <c r="A73" s="74">
        <v>46060</v>
      </c>
      <c r="B73" s="75" t="str">
        <f t="shared" si="2"/>
        <v>토</v>
      </c>
      <c r="C73" s="75" t="s">
        <v>387</v>
      </c>
      <c r="D73" s="75" t="str">
        <f>VLOOKUP($C73,청소코드!$C$4:$J$188,3,FALSE)</f>
        <v>더하임 604</v>
      </c>
      <c r="E73" s="75">
        <f>VLOOKUP($C73,청소코드!$C$4:$J$188,4,FALSE)</f>
        <v>1</v>
      </c>
      <c r="F73" s="75" t="s">
        <v>426</v>
      </c>
      <c r="G73" s="75"/>
      <c r="H73" s="75"/>
      <c r="I73" s="75" t="s">
        <v>439</v>
      </c>
      <c r="J73" s="76">
        <f t="shared" si="3"/>
        <v>18000</v>
      </c>
      <c r="K73" s="75">
        <f>VLOOKUP($C73,청소코드!$C$4:$J$188,8,FALSE)</f>
        <v>18000</v>
      </c>
      <c r="L73" s="77"/>
      <c r="M73" s="78"/>
      <c r="N73" s="77"/>
      <c r="O73" s="77"/>
    </row>
    <row r="74" spans="1:15" ht="12.75" customHeight="1">
      <c r="A74" s="74">
        <v>46060</v>
      </c>
      <c r="B74" s="75" t="str">
        <f t="shared" si="2"/>
        <v>토</v>
      </c>
      <c r="C74" s="75" t="s">
        <v>292</v>
      </c>
      <c r="D74" s="75" t="str">
        <f>VLOOKUP($C74,청소코드!$C$4:$J$188,3,FALSE)</f>
        <v>오앤 401</v>
      </c>
      <c r="E74" s="75">
        <f>VLOOKUP($C74,청소코드!$C$4:$J$188,4,FALSE)</f>
        <v>1</v>
      </c>
      <c r="F74" s="75" t="s">
        <v>426</v>
      </c>
      <c r="G74" s="75"/>
      <c r="H74" s="75"/>
      <c r="I74" s="75" t="s">
        <v>439</v>
      </c>
      <c r="J74" s="76">
        <f t="shared" si="3"/>
        <v>18000</v>
      </c>
      <c r="K74" s="75">
        <f>VLOOKUP($C74,청소코드!$C$4:$J$188,8,FALSE)</f>
        <v>18000</v>
      </c>
      <c r="L74" s="77"/>
      <c r="M74" s="78"/>
      <c r="N74" s="77"/>
      <c r="O74" s="77"/>
    </row>
    <row r="75" spans="1:15" ht="12.75" customHeight="1">
      <c r="A75" s="74">
        <v>46060</v>
      </c>
      <c r="B75" s="75" t="str">
        <f t="shared" si="2"/>
        <v>토</v>
      </c>
      <c r="C75" s="75" t="s">
        <v>295</v>
      </c>
      <c r="D75" s="75" t="str">
        <f>VLOOKUP($C75,청소코드!$C$4:$J$188,3,FALSE)</f>
        <v>르센티 1801</v>
      </c>
      <c r="E75" s="75" t="str">
        <f>VLOOKUP($C75,청소코드!$C$4:$J$188,4,FALSE)</f>
        <v>복</v>
      </c>
      <c r="F75" s="75" t="s">
        <v>437</v>
      </c>
      <c r="G75" s="75"/>
      <c r="H75" s="75"/>
      <c r="I75" s="75" t="s">
        <v>439</v>
      </c>
      <c r="J75" s="76">
        <f t="shared" si="3"/>
        <v>20000</v>
      </c>
      <c r="K75" s="75">
        <f>VLOOKUP($C75,청소코드!$C$4:$J$188,8,FALSE)</f>
        <v>20000</v>
      </c>
      <c r="L75" s="77"/>
      <c r="M75" s="78"/>
      <c r="N75" s="77"/>
      <c r="O75" s="77"/>
    </row>
    <row r="76" spans="1:15" ht="12.75" customHeight="1">
      <c r="A76" s="74">
        <v>46060</v>
      </c>
      <c r="B76" s="75" t="str">
        <f t="shared" si="2"/>
        <v>토</v>
      </c>
      <c r="C76" s="75" t="s">
        <v>315</v>
      </c>
      <c r="D76" s="75" t="str">
        <f>VLOOKUP($C76,청소코드!$C$4:$J$188,3,FALSE)</f>
        <v>동구햇살 1203</v>
      </c>
      <c r="E76" s="75" t="str">
        <f>VLOOKUP($C76,청소코드!$C$4:$J$188,4,FALSE)</f>
        <v>복</v>
      </c>
      <c r="F76" s="75" t="s">
        <v>437</v>
      </c>
      <c r="G76" s="75"/>
      <c r="H76" s="75"/>
      <c r="I76" s="75" t="s">
        <v>439</v>
      </c>
      <c r="J76" s="76">
        <f t="shared" si="3"/>
        <v>20000</v>
      </c>
      <c r="K76" s="75">
        <f>VLOOKUP($C76,청소코드!$C$4:$J$188,8,FALSE)</f>
        <v>20000</v>
      </c>
      <c r="L76" s="77"/>
      <c r="M76" s="78"/>
      <c r="N76" s="77"/>
      <c r="O76" s="77"/>
    </row>
    <row r="77" spans="1:15" ht="12.75" customHeight="1">
      <c r="A77" s="74">
        <v>46060</v>
      </c>
      <c r="B77" s="75" t="str">
        <f t="shared" si="2"/>
        <v>토</v>
      </c>
      <c r="C77" s="75" t="s">
        <v>331</v>
      </c>
      <c r="D77" s="75" t="str">
        <f>VLOOKUP($C77,청소코드!$C$4:$J$188,3,FALSE)</f>
        <v>si 502</v>
      </c>
      <c r="E77" s="75">
        <f>VLOOKUP($C77,청소코드!$C$4:$J$188,4,FALSE)</f>
        <v>1</v>
      </c>
      <c r="F77" s="75" t="s">
        <v>437</v>
      </c>
      <c r="G77" s="75"/>
      <c r="H77" s="75"/>
      <c r="I77" s="75" t="s">
        <v>439</v>
      </c>
      <c r="J77" s="76">
        <f t="shared" si="3"/>
        <v>20000</v>
      </c>
      <c r="K77" s="75">
        <f>VLOOKUP($C77,청소코드!$C$4:$J$188,8,FALSE)</f>
        <v>20000</v>
      </c>
      <c r="L77" s="77"/>
      <c r="M77" s="78"/>
      <c r="N77" s="77"/>
      <c r="O77" s="77"/>
    </row>
    <row r="78" spans="1:15" ht="12.75" customHeight="1">
      <c r="A78" s="74">
        <v>46060</v>
      </c>
      <c r="B78" s="75" t="str">
        <f t="shared" si="2"/>
        <v>토</v>
      </c>
      <c r="C78" s="75" t="s">
        <v>283</v>
      </c>
      <c r="D78" s="75" t="str">
        <f>VLOOKUP($C78,청소코드!$C$4:$J$188,3,FALSE)</f>
        <v>강동QV 1604</v>
      </c>
      <c r="E78" s="75">
        <f>VLOOKUP($C78,청소코드!$C$4:$J$188,4,FALSE)</f>
        <v>1</v>
      </c>
      <c r="F78" s="75" t="s">
        <v>401</v>
      </c>
      <c r="G78" s="75"/>
      <c r="H78" s="75"/>
      <c r="I78" s="75" t="s">
        <v>439</v>
      </c>
      <c r="J78" s="76">
        <f t="shared" si="3"/>
        <v>18000</v>
      </c>
      <c r="K78" s="75">
        <f>VLOOKUP($C78,청소코드!$C$4:$J$188,8,FALSE)</f>
        <v>18000</v>
      </c>
      <c r="L78" s="77"/>
      <c r="M78" s="78"/>
      <c r="N78" s="77"/>
      <c r="O78" s="77"/>
    </row>
    <row r="79" spans="1:15" ht="12.75" customHeight="1">
      <c r="A79" s="74">
        <v>46060</v>
      </c>
      <c r="B79" s="75" t="str">
        <f t="shared" si="2"/>
        <v>토</v>
      </c>
      <c r="C79" s="75" t="s">
        <v>304</v>
      </c>
      <c r="D79" s="75" t="str">
        <f>VLOOKUP($C79,청소코드!$C$4:$J$188,3,FALSE)</f>
        <v>렘브 505</v>
      </c>
      <c r="E79" s="75">
        <f>VLOOKUP($C79,청소코드!$C$4:$J$188,4,FALSE)</f>
        <v>1</v>
      </c>
      <c r="F79" s="75" t="s">
        <v>401</v>
      </c>
      <c r="G79" s="75"/>
      <c r="H79" s="75"/>
      <c r="I79" s="75" t="s">
        <v>439</v>
      </c>
      <c r="J79" s="76">
        <f t="shared" si="3"/>
        <v>18000</v>
      </c>
      <c r="K79" s="75">
        <f>VLOOKUP($C79,청소코드!$C$4:$J$188,8,FALSE)</f>
        <v>18000</v>
      </c>
      <c r="L79" s="77"/>
      <c r="M79" s="78"/>
      <c r="N79" s="77"/>
      <c r="O79" s="77"/>
    </row>
    <row r="80" spans="1:15" ht="12.75" customHeight="1">
      <c r="A80" s="74">
        <v>46060</v>
      </c>
      <c r="B80" s="75" t="str">
        <f t="shared" si="2"/>
        <v>토</v>
      </c>
      <c r="C80" s="75" t="s">
        <v>286</v>
      </c>
      <c r="D80" s="75" t="str">
        <f>VLOOKUP($C80,청소코드!$C$4:$J$188,3,FALSE)</f>
        <v>청광3차 1416</v>
      </c>
      <c r="E80" s="75">
        <f>VLOOKUP($C80,청소코드!$C$4:$J$188,4,FALSE)</f>
        <v>1</v>
      </c>
      <c r="F80" s="75" t="s">
        <v>449</v>
      </c>
      <c r="G80" s="75"/>
      <c r="H80" s="75"/>
      <c r="I80" s="75" t="s">
        <v>439</v>
      </c>
      <c r="J80" s="76">
        <f t="shared" si="3"/>
        <v>18000</v>
      </c>
      <c r="K80" s="75">
        <f>VLOOKUP($C80,청소코드!$C$4:$J$188,8,FALSE)</f>
        <v>18000</v>
      </c>
      <c r="L80" s="77"/>
      <c r="M80" s="78"/>
      <c r="N80" s="77"/>
      <c r="O80" s="77"/>
    </row>
    <row r="81" spans="1:15" ht="12.75" customHeight="1">
      <c r="A81" s="74">
        <v>46060</v>
      </c>
      <c r="B81" s="75" t="str">
        <f t="shared" si="2"/>
        <v>토</v>
      </c>
      <c r="C81" s="75" t="s">
        <v>301</v>
      </c>
      <c r="D81" s="75" t="str">
        <f>VLOOKUP($C81,청소코드!$C$4:$J$188,3,FALSE)</f>
        <v>청광3차 507</v>
      </c>
      <c r="E81" s="75">
        <f>VLOOKUP($C81,청소코드!$C$4:$J$188,4,FALSE)</f>
        <v>1</v>
      </c>
      <c r="F81" s="75" t="s">
        <v>449</v>
      </c>
      <c r="G81" s="75"/>
      <c r="H81" s="75"/>
      <c r="I81" s="75" t="s">
        <v>439</v>
      </c>
      <c r="J81" s="76">
        <f t="shared" si="3"/>
        <v>18000</v>
      </c>
      <c r="K81" s="75">
        <f>VLOOKUP($C81,청소코드!$C$4:$J$188,8,FALSE)</f>
        <v>18000</v>
      </c>
      <c r="L81" s="77"/>
      <c r="M81" s="78"/>
      <c r="N81" s="77"/>
      <c r="O81" s="77"/>
    </row>
    <row r="82" spans="1:15" ht="12.75" customHeight="1">
      <c r="A82" s="74">
        <v>46060</v>
      </c>
      <c r="B82" s="75" t="str">
        <f t="shared" si="2"/>
        <v>토</v>
      </c>
      <c r="C82" s="75" t="s">
        <v>287</v>
      </c>
      <c r="D82" s="75" t="str">
        <f>VLOOKUP($C82,청소코드!$C$4:$J$188,3,FALSE)</f>
        <v>청광3차 1412</v>
      </c>
      <c r="E82" s="75">
        <f>VLOOKUP($C82,청소코드!$C$4:$J$188,4,FALSE)</f>
        <v>1</v>
      </c>
      <c r="F82" s="75" t="s">
        <v>449</v>
      </c>
      <c r="G82" s="75"/>
      <c r="H82" s="75"/>
      <c r="I82" s="75" t="s">
        <v>439</v>
      </c>
      <c r="J82" s="76">
        <f t="shared" si="3"/>
        <v>18000</v>
      </c>
      <c r="K82" s="75">
        <f>VLOOKUP($C82,청소코드!$C$4:$J$188,8,FALSE)</f>
        <v>18000</v>
      </c>
      <c r="L82" s="77"/>
      <c r="M82" s="78"/>
      <c r="N82" s="77"/>
      <c r="O82" s="77"/>
    </row>
    <row r="83" spans="1:15" ht="12.75" customHeight="1">
      <c r="A83" s="74">
        <v>46060</v>
      </c>
      <c r="B83" s="75" t="str">
        <f t="shared" si="2"/>
        <v>토</v>
      </c>
      <c r="C83" s="75" t="s">
        <v>332</v>
      </c>
      <c r="D83" s="75" t="str">
        <f>VLOOKUP($C83,청소코드!$C$4:$J$188,3,FALSE)</f>
        <v>오금스타 201</v>
      </c>
      <c r="E83" s="75">
        <f>VLOOKUP($C83,청소코드!$C$4:$J$188,4,FALSE)</f>
        <v>1</v>
      </c>
      <c r="F83" s="75" t="s">
        <v>449</v>
      </c>
      <c r="G83" s="75"/>
      <c r="H83" s="75"/>
      <c r="I83" s="75" t="s">
        <v>439</v>
      </c>
      <c r="J83" s="76">
        <f t="shared" si="3"/>
        <v>18000</v>
      </c>
      <c r="K83" s="75">
        <f>VLOOKUP($C83,청소코드!$C$4:$J$188,8,FALSE)</f>
        <v>18000</v>
      </c>
      <c r="L83" s="77"/>
      <c r="M83" s="78"/>
      <c r="N83" s="77"/>
      <c r="O83" s="77"/>
    </row>
    <row r="84" spans="1:15" ht="12.75" customHeight="1">
      <c r="A84" s="74">
        <v>46060</v>
      </c>
      <c r="B84" s="75" t="str">
        <f t="shared" si="2"/>
        <v>토</v>
      </c>
      <c r="C84" s="75" t="s">
        <v>385</v>
      </c>
      <c r="D84" s="75" t="str">
        <f>VLOOKUP($C84,청소코드!$C$4:$J$188,3,FALSE)</f>
        <v>하람휴 1001</v>
      </c>
      <c r="E84" s="75">
        <f>VLOOKUP($C84,청소코드!$C$4:$J$188,4,FALSE)</f>
        <v>2</v>
      </c>
      <c r="F84" s="75" t="s">
        <v>408</v>
      </c>
      <c r="G84" s="75"/>
      <c r="H84" s="75"/>
      <c r="I84" s="75" t="s">
        <v>439</v>
      </c>
      <c r="J84" s="76">
        <f t="shared" si="3"/>
        <v>23000</v>
      </c>
      <c r="K84" s="75">
        <f>VLOOKUP($C84,청소코드!$C$4:$J$188,8,FALSE)</f>
        <v>23000</v>
      </c>
      <c r="L84" s="77"/>
      <c r="M84" s="78"/>
      <c r="N84" s="77"/>
      <c r="O84" s="77"/>
    </row>
    <row r="85" spans="1:15" ht="12.75" customHeight="1">
      <c r="A85" s="74">
        <v>46060</v>
      </c>
      <c r="B85" s="75" t="str">
        <f t="shared" si="2"/>
        <v>토</v>
      </c>
      <c r="C85" s="75" t="s">
        <v>416</v>
      </c>
      <c r="D85" s="75" t="str">
        <f>VLOOKUP($C85,청소코드!$C$4:$J$188,3,FALSE)</f>
        <v>청광1차 207</v>
      </c>
      <c r="E85" s="75">
        <f>VLOOKUP($C85,청소코드!$C$4:$J$188,4,FALSE)</f>
        <v>0</v>
      </c>
      <c r="F85" s="75" t="s">
        <v>426</v>
      </c>
      <c r="G85" s="75"/>
      <c r="H85" s="75"/>
      <c r="I85" s="75" t="s">
        <v>439</v>
      </c>
      <c r="J85" s="76">
        <f t="shared" si="3"/>
        <v>10000</v>
      </c>
      <c r="K85" s="75">
        <f>VLOOKUP($C85,청소코드!$C$4:$J$188,8,FALSE)</f>
        <v>10000</v>
      </c>
      <c r="L85" s="77"/>
      <c r="M85" s="78"/>
      <c r="N85" s="77"/>
      <c r="O85" s="77"/>
    </row>
    <row r="86" spans="1:15" ht="12.75" customHeight="1">
      <c r="A86" s="74">
        <v>46061</v>
      </c>
      <c r="B86" s="75" t="str">
        <f t="shared" si="2"/>
        <v>일</v>
      </c>
      <c r="C86" s="75" t="s">
        <v>393</v>
      </c>
      <c r="D86" s="75" t="str">
        <f>VLOOKUP($C86,청소코드!$C$4:$J$188,3,FALSE)</f>
        <v>대치동 103호</v>
      </c>
      <c r="E86" s="75">
        <f>VLOOKUP($C86,청소코드!$C$4:$J$188,4,FALSE)</f>
        <v>1.5</v>
      </c>
      <c r="F86" s="75" t="s">
        <v>451</v>
      </c>
      <c r="G86" s="75"/>
      <c r="H86" s="75"/>
      <c r="I86" s="75" t="s">
        <v>439</v>
      </c>
      <c r="J86" s="76">
        <f t="shared" si="3"/>
        <v>20000</v>
      </c>
      <c r="K86" s="75">
        <f>VLOOKUP($C86,청소코드!$C$4:$J$188,8,FALSE)</f>
        <v>20000</v>
      </c>
      <c r="L86" s="77"/>
      <c r="M86" s="78"/>
      <c r="N86" s="77"/>
      <c r="O86" s="77"/>
    </row>
    <row r="87" spans="1:15" ht="12.75" customHeight="1">
      <c r="A87" s="74">
        <v>46061</v>
      </c>
      <c r="B87" s="75" t="str">
        <f t="shared" si="2"/>
        <v>일</v>
      </c>
      <c r="C87" s="75" t="s">
        <v>325</v>
      </c>
      <c r="D87" s="75" t="str">
        <f>VLOOKUP($C87,청소코드!$C$4:$J$188,3,FALSE)</f>
        <v>센텀 2차 501</v>
      </c>
      <c r="E87" s="75">
        <f>VLOOKUP($C87,청소코드!$C$4:$J$188,4,FALSE)</f>
        <v>1.5</v>
      </c>
      <c r="F87" s="75" t="s">
        <v>449</v>
      </c>
      <c r="G87" s="75"/>
      <c r="H87" s="75"/>
      <c r="I87" s="75" t="s">
        <v>439</v>
      </c>
      <c r="J87" s="76">
        <f t="shared" si="3"/>
        <v>20000</v>
      </c>
      <c r="K87" s="75">
        <f>VLOOKUP($C87,청소코드!$C$4:$J$188,8,FALSE)</f>
        <v>20000</v>
      </c>
      <c r="L87" s="77"/>
      <c r="M87" s="78"/>
      <c r="N87" s="77"/>
      <c r="O87" s="77"/>
    </row>
    <row r="88" spans="1:15" ht="12.75" customHeight="1">
      <c r="A88" s="74">
        <v>46061</v>
      </c>
      <c r="B88" s="75" t="str">
        <f t="shared" si="2"/>
        <v>일</v>
      </c>
      <c r="C88" s="75" t="s">
        <v>339</v>
      </c>
      <c r="D88" s="75" t="str">
        <f>VLOOKUP($C88,청소코드!$C$4:$J$188,3,FALSE)</f>
        <v>센텀 2차 606</v>
      </c>
      <c r="E88" s="75">
        <f>VLOOKUP($C88,청소코드!$C$4:$J$188,4,FALSE)</f>
        <v>1.5</v>
      </c>
      <c r="F88" s="75" t="s">
        <v>449</v>
      </c>
      <c r="G88" s="75"/>
      <c r="H88" s="75"/>
      <c r="I88" s="75" t="s">
        <v>439</v>
      </c>
      <c r="J88" s="76">
        <f t="shared" si="3"/>
        <v>20000</v>
      </c>
      <c r="K88" s="75">
        <f>VLOOKUP($C88,청소코드!$C$4:$J$188,8,FALSE)</f>
        <v>20000</v>
      </c>
      <c r="L88" s="77"/>
      <c r="M88" s="78"/>
      <c r="N88" s="77"/>
      <c r="O88" s="77"/>
    </row>
    <row r="89" spans="1:15" ht="12.75" customHeight="1">
      <c r="A89" s="74">
        <v>46061</v>
      </c>
      <c r="B89" s="75" t="str">
        <f t="shared" si="2"/>
        <v>일</v>
      </c>
      <c r="C89" s="75" t="s">
        <v>341</v>
      </c>
      <c r="D89" s="75" t="str">
        <f>VLOOKUP($C89,청소코드!$C$4:$J$188,3,FALSE)</f>
        <v>예건 303</v>
      </c>
      <c r="E89" s="75">
        <f>VLOOKUP($C89,청소코드!$C$4:$J$188,4,FALSE)</f>
        <v>2</v>
      </c>
      <c r="F89" s="75" t="s">
        <v>438</v>
      </c>
      <c r="G89" s="75"/>
      <c r="H89" s="75"/>
      <c r="I89" s="75" t="s">
        <v>439</v>
      </c>
      <c r="J89" s="76">
        <f t="shared" si="3"/>
        <v>23000</v>
      </c>
      <c r="K89" s="75">
        <f>VLOOKUP($C89,청소코드!$C$4:$J$188,8,FALSE)</f>
        <v>23000</v>
      </c>
      <c r="L89" s="77"/>
      <c r="M89" s="78"/>
      <c r="N89" s="77"/>
      <c r="O89" s="77"/>
    </row>
    <row r="90" spans="1:15" ht="12.75" customHeight="1">
      <c r="A90" s="74">
        <v>46061</v>
      </c>
      <c r="B90" s="75" t="str">
        <f t="shared" si="2"/>
        <v>일</v>
      </c>
      <c r="C90" s="75" t="s">
        <v>371</v>
      </c>
      <c r="D90" s="75" t="str">
        <f>VLOOKUP($C90,청소코드!$C$4:$J$188,3,FALSE)</f>
        <v>예건 602</v>
      </c>
      <c r="E90" s="75">
        <f>VLOOKUP($C90,청소코드!$C$4:$J$188,4,FALSE)</f>
        <v>1</v>
      </c>
      <c r="F90" s="75" t="s">
        <v>438</v>
      </c>
      <c r="G90" s="75"/>
      <c r="H90" s="75"/>
      <c r="I90" s="75" t="s">
        <v>439</v>
      </c>
      <c r="J90" s="76">
        <f t="shared" si="3"/>
        <v>18000</v>
      </c>
      <c r="K90" s="75">
        <f>VLOOKUP($C90,청소코드!$C$4:$J$188,8,FALSE)</f>
        <v>18000</v>
      </c>
      <c r="L90" s="77"/>
      <c r="M90" s="78"/>
      <c r="N90" s="77"/>
      <c r="O90" s="77"/>
    </row>
    <row r="91" spans="1:15" ht="12.75" customHeight="1">
      <c r="A91" s="74">
        <v>46061</v>
      </c>
      <c r="B91" s="75" t="str">
        <f t="shared" si="2"/>
        <v>일</v>
      </c>
      <c r="C91" s="75" t="s">
        <v>356</v>
      </c>
      <c r="D91" s="75" t="str">
        <f>VLOOKUP($C91,청소코드!$C$4:$J$188,3,FALSE)</f>
        <v>성우 803</v>
      </c>
      <c r="E91" s="75">
        <f>VLOOKUP($C91,청소코드!$C$4:$J$188,4,FALSE)</f>
        <v>3</v>
      </c>
      <c r="F91" s="75" t="s">
        <v>429</v>
      </c>
      <c r="G91" s="75"/>
      <c r="H91" s="75"/>
      <c r="I91" s="75" t="s">
        <v>439</v>
      </c>
      <c r="J91" s="76">
        <f t="shared" si="3"/>
        <v>30000</v>
      </c>
      <c r="K91" s="75">
        <f>VLOOKUP($C91,청소코드!$C$4:$J$188,8,FALSE)</f>
        <v>30000</v>
      </c>
      <c r="L91" s="77"/>
      <c r="M91" s="78"/>
      <c r="N91" s="77"/>
      <c r="O91" s="77"/>
    </row>
    <row r="92" spans="1:15" ht="12.75" customHeight="1">
      <c r="A92" s="74">
        <v>46061</v>
      </c>
      <c r="B92" s="75" t="str">
        <f t="shared" si="2"/>
        <v>일</v>
      </c>
      <c r="C92" s="75" t="s">
        <v>373</v>
      </c>
      <c r="D92" s="75" t="str">
        <f>VLOOKUP($C92,청소코드!$C$4:$J$188,3,FALSE)</f>
        <v>더하임 204</v>
      </c>
      <c r="E92" s="75">
        <f>VLOOKUP($C92,청소코드!$C$4:$J$188,4,FALSE)</f>
        <v>1</v>
      </c>
      <c r="F92" s="75" t="s">
        <v>452</v>
      </c>
      <c r="G92" s="75"/>
      <c r="H92" s="75"/>
      <c r="I92" s="75" t="s">
        <v>439</v>
      </c>
      <c r="J92" s="76">
        <f t="shared" si="3"/>
        <v>18000</v>
      </c>
      <c r="K92" s="75">
        <f>VLOOKUP($C92,청소코드!$C$4:$J$188,8,FALSE)</f>
        <v>18000</v>
      </c>
      <c r="L92" s="77"/>
      <c r="M92" s="78"/>
      <c r="N92" s="77"/>
      <c r="O92" s="77"/>
    </row>
    <row r="93" spans="1:15" ht="12.75" customHeight="1">
      <c r="A93" s="74">
        <v>46061</v>
      </c>
      <c r="B93" s="75" t="str">
        <f t="shared" si="2"/>
        <v>일</v>
      </c>
      <c r="C93" s="75" t="s">
        <v>390</v>
      </c>
      <c r="D93" s="75" t="str">
        <f>VLOOKUP($C93,청소코드!$C$4:$J$188,3,FALSE)</f>
        <v>더하임 406</v>
      </c>
      <c r="E93" s="75">
        <f>VLOOKUP($C93,청소코드!$C$4:$J$188,4,FALSE)</f>
        <v>1.5</v>
      </c>
      <c r="F93" s="75" t="s">
        <v>452</v>
      </c>
      <c r="G93" s="75"/>
      <c r="H93" s="75"/>
      <c r="I93" s="75" t="s">
        <v>439</v>
      </c>
      <c r="J93" s="76">
        <f t="shared" si="3"/>
        <v>20000</v>
      </c>
      <c r="K93" s="75">
        <f>VLOOKUP($C93,청소코드!$C$4:$J$188,8,FALSE)</f>
        <v>20000</v>
      </c>
      <c r="L93" s="77"/>
      <c r="M93" s="78"/>
      <c r="N93" s="77"/>
      <c r="O93" s="77"/>
    </row>
    <row r="94" spans="1:15" ht="12.75" customHeight="1">
      <c r="A94" s="74">
        <v>46061</v>
      </c>
      <c r="B94" s="75" t="str">
        <f t="shared" si="2"/>
        <v>일</v>
      </c>
      <c r="C94" s="75" t="s">
        <v>387</v>
      </c>
      <c r="D94" s="75" t="str">
        <f>VLOOKUP($C94,청소코드!$C$4:$J$188,3,FALSE)</f>
        <v>더하임 604</v>
      </c>
      <c r="E94" s="75">
        <f>VLOOKUP($C94,청소코드!$C$4:$J$188,4,FALSE)</f>
        <v>1</v>
      </c>
      <c r="F94" s="75" t="s">
        <v>452</v>
      </c>
      <c r="G94" s="75" t="s">
        <v>460</v>
      </c>
      <c r="H94" s="75"/>
      <c r="I94" s="75" t="s">
        <v>439</v>
      </c>
      <c r="J94" s="76">
        <f t="shared" si="3"/>
        <v>18000</v>
      </c>
      <c r="K94" s="75">
        <f>VLOOKUP($C94,청소코드!$C$4:$J$188,8,FALSE)</f>
        <v>18000</v>
      </c>
      <c r="L94" s="77"/>
      <c r="M94" s="78"/>
      <c r="N94" s="77"/>
      <c r="O94" s="77"/>
    </row>
    <row r="95" spans="1:15" ht="12.75" customHeight="1">
      <c r="A95" s="74">
        <v>46061</v>
      </c>
      <c r="B95" s="75" t="str">
        <f t="shared" si="2"/>
        <v>일</v>
      </c>
      <c r="C95" s="75" t="s">
        <v>286</v>
      </c>
      <c r="D95" s="75" t="str">
        <f>VLOOKUP($C95,청소코드!$C$4:$J$188,3,FALSE)</f>
        <v>청광3차 1416</v>
      </c>
      <c r="E95" s="75">
        <f>VLOOKUP($C95,청소코드!$C$4:$J$188,4,FALSE)</f>
        <v>1</v>
      </c>
      <c r="F95" s="75" t="s">
        <v>437</v>
      </c>
      <c r="G95" s="75"/>
      <c r="H95" s="75"/>
      <c r="I95" s="75" t="s">
        <v>439</v>
      </c>
      <c r="J95" s="76">
        <f t="shared" si="3"/>
        <v>18000</v>
      </c>
      <c r="K95" s="75">
        <f>VLOOKUP($C95,청소코드!$C$4:$J$188,8,FALSE)</f>
        <v>18000</v>
      </c>
      <c r="L95" s="77"/>
      <c r="M95" s="78"/>
      <c r="N95" s="77"/>
      <c r="O95" s="77"/>
    </row>
    <row r="96" spans="1:15" ht="12.75" customHeight="1">
      <c r="A96" s="74">
        <v>46061</v>
      </c>
      <c r="B96" s="75" t="str">
        <f t="shared" si="2"/>
        <v>일</v>
      </c>
      <c r="C96" s="75" t="s">
        <v>301</v>
      </c>
      <c r="D96" s="75" t="str">
        <f>VLOOKUP($C96,청소코드!$C$4:$J$188,3,FALSE)</f>
        <v>청광3차 507</v>
      </c>
      <c r="E96" s="75">
        <f>VLOOKUP($C96,청소코드!$C$4:$J$188,4,FALSE)</f>
        <v>1</v>
      </c>
      <c r="F96" s="75" t="s">
        <v>437</v>
      </c>
      <c r="G96" s="75"/>
      <c r="H96" s="75"/>
      <c r="I96" s="75" t="s">
        <v>439</v>
      </c>
      <c r="J96" s="76">
        <f t="shared" si="3"/>
        <v>18000</v>
      </c>
      <c r="K96" s="75">
        <f>VLOOKUP($C96,청소코드!$C$4:$J$188,8,FALSE)</f>
        <v>18000</v>
      </c>
      <c r="L96" s="77"/>
      <c r="M96" s="78"/>
      <c r="N96" s="77"/>
      <c r="O96" s="77"/>
    </row>
    <row r="97" spans="1:15" ht="12.75" customHeight="1">
      <c r="A97" s="74">
        <v>46061</v>
      </c>
      <c r="B97" s="75" t="str">
        <f t="shared" si="2"/>
        <v>일</v>
      </c>
      <c r="C97" s="75" t="s">
        <v>287</v>
      </c>
      <c r="D97" s="75" t="str">
        <f>VLOOKUP($C97,청소코드!$C$4:$J$188,3,FALSE)</f>
        <v>청광3차 1412</v>
      </c>
      <c r="E97" s="75">
        <f>VLOOKUP($C97,청소코드!$C$4:$J$188,4,FALSE)</f>
        <v>1</v>
      </c>
      <c r="F97" s="75" t="s">
        <v>437</v>
      </c>
      <c r="G97" s="75" t="s">
        <v>458</v>
      </c>
      <c r="H97" s="75"/>
      <c r="I97" s="75" t="s">
        <v>439</v>
      </c>
      <c r="J97" s="76">
        <f t="shared" si="3"/>
        <v>18000</v>
      </c>
      <c r="K97" s="75">
        <f>VLOOKUP($C97,청소코드!$C$4:$J$188,8,FALSE)</f>
        <v>18000</v>
      </c>
      <c r="L97" s="77"/>
      <c r="M97" s="78"/>
      <c r="N97" s="77"/>
      <c r="O97" s="77"/>
    </row>
    <row r="98" spans="1:15" ht="12.75" customHeight="1">
      <c r="A98" s="74">
        <v>46061</v>
      </c>
      <c r="B98" s="75" t="str">
        <f t="shared" si="2"/>
        <v>일</v>
      </c>
      <c r="C98" s="75" t="s">
        <v>331</v>
      </c>
      <c r="D98" s="75" t="str">
        <f>VLOOKUP($C98,청소코드!$C$4:$J$188,3,FALSE)</f>
        <v>si 502</v>
      </c>
      <c r="E98" s="75">
        <f>VLOOKUP($C98,청소코드!$C$4:$J$188,4,FALSE)</f>
        <v>1</v>
      </c>
      <c r="F98" s="75" t="s">
        <v>437</v>
      </c>
      <c r="G98" s="75"/>
      <c r="H98" s="75"/>
      <c r="I98" s="75" t="s">
        <v>439</v>
      </c>
      <c r="J98" s="76">
        <f t="shared" si="3"/>
        <v>20000</v>
      </c>
      <c r="K98" s="75">
        <f>VLOOKUP($C98,청소코드!$C$4:$J$188,8,FALSE)</f>
        <v>20000</v>
      </c>
      <c r="L98" s="77"/>
      <c r="M98" s="78"/>
      <c r="N98" s="77"/>
      <c r="O98" s="77"/>
    </row>
    <row r="99" spans="1:15" ht="12.75" customHeight="1">
      <c r="A99" s="74">
        <v>46061</v>
      </c>
      <c r="B99" s="75" t="str">
        <f t="shared" si="2"/>
        <v>일</v>
      </c>
      <c r="C99" s="75" t="s">
        <v>283</v>
      </c>
      <c r="D99" s="75" t="str">
        <f>VLOOKUP($C99,청소코드!$C$4:$J$188,3,FALSE)</f>
        <v>강동QV 1604</v>
      </c>
      <c r="E99" s="75">
        <f>VLOOKUP($C99,청소코드!$C$4:$J$188,4,FALSE)</f>
        <v>1</v>
      </c>
      <c r="F99" s="75" t="s">
        <v>401</v>
      </c>
      <c r="G99" s="75"/>
      <c r="H99" s="75"/>
      <c r="I99" s="75" t="s">
        <v>439</v>
      </c>
      <c r="J99" s="76">
        <f t="shared" si="3"/>
        <v>18000</v>
      </c>
      <c r="K99" s="75">
        <f>VLOOKUP($C99,청소코드!$C$4:$J$188,8,FALSE)</f>
        <v>18000</v>
      </c>
      <c r="L99" s="77"/>
      <c r="M99" s="78"/>
      <c r="N99" s="77"/>
      <c r="O99" s="77"/>
    </row>
    <row r="100" spans="1:15" ht="12.75" customHeight="1">
      <c r="A100" s="74">
        <v>46061</v>
      </c>
      <c r="B100" s="75" t="str">
        <f t="shared" si="2"/>
        <v>일</v>
      </c>
      <c r="C100" s="75" t="s">
        <v>304</v>
      </c>
      <c r="D100" s="75" t="str">
        <f>VLOOKUP($C100,청소코드!$C$4:$J$188,3,FALSE)</f>
        <v>렘브 505</v>
      </c>
      <c r="E100" s="75">
        <f>VLOOKUP($C100,청소코드!$C$4:$J$188,4,FALSE)</f>
        <v>1</v>
      </c>
      <c r="F100" s="75" t="s">
        <v>401</v>
      </c>
      <c r="G100" s="75"/>
      <c r="H100" s="75"/>
      <c r="I100" s="75" t="s">
        <v>439</v>
      </c>
      <c r="J100" s="76">
        <f t="shared" si="3"/>
        <v>18000</v>
      </c>
      <c r="K100" s="75">
        <f>VLOOKUP($C100,청소코드!$C$4:$J$188,8,FALSE)</f>
        <v>18000</v>
      </c>
      <c r="L100" s="77"/>
      <c r="M100" s="78"/>
      <c r="N100" s="77"/>
      <c r="O100" s="77"/>
    </row>
    <row r="101" spans="1:15" ht="12.75" customHeight="1">
      <c r="A101" s="74">
        <v>46061</v>
      </c>
      <c r="B101" s="75" t="str">
        <f t="shared" si="2"/>
        <v>일</v>
      </c>
      <c r="C101" s="75" t="s">
        <v>315</v>
      </c>
      <c r="D101" s="75" t="str">
        <f>VLOOKUP($C101,청소코드!$C$4:$J$188,3,FALSE)</f>
        <v>동구햇살 1203</v>
      </c>
      <c r="E101" s="75" t="str">
        <f>VLOOKUP($C101,청소코드!$C$4:$J$188,4,FALSE)</f>
        <v>복</v>
      </c>
      <c r="F101" s="75" t="s">
        <v>426</v>
      </c>
      <c r="G101" s="75" t="s">
        <v>459</v>
      </c>
      <c r="H101" s="75"/>
      <c r="I101" s="75" t="s">
        <v>439</v>
      </c>
      <c r="J101" s="76">
        <f t="shared" si="3"/>
        <v>20000</v>
      </c>
      <c r="K101" s="75">
        <f>VLOOKUP($C101,청소코드!$C$4:$J$188,8,FALSE)</f>
        <v>20000</v>
      </c>
      <c r="L101" s="77"/>
      <c r="M101" s="78"/>
      <c r="N101" s="77"/>
      <c r="O101" s="77"/>
    </row>
    <row r="102" spans="1:15" ht="12.75" customHeight="1">
      <c r="A102" s="74">
        <v>46061</v>
      </c>
      <c r="B102" s="75" t="str">
        <f t="shared" si="2"/>
        <v>일</v>
      </c>
      <c r="C102" s="75" t="s">
        <v>292</v>
      </c>
      <c r="D102" s="75" t="str">
        <f>VLOOKUP($C102,청소코드!$C$4:$J$188,3,FALSE)</f>
        <v>오앤 401</v>
      </c>
      <c r="E102" s="75">
        <f>VLOOKUP($C102,청소코드!$C$4:$J$188,4,FALSE)</f>
        <v>1</v>
      </c>
      <c r="F102" s="75" t="s">
        <v>426</v>
      </c>
      <c r="G102" s="75"/>
      <c r="H102" s="75"/>
      <c r="I102" s="75" t="s">
        <v>439</v>
      </c>
      <c r="J102" s="76">
        <f t="shared" si="3"/>
        <v>21000</v>
      </c>
      <c r="K102" s="75">
        <f>VLOOKUP($C102,청소코드!$C$4:$J$188,8,FALSE)</f>
        <v>18000</v>
      </c>
      <c r="L102" s="77">
        <v>3000</v>
      </c>
      <c r="M102" s="78"/>
      <c r="N102" s="77"/>
      <c r="O102" s="77"/>
    </row>
    <row r="103" spans="1:15" ht="12.75" customHeight="1">
      <c r="A103" s="74">
        <v>46061</v>
      </c>
      <c r="B103" s="75" t="str">
        <f t="shared" si="2"/>
        <v>일</v>
      </c>
      <c r="C103" s="75" t="s">
        <v>300</v>
      </c>
      <c r="D103" s="75" t="str">
        <f>VLOOKUP($C103,청소코드!$C$4:$J$188,3,FALSE)</f>
        <v>하람휴 902</v>
      </c>
      <c r="E103" s="75">
        <f>VLOOKUP($C103,청소코드!$C$4:$J$188,4,FALSE)</f>
        <v>2</v>
      </c>
      <c r="F103" s="75" t="s">
        <v>408</v>
      </c>
      <c r="G103" s="75"/>
      <c r="H103" s="75"/>
      <c r="I103" s="75" t="s">
        <v>439</v>
      </c>
      <c r="J103" s="76">
        <f t="shared" si="3"/>
        <v>23000</v>
      </c>
      <c r="K103" s="75">
        <f>VLOOKUP($C103,청소코드!$C$4:$J$188,8,FALSE)</f>
        <v>23000</v>
      </c>
      <c r="L103" s="77"/>
      <c r="M103" s="78"/>
      <c r="N103" s="77"/>
      <c r="O103" s="77"/>
    </row>
    <row r="104" spans="1:15" ht="12.75" customHeight="1">
      <c r="A104" s="74">
        <v>46061</v>
      </c>
      <c r="B104" s="75" t="str">
        <f t="shared" si="2"/>
        <v>일</v>
      </c>
      <c r="C104" s="75" t="s">
        <v>385</v>
      </c>
      <c r="D104" s="75" t="str">
        <f>VLOOKUP($C104,청소코드!$C$4:$J$188,3,FALSE)</f>
        <v>하람휴 1001</v>
      </c>
      <c r="E104" s="75">
        <f>VLOOKUP($C104,청소코드!$C$4:$J$188,4,FALSE)</f>
        <v>2</v>
      </c>
      <c r="F104" s="75" t="s">
        <v>408</v>
      </c>
      <c r="G104" s="75"/>
      <c r="H104" s="75"/>
      <c r="I104" s="75" t="s">
        <v>439</v>
      </c>
      <c r="J104" s="76">
        <f t="shared" si="3"/>
        <v>23000</v>
      </c>
      <c r="K104" s="75">
        <f>VLOOKUP($C104,청소코드!$C$4:$J$188,8,FALSE)</f>
        <v>23000</v>
      </c>
      <c r="L104" s="77"/>
      <c r="M104" s="78"/>
      <c r="N104" s="77"/>
      <c r="O104" s="77"/>
    </row>
    <row r="105" spans="1:15" ht="12.75" customHeight="1">
      <c r="A105" s="74">
        <v>46061</v>
      </c>
      <c r="B105" s="75" t="str">
        <f t="shared" si="2"/>
        <v>일</v>
      </c>
      <c r="C105" s="75" t="s">
        <v>416</v>
      </c>
      <c r="D105" s="75" t="str">
        <f>VLOOKUP($C105,청소코드!$C$4:$J$188,3,FALSE)</f>
        <v>청광1차 207</v>
      </c>
      <c r="E105" s="75">
        <f>VLOOKUP($C105,청소코드!$C$4:$J$188,4,FALSE)</f>
        <v>0</v>
      </c>
      <c r="F105" s="75" t="s">
        <v>426</v>
      </c>
      <c r="G105" s="75"/>
      <c r="H105" s="75"/>
      <c r="I105" s="75" t="s">
        <v>439</v>
      </c>
      <c r="J105" s="76">
        <f t="shared" si="3"/>
        <v>10000</v>
      </c>
      <c r="K105" s="75">
        <f>VLOOKUP($C105,청소코드!$C$4:$J$188,8,FALSE)</f>
        <v>10000</v>
      </c>
      <c r="L105" s="77"/>
      <c r="M105" s="78"/>
      <c r="N105" s="77"/>
      <c r="O105" s="77"/>
    </row>
    <row r="106" spans="1:15" ht="12.75" customHeight="1">
      <c r="A106" s="74">
        <v>46062</v>
      </c>
      <c r="B106" s="75" t="str">
        <f t="shared" si="2"/>
        <v>월</v>
      </c>
      <c r="C106" s="75" t="s">
        <v>334</v>
      </c>
      <c r="D106" s="75" t="str">
        <f>VLOOKUP($C106,청소코드!$C$4:$J$188,3,FALSE)</f>
        <v>센텀 2차 406</v>
      </c>
      <c r="E106" s="75">
        <f>VLOOKUP($C106,청소코드!$C$4:$J$188,4,FALSE)</f>
        <v>1.5</v>
      </c>
      <c r="F106" s="75" t="s">
        <v>429</v>
      </c>
      <c r="G106" s="75"/>
      <c r="H106" s="75"/>
      <c r="I106" s="75" t="s">
        <v>439</v>
      </c>
      <c r="J106" s="76">
        <f t="shared" si="3"/>
        <v>20000</v>
      </c>
      <c r="K106" s="75">
        <f>VLOOKUP($C106,청소코드!$C$4:$J$188,8,FALSE)</f>
        <v>20000</v>
      </c>
      <c r="L106" s="77"/>
      <c r="M106" s="78"/>
      <c r="N106" s="77"/>
      <c r="O106" s="77"/>
    </row>
    <row r="107" spans="1:15" ht="12.75" customHeight="1">
      <c r="A107" s="74">
        <v>46062</v>
      </c>
      <c r="B107" s="75" t="str">
        <f t="shared" si="2"/>
        <v>월</v>
      </c>
      <c r="C107" s="75" t="s">
        <v>325</v>
      </c>
      <c r="D107" s="75" t="str">
        <f>VLOOKUP($C107,청소코드!$C$4:$J$188,3,FALSE)</f>
        <v>센텀 2차 501</v>
      </c>
      <c r="E107" s="75">
        <f>VLOOKUP($C107,청소코드!$C$4:$J$188,4,FALSE)</f>
        <v>1.5</v>
      </c>
      <c r="F107" s="75" t="s">
        <v>429</v>
      </c>
      <c r="G107" s="75"/>
      <c r="H107" s="75"/>
      <c r="I107" s="75" t="s">
        <v>439</v>
      </c>
      <c r="J107" s="76">
        <f t="shared" si="3"/>
        <v>20000</v>
      </c>
      <c r="K107" s="75">
        <f>VLOOKUP($C107,청소코드!$C$4:$J$188,8,FALSE)</f>
        <v>20000</v>
      </c>
      <c r="L107" s="77"/>
      <c r="M107" s="78"/>
      <c r="N107" s="77"/>
      <c r="O107" s="77"/>
    </row>
    <row r="108" spans="1:15" ht="12.75" customHeight="1">
      <c r="A108" s="74">
        <v>46062</v>
      </c>
      <c r="B108" s="75" t="str">
        <f t="shared" si="2"/>
        <v>월</v>
      </c>
      <c r="C108" s="75" t="s">
        <v>339</v>
      </c>
      <c r="D108" s="75" t="str">
        <f>VLOOKUP($C108,청소코드!$C$4:$J$188,3,FALSE)</f>
        <v>센텀 2차 606</v>
      </c>
      <c r="E108" s="75">
        <f>VLOOKUP($C108,청소코드!$C$4:$J$188,4,FALSE)</f>
        <v>1.5</v>
      </c>
      <c r="F108" s="75" t="s">
        <v>429</v>
      </c>
      <c r="G108" s="75"/>
      <c r="H108" s="75"/>
      <c r="I108" s="75" t="s">
        <v>439</v>
      </c>
      <c r="J108" s="76">
        <f t="shared" si="3"/>
        <v>20000</v>
      </c>
      <c r="K108" s="75">
        <f>VLOOKUP($C108,청소코드!$C$4:$J$188,8,FALSE)</f>
        <v>20000</v>
      </c>
      <c r="L108" s="77"/>
      <c r="M108" s="78"/>
      <c r="N108" s="77"/>
      <c r="O108" s="77"/>
    </row>
    <row r="109" spans="1:15" ht="12.75" customHeight="1">
      <c r="A109" s="74">
        <v>46062</v>
      </c>
      <c r="B109" s="75" t="str">
        <f t="shared" si="2"/>
        <v>월</v>
      </c>
      <c r="C109" s="75" t="s">
        <v>341</v>
      </c>
      <c r="D109" s="75" t="str">
        <f>VLOOKUP($C109,청소코드!$C$4:$J$188,3,FALSE)</f>
        <v>예건 303</v>
      </c>
      <c r="E109" s="75">
        <f>VLOOKUP($C109,청소코드!$C$4:$J$188,4,FALSE)</f>
        <v>2</v>
      </c>
      <c r="F109" s="75" t="s">
        <v>438</v>
      </c>
      <c r="G109" s="75"/>
      <c r="H109" s="75"/>
      <c r="I109" s="75" t="s">
        <v>439</v>
      </c>
      <c r="J109" s="76">
        <f t="shared" si="3"/>
        <v>23000</v>
      </c>
      <c r="K109" s="75">
        <f>VLOOKUP($C109,청소코드!$C$4:$J$188,8,FALSE)</f>
        <v>23000</v>
      </c>
      <c r="L109" s="77"/>
      <c r="M109" s="78"/>
      <c r="N109" s="77"/>
      <c r="O109" s="77"/>
    </row>
    <row r="110" spans="1:15" ht="12.75" customHeight="1">
      <c r="A110" s="74">
        <v>46062</v>
      </c>
      <c r="B110" s="75" t="str">
        <f t="shared" si="2"/>
        <v>월</v>
      </c>
      <c r="C110" s="75" t="s">
        <v>342</v>
      </c>
      <c r="D110" s="75" t="str">
        <f>VLOOKUP($C110,청소코드!$C$4:$J$188,3,FALSE)</f>
        <v>예건 902</v>
      </c>
      <c r="E110" s="75">
        <f>VLOOKUP($C110,청소코드!$C$4:$J$188,4,FALSE)</f>
        <v>1</v>
      </c>
      <c r="F110" s="75" t="s">
        <v>438</v>
      </c>
      <c r="G110" s="75"/>
      <c r="H110" s="75"/>
      <c r="I110" s="75" t="s">
        <v>439</v>
      </c>
      <c r="J110" s="76">
        <f t="shared" si="3"/>
        <v>18000</v>
      </c>
      <c r="K110" s="75">
        <f>VLOOKUP($C110,청소코드!$C$4:$J$188,8,FALSE)</f>
        <v>18000</v>
      </c>
      <c r="L110" s="77"/>
      <c r="M110" s="78"/>
      <c r="N110" s="77"/>
      <c r="O110" s="77"/>
    </row>
    <row r="111" spans="1:15" ht="12.75" customHeight="1">
      <c r="A111" s="74">
        <v>46062</v>
      </c>
      <c r="B111" s="75" t="str">
        <f t="shared" si="2"/>
        <v>월</v>
      </c>
      <c r="C111" s="75" t="s">
        <v>360</v>
      </c>
      <c r="D111" s="75" t="str">
        <f>VLOOKUP($C111,청소코드!$C$4:$J$188,3,FALSE)</f>
        <v>더하임 306</v>
      </c>
      <c r="E111" s="75">
        <f>VLOOKUP($C111,청소코드!$C$4:$J$188,4,FALSE)</f>
        <v>1.5</v>
      </c>
      <c r="F111" s="75" t="s">
        <v>452</v>
      </c>
      <c r="G111" s="75"/>
      <c r="H111" s="75"/>
      <c r="I111" s="75" t="s">
        <v>439</v>
      </c>
      <c r="J111" s="76">
        <f t="shared" si="3"/>
        <v>20000</v>
      </c>
      <c r="K111" s="75">
        <f>VLOOKUP($C111,청소코드!$C$4:$J$188,8,FALSE)</f>
        <v>20000</v>
      </c>
      <c r="L111" s="77"/>
      <c r="M111" s="78"/>
      <c r="N111" s="77"/>
      <c r="O111" s="77"/>
    </row>
    <row r="112" spans="1:15" ht="12.75" customHeight="1">
      <c r="A112" s="74">
        <v>46062</v>
      </c>
      <c r="B112" s="75" t="str">
        <f t="shared" si="2"/>
        <v>월</v>
      </c>
      <c r="C112" s="75" t="s">
        <v>390</v>
      </c>
      <c r="D112" s="75" t="str">
        <f>VLOOKUP($C112,청소코드!$C$4:$J$188,3,FALSE)</f>
        <v>더하임 406</v>
      </c>
      <c r="E112" s="75">
        <f>VLOOKUP($C112,청소코드!$C$4:$J$188,4,FALSE)</f>
        <v>1.5</v>
      </c>
      <c r="F112" s="75" t="s">
        <v>452</v>
      </c>
      <c r="G112" s="75"/>
      <c r="H112" s="75"/>
      <c r="I112" s="75" t="s">
        <v>439</v>
      </c>
      <c r="J112" s="76">
        <f t="shared" si="3"/>
        <v>20000</v>
      </c>
      <c r="K112" s="75">
        <f>VLOOKUP($C112,청소코드!$C$4:$J$188,8,FALSE)</f>
        <v>20000</v>
      </c>
      <c r="L112" s="77"/>
      <c r="M112" s="78"/>
      <c r="N112" s="77"/>
      <c r="O112" s="77"/>
    </row>
    <row r="113" spans="1:15" ht="12.75" customHeight="1">
      <c r="A113" s="74">
        <v>46062</v>
      </c>
      <c r="B113" s="75" t="str">
        <f t="shared" si="2"/>
        <v>월</v>
      </c>
      <c r="C113" s="75" t="s">
        <v>417</v>
      </c>
      <c r="D113" s="75" t="str">
        <f>VLOOKUP($C113,청소코드!$C$4:$J$188,3,FALSE)</f>
        <v>더하임 504</v>
      </c>
      <c r="E113" s="75">
        <f>VLOOKUP($C113,청소코드!$C$4:$J$188,4,FALSE)</f>
        <v>1</v>
      </c>
      <c r="F113" s="75" t="s">
        <v>426</v>
      </c>
      <c r="G113" s="75"/>
      <c r="H113" s="75"/>
      <c r="I113" s="75" t="s">
        <v>439</v>
      </c>
      <c r="J113" s="76">
        <f t="shared" si="3"/>
        <v>18000</v>
      </c>
      <c r="K113" s="75">
        <f>VLOOKUP($C113,청소코드!$C$4:$J$188,8,FALSE)</f>
        <v>18000</v>
      </c>
      <c r="L113" s="77"/>
      <c r="M113" s="78"/>
      <c r="N113" s="77"/>
      <c r="O113" s="77"/>
    </row>
    <row r="114" spans="1:15" ht="12.75" customHeight="1">
      <c r="A114" s="74">
        <v>46062</v>
      </c>
      <c r="B114" s="75" t="str">
        <f t="shared" si="2"/>
        <v>월</v>
      </c>
      <c r="C114" s="75" t="s">
        <v>387</v>
      </c>
      <c r="D114" s="75" t="str">
        <f>VLOOKUP($C114,청소코드!$C$4:$J$188,3,FALSE)</f>
        <v>더하임 604</v>
      </c>
      <c r="E114" s="75">
        <f>VLOOKUP($C114,청소코드!$C$4:$J$188,4,FALSE)</f>
        <v>1</v>
      </c>
      <c r="F114" s="75" t="s">
        <v>426</v>
      </c>
      <c r="G114" s="75" t="s">
        <v>463</v>
      </c>
      <c r="H114" s="75"/>
      <c r="I114" s="75" t="s">
        <v>439</v>
      </c>
      <c r="J114" s="76">
        <f t="shared" si="3"/>
        <v>18000</v>
      </c>
      <c r="K114" s="75">
        <f>VLOOKUP($C114,청소코드!$C$4:$J$188,8,FALSE)</f>
        <v>18000</v>
      </c>
      <c r="L114" s="77"/>
      <c r="M114" s="78"/>
      <c r="N114" s="77"/>
      <c r="O114" s="77"/>
    </row>
    <row r="115" spans="1:15" ht="12.75" customHeight="1">
      <c r="A115" s="74">
        <v>46062</v>
      </c>
      <c r="B115" s="75" t="str">
        <f t="shared" si="2"/>
        <v>월</v>
      </c>
      <c r="C115" s="75" t="s">
        <v>301</v>
      </c>
      <c r="D115" s="75" t="str">
        <f>VLOOKUP($C115,청소코드!$C$4:$J$188,3,FALSE)</f>
        <v>청광3차 507</v>
      </c>
      <c r="E115" s="75">
        <f>VLOOKUP($C115,청소코드!$C$4:$J$188,4,FALSE)</f>
        <v>1</v>
      </c>
      <c r="F115" s="75" t="s">
        <v>449</v>
      </c>
      <c r="G115" s="75"/>
      <c r="H115" s="75"/>
      <c r="I115" s="75" t="s">
        <v>439</v>
      </c>
      <c r="J115" s="76">
        <f t="shared" si="3"/>
        <v>18000</v>
      </c>
      <c r="K115" s="75">
        <f>VLOOKUP($C115,청소코드!$C$4:$J$188,8,FALSE)</f>
        <v>18000</v>
      </c>
      <c r="L115" s="77"/>
      <c r="M115" s="78"/>
      <c r="N115" s="77"/>
      <c r="O115" s="77"/>
    </row>
    <row r="116" spans="1:15" ht="12.75" customHeight="1">
      <c r="A116" s="74">
        <v>46062</v>
      </c>
      <c r="B116" s="75" t="str">
        <f t="shared" si="2"/>
        <v>월</v>
      </c>
      <c r="C116" s="75" t="s">
        <v>287</v>
      </c>
      <c r="D116" s="75" t="str">
        <f>VLOOKUP($C116,청소코드!$C$4:$J$188,3,FALSE)</f>
        <v>청광3차 1412</v>
      </c>
      <c r="E116" s="75">
        <f>VLOOKUP($C116,청소코드!$C$4:$J$188,4,FALSE)</f>
        <v>1</v>
      </c>
      <c r="F116" s="75" t="s">
        <v>449</v>
      </c>
      <c r="G116" s="75"/>
      <c r="H116" s="75"/>
      <c r="I116" s="75" t="s">
        <v>439</v>
      </c>
      <c r="J116" s="76">
        <f t="shared" si="3"/>
        <v>18000</v>
      </c>
      <c r="K116" s="75">
        <f>VLOOKUP($C116,청소코드!$C$4:$J$188,8,FALSE)</f>
        <v>18000</v>
      </c>
      <c r="L116" s="77"/>
      <c r="M116" s="78"/>
      <c r="N116" s="77"/>
      <c r="O116" s="77"/>
    </row>
    <row r="117" spans="1:15" ht="12.75" customHeight="1">
      <c r="A117" s="74">
        <v>46062</v>
      </c>
      <c r="B117" s="75" t="str">
        <f t="shared" si="2"/>
        <v>월</v>
      </c>
      <c r="C117" s="75" t="s">
        <v>344</v>
      </c>
      <c r="D117" s="75" t="str">
        <f>VLOOKUP($C117,청소코드!$C$4:$J$188,3,FALSE)</f>
        <v>오금스타 402</v>
      </c>
      <c r="E117" s="75">
        <f>VLOOKUP($C117,청소코드!$C$4:$J$188,4,FALSE)</f>
        <v>1</v>
      </c>
      <c r="F117" s="75" t="s">
        <v>449</v>
      </c>
      <c r="G117" s="75" t="s">
        <v>464</v>
      </c>
      <c r="H117" s="75"/>
      <c r="I117" s="75" t="s">
        <v>439</v>
      </c>
      <c r="J117" s="76">
        <f t="shared" si="3"/>
        <v>18000</v>
      </c>
      <c r="K117" s="75">
        <f>VLOOKUP($C117,청소코드!$C$4:$J$188,8,FALSE)</f>
        <v>18000</v>
      </c>
      <c r="L117" s="77"/>
      <c r="M117" s="78"/>
      <c r="N117" s="77"/>
      <c r="O117" s="77"/>
    </row>
    <row r="118" spans="1:15" ht="12.75" customHeight="1">
      <c r="A118" s="74">
        <v>46062</v>
      </c>
      <c r="B118" s="75" t="str">
        <f t="shared" si="2"/>
        <v>월</v>
      </c>
      <c r="C118" s="75" t="s">
        <v>283</v>
      </c>
      <c r="D118" s="75" t="str">
        <f>VLOOKUP($C118,청소코드!$C$4:$J$188,3,FALSE)</f>
        <v>강동QV 1604</v>
      </c>
      <c r="E118" s="75">
        <f>VLOOKUP($C118,청소코드!$C$4:$J$188,4,FALSE)</f>
        <v>1</v>
      </c>
      <c r="F118" s="75" t="s">
        <v>401</v>
      </c>
      <c r="G118" s="75" t="s">
        <v>462</v>
      </c>
      <c r="H118" s="75"/>
      <c r="I118" s="75" t="s">
        <v>439</v>
      </c>
      <c r="J118" s="76">
        <f t="shared" si="3"/>
        <v>18000</v>
      </c>
      <c r="K118" s="75">
        <f>VLOOKUP($C118,청소코드!$C$4:$J$188,8,FALSE)</f>
        <v>18000</v>
      </c>
      <c r="L118" s="77"/>
      <c r="M118" s="78"/>
      <c r="N118" s="77"/>
      <c r="O118" s="77"/>
    </row>
    <row r="119" spans="1:15" ht="12.75" customHeight="1">
      <c r="A119" s="74">
        <v>46062</v>
      </c>
      <c r="B119" s="75" t="str">
        <f t="shared" si="2"/>
        <v>월</v>
      </c>
      <c r="C119" s="75" t="s">
        <v>286</v>
      </c>
      <c r="D119" s="75" t="str">
        <f>VLOOKUP($C119,청소코드!$C$4:$J$188,3,FALSE)</f>
        <v>청광3차 1416</v>
      </c>
      <c r="E119" s="75">
        <f>VLOOKUP($C119,청소코드!$C$4:$J$188,4,FALSE)</f>
        <v>1</v>
      </c>
      <c r="F119" s="75" t="s">
        <v>437</v>
      </c>
      <c r="G119" s="75"/>
      <c r="H119" s="75"/>
      <c r="I119" s="75" t="s">
        <v>439</v>
      </c>
      <c r="J119" s="76">
        <f t="shared" si="3"/>
        <v>18000</v>
      </c>
      <c r="K119" s="75">
        <f>VLOOKUP($C119,청소코드!$C$4:$J$188,8,FALSE)</f>
        <v>18000</v>
      </c>
      <c r="L119" s="77"/>
      <c r="M119" s="78"/>
      <c r="N119" s="77"/>
      <c r="O119" s="77"/>
    </row>
    <row r="120" spans="1:15" ht="12.75" customHeight="1">
      <c r="A120" s="74">
        <v>46062</v>
      </c>
      <c r="B120" s="75" t="str">
        <f t="shared" si="2"/>
        <v>월</v>
      </c>
      <c r="C120" s="75" t="s">
        <v>292</v>
      </c>
      <c r="D120" s="75" t="str">
        <f>VLOOKUP($C120,청소코드!$C$4:$J$188,3,FALSE)</f>
        <v>오앤 401</v>
      </c>
      <c r="E120" s="75">
        <f>VLOOKUP($C120,청소코드!$C$4:$J$188,4,FALSE)</f>
        <v>1</v>
      </c>
      <c r="F120" s="75" t="s">
        <v>437</v>
      </c>
      <c r="G120" s="75"/>
      <c r="H120" s="75"/>
      <c r="I120" s="75" t="s">
        <v>439</v>
      </c>
      <c r="J120" s="76">
        <f t="shared" si="3"/>
        <v>18000</v>
      </c>
      <c r="K120" s="75">
        <f>VLOOKUP($C120,청소코드!$C$4:$J$188,8,FALSE)</f>
        <v>18000</v>
      </c>
      <c r="L120" s="77"/>
      <c r="M120" s="78"/>
      <c r="N120" s="77"/>
      <c r="O120" s="77"/>
    </row>
    <row r="121" spans="1:15" ht="12.75" customHeight="1">
      <c r="A121" s="74">
        <v>46062</v>
      </c>
      <c r="B121" s="75" t="str">
        <f t="shared" si="2"/>
        <v>월</v>
      </c>
      <c r="C121" s="75" t="s">
        <v>331</v>
      </c>
      <c r="D121" s="75" t="str">
        <f>VLOOKUP($C121,청소코드!$C$4:$J$188,3,FALSE)</f>
        <v>si 502</v>
      </c>
      <c r="E121" s="75">
        <f>VLOOKUP($C121,청소코드!$C$4:$J$188,4,FALSE)</f>
        <v>1</v>
      </c>
      <c r="F121" s="75" t="s">
        <v>437</v>
      </c>
      <c r="G121" s="75"/>
      <c r="H121" s="75"/>
      <c r="I121" s="75" t="s">
        <v>439</v>
      </c>
      <c r="J121" s="76">
        <f t="shared" si="3"/>
        <v>20000</v>
      </c>
      <c r="K121" s="75">
        <f>VLOOKUP($C121,청소코드!$C$4:$J$188,8,FALSE)</f>
        <v>20000</v>
      </c>
      <c r="L121" s="77"/>
      <c r="M121" s="78"/>
      <c r="N121" s="77"/>
      <c r="O121" s="77"/>
    </row>
    <row r="122" spans="1:15" ht="12.75" customHeight="1">
      <c r="A122" s="74">
        <v>46062</v>
      </c>
      <c r="B122" s="75" t="str">
        <f t="shared" si="2"/>
        <v>월</v>
      </c>
      <c r="C122" s="75" t="s">
        <v>299</v>
      </c>
      <c r="D122" s="75" t="str">
        <f>VLOOKUP($C122,청소코드!$C$4:$J$188,3,FALSE)</f>
        <v>세종에코 304</v>
      </c>
      <c r="E122" s="75">
        <f>VLOOKUP($C122,청소코드!$C$4:$J$188,4,FALSE)</f>
        <v>2</v>
      </c>
      <c r="F122" s="75" t="s">
        <v>461</v>
      </c>
      <c r="G122" s="75"/>
      <c r="H122" s="75"/>
      <c r="I122" s="75" t="s">
        <v>439</v>
      </c>
      <c r="J122" s="76">
        <f t="shared" si="3"/>
        <v>23000</v>
      </c>
      <c r="K122" s="75">
        <f>VLOOKUP($C122,청소코드!$C$4:$J$188,8,FALSE)</f>
        <v>23000</v>
      </c>
      <c r="L122" s="77"/>
      <c r="M122" s="78"/>
      <c r="N122" s="77"/>
      <c r="O122" s="77"/>
    </row>
    <row r="123" spans="1:15" ht="12.75" customHeight="1">
      <c r="A123" s="74">
        <v>46062</v>
      </c>
      <c r="B123" s="75" t="str">
        <f t="shared" si="2"/>
        <v>월</v>
      </c>
      <c r="C123" s="75" t="s">
        <v>302</v>
      </c>
      <c r="D123" s="75" t="str">
        <f>VLOOKUP($C123,청소코드!$C$4:$J$188,3,FALSE)</f>
        <v>하람휴 1102</v>
      </c>
      <c r="E123" s="75">
        <f>VLOOKUP($C123,청소코드!$C$4:$J$188,4,FALSE)</f>
        <v>2</v>
      </c>
      <c r="F123" s="75" t="s">
        <v>408</v>
      </c>
      <c r="G123" s="75"/>
      <c r="H123" s="75"/>
      <c r="I123" s="75" t="s">
        <v>439</v>
      </c>
      <c r="J123" s="76">
        <f t="shared" si="3"/>
        <v>23000</v>
      </c>
      <c r="K123" s="75">
        <f>VLOOKUP($C123,청소코드!$C$4:$J$188,8,FALSE)</f>
        <v>23000</v>
      </c>
      <c r="L123" s="77"/>
      <c r="M123" s="78"/>
      <c r="N123" s="77"/>
      <c r="O123" s="77"/>
    </row>
    <row r="124" spans="1:15" ht="12.75" customHeight="1">
      <c r="A124" s="74">
        <v>46062</v>
      </c>
      <c r="B124" s="75" t="str">
        <f t="shared" si="2"/>
        <v>월</v>
      </c>
      <c r="C124" s="75" t="s">
        <v>385</v>
      </c>
      <c r="D124" s="75" t="str">
        <f>VLOOKUP($C124,청소코드!$C$4:$J$188,3,FALSE)</f>
        <v>하람휴 1001</v>
      </c>
      <c r="E124" s="75">
        <f>VLOOKUP($C124,청소코드!$C$4:$J$188,4,FALSE)</f>
        <v>2</v>
      </c>
      <c r="F124" s="75" t="s">
        <v>408</v>
      </c>
      <c r="G124" s="75"/>
      <c r="H124" s="75"/>
      <c r="I124" s="75" t="s">
        <v>439</v>
      </c>
      <c r="J124" s="76">
        <f t="shared" si="3"/>
        <v>23000</v>
      </c>
      <c r="K124" s="75">
        <f>VLOOKUP($C124,청소코드!$C$4:$J$188,8,FALSE)</f>
        <v>23000</v>
      </c>
      <c r="L124" s="77"/>
      <c r="M124" s="78"/>
      <c r="N124" s="77"/>
      <c r="O124" s="77"/>
    </row>
    <row r="125" spans="1:15" ht="12.75" customHeight="1">
      <c r="A125" s="74">
        <v>46062</v>
      </c>
      <c r="B125" s="75" t="str">
        <f t="shared" si="2"/>
        <v>월</v>
      </c>
      <c r="C125" s="75" t="s">
        <v>307</v>
      </c>
      <c r="D125" s="75" t="str">
        <f>VLOOKUP($C125,청소코드!$C$4:$J$188,3,FALSE)</f>
        <v>미사 힐스 804</v>
      </c>
      <c r="E125" s="75">
        <f>VLOOKUP($C125,청소코드!$C$4:$J$188,4,FALSE)</f>
        <v>1</v>
      </c>
      <c r="F125" s="75" t="s">
        <v>465</v>
      </c>
      <c r="G125" s="75"/>
      <c r="H125" s="75"/>
      <c r="I125" s="75" t="s">
        <v>439</v>
      </c>
      <c r="J125" s="76">
        <f t="shared" si="3"/>
        <v>25000</v>
      </c>
      <c r="K125" s="75">
        <f>VLOOKUP($C125,청소코드!$C$4:$J$188,8,FALSE)</f>
        <v>25000</v>
      </c>
      <c r="L125" s="77"/>
      <c r="M125" s="78"/>
      <c r="N125" s="77"/>
      <c r="O125" s="77"/>
    </row>
    <row r="126" spans="1:15" ht="12.75" customHeight="1">
      <c r="A126" s="74">
        <v>46062</v>
      </c>
      <c r="B126" s="75" t="str">
        <f t="shared" si="2"/>
        <v>월</v>
      </c>
      <c r="C126" s="75" t="s">
        <v>416</v>
      </c>
      <c r="D126" s="75" t="str">
        <f>VLOOKUP($C126,청소코드!$C$4:$J$188,3,FALSE)</f>
        <v>청광1차 207</v>
      </c>
      <c r="E126" s="75">
        <f>VLOOKUP($C126,청소코드!$C$4:$J$188,4,FALSE)</f>
        <v>0</v>
      </c>
      <c r="F126" s="75" t="s">
        <v>426</v>
      </c>
      <c r="G126" s="75"/>
      <c r="H126" s="75"/>
      <c r="I126" s="75" t="s">
        <v>439</v>
      </c>
      <c r="J126" s="76">
        <f t="shared" si="3"/>
        <v>10000</v>
      </c>
      <c r="K126" s="75">
        <f>VLOOKUP($C126,청소코드!$C$4:$J$188,8,FALSE)</f>
        <v>10000</v>
      </c>
      <c r="L126" s="77"/>
      <c r="M126" s="78"/>
      <c r="N126" s="77"/>
      <c r="O126" s="77"/>
    </row>
    <row r="127" spans="1:15" ht="12.75" customHeight="1">
      <c r="A127" s="74">
        <v>46063</v>
      </c>
      <c r="B127" s="75" t="str">
        <f t="shared" si="2"/>
        <v>화</v>
      </c>
      <c r="C127" s="75" t="s">
        <v>334</v>
      </c>
      <c r="D127" s="75" t="str">
        <f>VLOOKUP($C127,청소코드!$C$4:$J$188,3,FALSE)</f>
        <v>센텀 2차 406</v>
      </c>
      <c r="E127" s="75">
        <f>VLOOKUP($C127,청소코드!$C$4:$J$188,4,FALSE)</f>
        <v>1.5</v>
      </c>
      <c r="F127" s="75" t="s">
        <v>429</v>
      </c>
      <c r="G127" s="75"/>
      <c r="H127" s="75"/>
      <c r="I127" s="75" t="s">
        <v>439</v>
      </c>
      <c r="J127" s="76">
        <f t="shared" si="3"/>
        <v>20000</v>
      </c>
      <c r="K127" s="75">
        <f>VLOOKUP($C127,청소코드!$C$4:$J$188,8,FALSE)</f>
        <v>20000</v>
      </c>
      <c r="L127" s="77"/>
      <c r="M127" s="78"/>
      <c r="N127" s="77"/>
      <c r="O127" s="77"/>
    </row>
    <row r="128" spans="1:15" ht="12.75" customHeight="1">
      <c r="A128" s="74">
        <v>46063</v>
      </c>
      <c r="B128" s="75" t="str">
        <f t="shared" si="2"/>
        <v>화</v>
      </c>
      <c r="C128" s="75" t="s">
        <v>325</v>
      </c>
      <c r="D128" s="75" t="str">
        <f>VLOOKUP($C128,청소코드!$C$4:$J$188,3,FALSE)</f>
        <v>센텀 2차 501</v>
      </c>
      <c r="E128" s="75">
        <f>VLOOKUP($C128,청소코드!$C$4:$J$188,4,FALSE)</f>
        <v>1.5</v>
      </c>
      <c r="F128" s="75" t="s">
        <v>429</v>
      </c>
      <c r="G128" s="75"/>
      <c r="H128" s="75"/>
      <c r="I128" s="75" t="s">
        <v>439</v>
      </c>
      <c r="J128" s="76">
        <f t="shared" si="3"/>
        <v>20000</v>
      </c>
      <c r="K128" s="75">
        <f>VLOOKUP($C128,청소코드!$C$4:$J$188,8,FALSE)</f>
        <v>20000</v>
      </c>
      <c r="L128" s="77"/>
      <c r="M128" s="78"/>
      <c r="N128" s="77"/>
      <c r="O128" s="77"/>
    </row>
    <row r="129" spans="1:15" ht="12.75" customHeight="1">
      <c r="A129" s="74">
        <v>46063</v>
      </c>
      <c r="B129" s="75" t="str">
        <f t="shared" si="2"/>
        <v>화</v>
      </c>
      <c r="C129" s="75" t="s">
        <v>341</v>
      </c>
      <c r="D129" s="75" t="str">
        <f>VLOOKUP($C129,청소코드!$C$4:$J$188,3,FALSE)</f>
        <v>예건 303</v>
      </c>
      <c r="E129" s="75">
        <f>VLOOKUP($C129,청소코드!$C$4:$J$188,4,FALSE)</f>
        <v>2</v>
      </c>
      <c r="F129" s="75" t="s">
        <v>438</v>
      </c>
      <c r="G129" s="75"/>
      <c r="H129" s="75"/>
      <c r="I129" s="75" t="s">
        <v>439</v>
      </c>
      <c r="J129" s="76">
        <f t="shared" si="3"/>
        <v>23000</v>
      </c>
      <c r="K129" s="75">
        <f>VLOOKUP($C129,청소코드!$C$4:$J$188,8,FALSE)</f>
        <v>23000</v>
      </c>
      <c r="L129" s="77"/>
      <c r="M129" s="78"/>
      <c r="N129" s="77"/>
      <c r="O129" s="77"/>
    </row>
    <row r="130" spans="1:15" ht="12.75" customHeight="1">
      <c r="A130" s="74">
        <v>46063</v>
      </c>
      <c r="B130" s="75" t="str">
        <f t="shared" si="2"/>
        <v>화</v>
      </c>
      <c r="C130" s="75" t="s">
        <v>356</v>
      </c>
      <c r="D130" s="75" t="str">
        <f>VLOOKUP($C130,청소코드!$C$4:$J$188,3,FALSE)</f>
        <v>성우 803</v>
      </c>
      <c r="E130" s="75">
        <f>VLOOKUP($C130,청소코드!$C$4:$J$188,4,FALSE)</f>
        <v>3</v>
      </c>
      <c r="F130" s="75" t="s">
        <v>438</v>
      </c>
      <c r="G130" s="75"/>
      <c r="H130" s="75"/>
      <c r="I130" s="75" t="s">
        <v>439</v>
      </c>
      <c r="J130" s="76">
        <f t="shared" si="3"/>
        <v>30000</v>
      </c>
      <c r="K130" s="75">
        <f>VLOOKUP($C130,청소코드!$C$4:$J$188,8,FALSE)</f>
        <v>30000</v>
      </c>
      <c r="L130" s="77"/>
      <c r="M130" s="78"/>
      <c r="N130" s="77"/>
      <c r="O130" s="77"/>
    </row>
    <row r="131" spans="1:15" ht="12.75" customHeight="1">
      <c r="A131" s="74">
        <v>46063</v>
      </c>
      <c r="B131" s="75" t="str">
        <f t="shared" ref="B131:B194" si="4">TEXT(A131,"aaa")</f>
        <v>화</v>
      </c>
      <c r="C131" s="75" t="s">
        <v>396</v>
      </c>
      <c r="D131" s="75" t="str">
        <f>VLOOKUP($C131,청소코드!$C$4:$J$188,3,FALSE)</f>
        <v>대치동 101호</v>
      </c>
      <c r="E131" s="75">
        <f>VLOOKUP($C131,청소코드!$C$4:$J$188,4,FALSE)</f>
        <v>2</v>
      </c>
      <c r="F131" s="75" t="s">
        <v>451</v>
      </c>
      <c r="G131" s="75"/>
      <c r="H131" s="75"/>
      <c r="I131" s="75" t="s">
        <v>439</v>
      </c>
      <c r="J131" s="76">
        <f t="shared" ref="J131:J194" si="5">SUM(K131:O131)</f>
        <v>23000</v>
      </c>
      <c r="K131" s="75">
        <f>VLOOKUP($C131,청소코드!$C$4:$J$188,8,FALSE)</f>
        <v>23000</v>
      </c>
      <c r="L131" s="77"/>
      <c r="M131" s="78"/>
      <c r="N131" s="77"/>
      <c r="O131" s="77"/>
    </row>
    <row r="132" spans="1:15" ht="12.75" customHeight="1">
      <c r="A132" s="74">
        <v>46063</v>
      </c>
      <c r="B132" s="75" t="str">
        <f t="shared" si="4"/>
        <v>화</v>
      </c>
      <c r="C132" s="75" t="s">
        <v>360</v>
      </c>
      <c r="D132" s="75" t="str">
        <f>VLOOKUP($C132,청소코드!$C$4:$J$188,3,FALSE)</f>
        <v>더하임 306</v>
      </c>
      <c r="E132" s="75">
        <f>VLOOKUP($C132,청소코드!$C$4:$J$188,4,FALSE)</f>
        <v>1.5</v>
      </c>
      <c r="F132" s="75" t="s">
        <v>426</v>
      </c>
      <c r="G132" s="75"/>
      <c r="H132" s="75"/>
      <c r="I132" s="75" t="s">
        <v>439</v>
      </c>
      <c r="J132" s="76">
        <f t="shared" si="5"/>
        <v>20000</v>
      </c>
      <c r="K132" s="75">
        <f>VLOOKUP($C132,청소코드!$C$4:$J$188,8,FALSE)</f>
        <v>20000</v>
      </c>
      <c r="L132" s="77"/>
      <c r="M132" s="78"/>
      <c r="N132" s="77"/>
      <c r="O132" s="77"/>
    </row>
    <row r="133" spans="1:15" ht="12.75" customHeight="1">
      <c r="A133" s="74">
        <v>46063</v>
      </c>
      <c r="B133" s="75" t="str">
        <f t="shared" si="4"/>
        <v>화</v>
      </c>
      <c r="C133" s="75" t="s">
        <v>390</v>
      </c>
      <c r="D133" s="75" t="str">
        <f>VLOOKUP($C133,청소코드!$C$4:$J$188,3,FALSE)</f>
        <v>더하임 406</v>
      </c>
      <c r="E133" s="75">
        <f>VLOOKUP($C133,청소코드!$C$4:$J$188,4,FALSE)</f>
        <v>1.5</v>
      </c>
      <c r="F133" s="75" t="s">
        <v>426</v>
      </c>
      <c r="G133" s="75"/>
      <c r="H133" s="75"/>
      <c r="I133" s="75" t="s">
        <v>439</v>
      </c>
      <c r="J133" s="76">
        <f t="shared" si="5"/>
        <v>20000</v>
      </c>
      <c r="K133" s="75">
        <f>VLOOKUP($C133,청소코드!$C$4:$J$188,8,FALSE)</f>
        <v>20000</v>
      </c>
      <c r="L133" s="77"/>
      <c r="M133" s="78"/>
      <c r="N133" s="77"/>
      <c r="O133" s="77"/>
    </row>
    <row r="134" spans="1:15" ht="12.75" customHeight="1">
      <c r="A134" s="74">
        <v>46063</v>
      </c>
      <c r="B134" s="75" t="str">
        <f t="shared" si="4"/>
        <v>화</v>
      </c>
      <c r="C134" s="75" t="s">
        <v>286</v>
      </c>
      <c r="D134" s="75" t="str">
        <f>VLOOKUP($C134,청소코드!$C$4:$J$188,3,FALSE)</f>
        <v>청광3차 1416</v>
      </c>
      <c r="E134" s="75">
        <f>VLOOKUP($C134,청소코드!$C$4:$J$188,4,FALSE)</f>
        <v>1</v>
      </c>
      <c r="F134" s="75" t="s">
        <v>449</v>
      </c>
      <c r="G134" s="75"/>
      <c r="H134" s="75"/>
      <c r="I134" s="75" t="s">
        <v>439</v>
      </c>
      <c r="J134" s="76">
        <f t="shared" si="5"/>
        <v>18000</v>
      </c>
      <c r="K134" s="75">
        <f>VLOOKUP($C134,청소코드!$C$4:$J$188,8,FALSE)</f>
        <v>18000</v>
      </c>
      <c r="L134" s="77"/>
      <c r="M134" s="78"/>
      <c r="N134" s="77"/>
      <c r="O134" s="77"/>
    </row>
    <row r="135" spans="1:15" ht="12.75" customHeight="1">
      <c r="A135" s="74">
        <v>46063</v>
      </c>
      <c r="B135" s="75" t="str">
        <f t="shared" si="4"/>
        <v>화</v>
      </c>
      <c r="C135" s="75" t="s">
        <v>287</v>
      </c>
      <c r="D135" s="75" t="str">
        <f>VLOOKUP($C135,청소코드!$C$4:$J$188,3,FALSE)</f>
        <v>청광3차 1412</v>
      </c>
      <c r="E135" s="75">
        <f>VLOOKUP($C135,청소코드!$C$4:$J$188,4,FALSE)</f>
        <v>1</v>
      </c>
      <c r="F135" s="75" t="s">
        <v>449</v>
      </c>
      <c r="G135" s="75"/>
      <c r="H135" s="75"/>
      <c r="I135" s="75" t="s">
        <v>439</v>
      </c>
      <c r="J135" s="76">
        <f t="shared" si="5"/>
        <v>18000</v>
      </c>
      <c r="K135" s="75">
        <f>VLOOKUP($C135,청소코드!$C$4:$J$188,8,FALSE)</f>
        <v>18000</v>
      </c>
      <c r="L135" s="77"/>
      <c r="M135" s="78"/>
      <c r="N135" s="77"/>
      <c r="O135" s="77"/>
    </row>
    <row r="136" spans="1:15" ht="12.75" customHeight="1">
      <c r="A136" s="74">
        <v>46063</v>
      </c>
      <c r="B136" s="75" t="str">
        <f t="shared" si="4"/>
        <v>화</v>
      </c>
      <c r="C136" s="75" t="s">
        <v>301</v>
      </c>
      <c r="D136" s="75" t="str">
        <f>VLOOKUP($C136,청소코드!$C$4:$J$188,3,FALSE)</f>
        <v>청광3차 507</v>
      </c>
      <c r="E136" s="75">
        <f>VLOOKUP($C136,청소코드!$C$4:$J$188,4,FALSE)</f>
        <v>1</v>
      </c>
      <c r="F136" s="75" t="s">
        <v>437</v>
      </c>
      <c r="G136" s="75"/>
      <c r="H136" s="75"/>
      <c r="I136" s="75" t="s">
        <v>439</v>
      </c>
      <c r="J136" s="76">
        <f t="shared" si="5"/>
        <v>18000</v>
      </c>
      <c r="K136" s="75">
        <f>VLOOKUP($C136,청소코드!$C$4:$J$188,8,FALSE)</f>
        <v>18000</v>
      </c>
      <c r="L136" s="77"/>
      <c r="M136" s="78"/>
      <c r="N136" s="77"/>
      <c r="O136" s="77"/>
    </row>
    <row r="137" spans="1:15" ht="12.75" customHeight="1">
      <c r="A137" s="74">
        <v>46063</v>
      </c>
      <c r="B137" s="75" t="str">
        <f t="shared" si="4"/>
        <v>화</v>
      </c>
      <c r="C137" s="75" t="s">
        <v>295</v>
      </c>
      <c r="D137" s="75" t="str">
        <f>VLOOKUP($C137,청소코드!$C$4:$J$188,3,FALSE)</f>
        <v>르센티 1801</v>
      </c>
      <c r="E137" s="75" t="str">
        <f>VLOOKUP($C137,청소코드!$C$4:$J$188,4,FALSE)</f>
        <v>복</v>
      </c>
      <c r="F137" s="75" t="s">
        <v>437</v>
      </c>
      <c r="G137" s="75"/>
      <c r="H137" s="75"/>
      <c r="I137" s="75" t="s">
        <v>439</v>
      </c>
      <c r="J137" s="76">
        <f t="shared" si="5"/>
        <v>20000</v>
      </c>
      <c r="K137" s="75">
        <f>VLOOKUP($C137,청소코드!$C$4:$J$188,8,FALSE)</f>
        <v>20000</v>
      </c>
      <c r="L137" s="77"/>
      <c r="M137" s="78"/>
      <c r="N137" s="77"/>
      <c r="O137" s="77"/>
    </row>
    <row r="138" spans="1:15" ht="12.75" customHeight="1">
      <c r="A138" s="74">
        <v>46063</v>
      </c>
      <c r="B138" s="75" t="str">
        <f t="shared" si="4"/>
        <v>화</v>
      </c>
      <c r="C138" s="75" t="s">
        <v>315</v>
      </c>
      <c r="D138" s="75" t="str">
        <f>VLOOKUP($C138,청소코드!$C$4:$J$188,3,FALSE)</f>
        <v>동구햇살 1203</v>
      </c>
      <c r="E138" s="75" t="str">
        <f>VLOOKUP($C138,청소코드!$C$4:$J$188,4,FALSE)</f>
        <v>복</v>
      </c>
      <c r="F138" s="75" t="s">
        <v>401</v>
      </c>
      <c r="G138" s="75"/>
      <c r="H138" s="75"/>
      <c r="I138" s="75" t="s">
        <v>439</v>
      </c>
      <c r="J138" s="76">
        <f t="shared" si="5"/>
        <v>20000</v>
      </c>
      <c r="K138" s="75">
        <f>VLOOKUP($C138,청소코드!$C$4:$J$188,8,FALSE)</f>
        <v>20000</v>
      </c>
      <c r="L138" s="77"/>
      <c r="M138" s="78"/>
      <c r="N138" s="77"/>
      <c r="O138" s="77"/>
    </row>
    <row r="139" spans="1:15" ht="12.75" customHeight="1">
      <c r="A139" s="74">
        <v>46063</v>
      </c>
      <c r="B139" s="75" t="str">
        <f t="shared" si="4"/>
        <v>화</v>
      </c>
      <c r="C139" s="75" t="s">
        <v>385</v>
      </c>
      <c r="D139" s="75" t="str">
        <f>VLOOKUP($C139,청소코드!$C$4:$J$188,3,FALSE)</f>
        <v>하람휴 1001</v>
      </c>
      <c r="E139" s="75">
        <f>VLOOKUP($C139,청소코드!$C$4:$J$188,4,FALSE)</f>
        <v>2</v>
      </c>
      <c r="F139" s="75" t="s">
        <v>408</v>
      </c>
      <c r="G139" s="75" t="s">
        <v>483</v>
      </c>
      <c r="H139" s="75"/>
      <c r="I139" s="75" t="s">
        <v>439</v>
      </c>
      <c r="J139" s="76">
        <f t="shared" si="5"/>
        <v>33000</v>
      </c>
      <c r="K139" s="75">
        <f>VLOOKUP($C139,청소코드!$C$4:$J$188,8,FALSE)</f>
        <v>23000</v>
      </c>
      <c r="L139" s="77">
        <v>10000</v>
      </c>
      <c r="M139" s="78"/>
      <c r="N139" s="77"/>
      <c r="O139" s="77"/>
    </row>
    <row r="140" spans="1:15" ht="12.75" customHeight="1">
      <c r="A140" s="74">
        <v>46063</v>
      </c>
      <c r="B140" s="75" t="str">
        <f t="shared" si="4"/>
        <v>화</v>
      </c>
      <c r="C140" s="75" t="s">
        <v>416</v>
      </c>
      <c r="D140" s="75" t="str">
        <f>VLOOKUP($C140,청소코드!$C$4:$J$188,3,FALSE)</f>
        <v>청광1차 207</v>
      </c>
      <c r="E140" s="75">
        <f>VLOOKUP($C140,청소코드!$C$4:$J$188,4,FALSE)</f>
        <v>0</v>
      </c>
      <c r="F140" s="75" t="s">
        <v>426</v>
      </c>
      <c r="G140" s="75"/>
      <c r="H140" s="75"/>
      <c r="I140" s="75" t="s">
        <v>439</v>
      </c>
      <c r="J140" s="76">
        <f t="shared" si="5"/>
        <v>10000</v>
      </c>
      <c r="K140" s="75">
        <f>VLOOKUP($C140,청소코드!$C$4:$J$188,8,FALSE)</f>
        <v>10000</v>
      </c>
      <c r="L140" s="77"/>
      <c r="M140" s="78"/>
      <c r="N140" s="77"/>
      <c r="O140" s="77"/>
    </row>
    <row r="141" spans="1:15" ht="12.75" customHeight="1">
      <c r="A141" s="74">
        <v>46064</v>
      </c>
      <c r="B141" s="75" t="str">
        <f t="shared" si="4"/>
        <v>수</v>
      </c>
      <c r="C141" s="75" t="s">
        <v>397</v>
      </c>
      <c r="D141" s="75" t="str">
        <f>VLOOKUP($C141,청소코드!$C$4:$J$188,3,FALSE)</f>
        <v>대치동 102호</v>
      </c>
      <c r="E141" s="75">
        <f>VLOOKUP($C141,청소코드!$C$4:$J$188,4,FALSE)</f>
        <v>1</v>
      </c>
      <c r="F141" s="75" t="s">
        <v>451</v>
      </c>
      <c r="G141" s="75"/>
      <c r="H141" s="75"/>
      <c r="I141" s="75" t="s">
        <v>439</v>
      </c>
      <c r="J141" s="76">
        <f t="shared" si="5"/>
        <v>18000</v>
      </c>
      <c r="K141" s="75">
        <f>VLOOKUP($C141,청소코드!$C$4:$J$188,8,FALSE)</f>
        <v>18000</v>
      </c>
      <c r="L141" s="77"/>
      <c r="M141" s="78"/>
      <c r="N141" s="77"/>
      <c r="O141" s="77"/>
    </row>
    <row r="142" spans="1:15" ht="12.75" customHeight="1">
      <c r="A142" s="74">
        <v>46064</v>
      </c>
      <c r="B142" s="75" t="str">
        <f t="shared" si="4"/>
        <v>수</v>
      </c>
      <c r="C142" s="75" t="s">
        <v>334</v>
      </c>
      <c r="D142" s="75" t="str">
        <f>VLOOKUP($C142,청소코드!$C$4:$J$188,3,FALSE)</f>
        <v>센텀 2차 406</v>
      </c>
      <c r="E142" s="75">
        <f>VLOOKUP($C142,청소코드!$C$4:$J$188,4,FALSE)</f>
        <v>1.5</v>
      </c>
      <c r="F142" s="75" t="s">
        <v>437</v>
      </c>
      <c r="G142" s="75"/>
      <c r="H142" s="75"/>
      <c r="I142" s="75" t="s">
        <v>439</v>
      </c>
      <c r="J142" s="76">
        <f t="shared" si="5"/>
        <v>20000</v>
      </c>
      <c r="K142" s="75">
        <f>VLOOKUP($C142,청소코드!$C$4:$J$188,8,FALSE)</f>
        <v>20000</v>
      </c>
      <c r="L142" s="77"/>
      <c r="M142" s="78"/>
      <c r="N142" s="77"/>
      <c r="O142" s="77"/>
    </row>
    <row r="143" spans="1:15" ht="12.75" customHeight="1">
      <c r="A143" s="74">
        <v>46064</v>
      </c>
      <c r="B143" s="75" t="str">
        <f t="shared" si="4"/>
        <v>수</v>
      </c>
      <c r="C143" s="75" t="s">
        <v>325</v>
      </c>
      <c r="D143" s="75" t="str">
        <f>VLOOKUP($C143,청소코드!$C$4:$J$188,3,FALSE)</f>
        <v>센텀 2차 501</v>
      </c>
      <c r="E143" s="75">
        <f>VLOOKUP($C143,청소코드!$C$4:$J$188,4,FALSE)</f>
        <v>1.5</v>
      </c>
      <c r="F143" s="75" t="s">
        <v>437</v>
      </c>
      <c r="G143" s="75"/>
      <c r="H143" s="75"/>
      <c r="I143" s="75" t="s">
        <v>439</v>
      </c>
      <c r="J143" s="76">
        <f t="shared" si="5"/>
        <v>20000</v>
      </c>
      <c r="K143" s="75">
        <f>VLOOKUP($C143,청소코드!$C$4:$J$188,8,FALSE)</f>
        <v>20000</v>
      </c>
      <c r="L143" s="77"/>
      <c r="M143" s="78"/>
      <c r="N143" s="77"/>
      <c r="O143" s="77"/>
    </row>
    <row r="144" spans="1:15" ht="12.75" customHeight="1">
      <c r="A144" s="74">
        <v>46064</v>
      </c>
      <c r="B144" s="75" t="str">
        <f t="shared" si="4"/>
        <v>수</v>
      </c>
      <c r="C144" s="75" t="s">
        <v>341</v>
      </c>
      <c r="D144" s="75" t="str">
        <f>VLOOKUP($C144,청소코드!$C$4:$J$188,3,FALSE)</f>
        <v>예건 303</v>
      </c>
      <c r="E144" s="75">
        <f>VLOOKUP($C144,청소코드!$C$4:$J$188,4,FALSE)</f>
        <v>2</v>
      </c>
      <c r="F144" s="75" t="s">
        <v>429</v>
      </c>
      <c r="G144" s="75"/>
      <c r="H144" s="75"/>
      <c r="I144" s="75" t="s">
        <v>439</v>
      </c>
      <c r="J144" s="76">
        <f t="shared" si="5"/>
        <v>23000</v>
      </c>
      <c r="K144" s="75">
        <f>VLOOKUP($C144,청소코드!$C$4:$J$188,8,FALSE)</f>
        <v>23000</v>
      </c>
      <c r="L144" s="77"/>
      <c r="M144" s="78"/>
      <c r="N144" s="77"/>
      <c r="O144" s="77"/>
    </row>
    <row r="145" spans="1:15" ht="12.75" customHeight="1">
      <c r="A145" s="74">
        <v>46064</v>
      </c>
      <c r="B145" s="75" t="str">
        <f t="shared" si="4"/>
        <v>수</v>
      </c>
      <c r="C145" s="75" t="s">
        <v>315</v>
      </c>
      <c r="D145" s="75" t="str">
        <f>VLOOKUP($C145,청소코드!$C$4:$J$188,3,FALSE)</f>
        <v>동구햇살 1203</v>
      </c>
      <c r="E145" s="75" t="str">
        <f>VLOOKUP($C145,청소코드!$C$4:$J$188,4,FALSE)</f>
        <v>복</v>
      </c>
      <c r="F145" s="75" t="s">
        <v>429</v>
      </c>
      <c r="G145" s="75"/>
      <c r="H145" s="75"/>
      <c r="I145" s="75" t="s">
        <v>439</v>
      </c>
      <c r="J145" s="76">
        <f t="shared" si="5"/>
        <v>20000</v>
      </c>
      <c r="K145" s="75">
        <f>VLOOKUP($C145,청소코드!$C$4:$J$188,8,FALSE)</f>
        <v>20000</v>
      </c>
      <c r="L145" s="77"/>
      <c r="M145" s="78"/>
      <c r="N145" s="77"/>
      <c r="O145" s="77"/>
    </row>
    <row r="146" spans="1:15" ht="12.75" customHeight="1">
      <c r="A146" s="74">
        <v>46064</v>
      </c>
      <c r="B146" s="75" t="str">
        <f t="shared" si="4"/>
        <v>수</v>
      </c>
      <c r="C146" s="75" t="s">
        <v>360</v>
      </c>
      <c r="D146" s="75" t="str">
        <f>VLOOKUP($C146,청소코드!$C$4:$J$188,3,FALSE)</f>
        <v>더하임 306</v>
      </c>
      <c r="E146" s="75">
        <f>VLOOKUP($C146,청소코드!$C$4:$J$188,4,FALSE)</f>
        <v>1.5</v>
      </c>
      <c r="F146" s="75" t="s">
        <v>401</v>
      </c>
      <c r="G146" s="75"/>
      <c r="H146" s="75"/>
      <c r="I146" s="75" t="s">
        <v>439</v>
      </c>
      <c r="J146" s="76">
        <f t="shared" si="5"/>
        <v>20000</v>
      </c>
      <c r="K146" s="75">
        <f>VLOOKUP($C146,청소코드!$C$4:$J$188,8,FALSE)</f>
        <v>20000</v>
      </c>
      <c r="L146" s="77"/>
      <c r="M146" s="78"/>
      <c r="N146" s="77"/>
      <c r="O146" s="77"/>
    </row>
    <row r="147" spans="1:15" ht="12.75" customHeight="1">
      <c r="A147" s="74">
        <v>46064</v>
      </c>
      <c r="B147" s="75" t="str">
        <f t="shared" si="4"/>
        <v>수</v>
      </c>
      <c r="C147" s="75" t="s">
        <v>390</v>
      </c>
      <c r="D147" s="75" t="str">
        <f>VLOOKUP($C147,청소코드!$C$4:$J$188,3,FALSE)</f>
        <v>더하임 406</v>
      </c>
      <c r="E147" s="75">
        <f>VLOOKUP($C147,청소코드!$C$4:$J$188,4,FALSE)</f>
        <v>1.5</v>
      </c>
      <c r="F147" s="75" t="s">
        <v>401</v>
      </c>
      <c r="G147" s="75"/>
      <c r="H147" s="75"/>
      <c r="I147" s="75" t="s">
        <v>439</v>
      </c>
      <c r="J147" s="76">
        <f t="shared" si="5"/>
        <v>20000</v>
      </c>
      <c r="K147" s="75">
        <f>VLOOKUP($C147,청소코드!$C$4:$J$188,8,FALSE)</f>
        <v>20000</v>
      </c>
      <c r="L147" s="77"/>
      <c r="M147" s="78"/>
      <c r="N147" s="77"/>
      <c r="O147" s="77"/>
    </row>
    <row r="148" spans="1:15" ht="12.75" customHeight="1">
      <c r="A148" s="74">
        <v>46064</v>
      </c>
      <c r="B148" s="75" t="str">
        <f t="shared" si="4"/>
        <v>수</v>
      </c>
      <c r="C148" s="75" t="s">
        <v>417</v>
      </c>
      <c r="D148" s="75" t="str">
        <f>VLOOKUP($C148,청소코드!$C$4:$J$188,3,FALSE)</f>
        <v>더하임 504</v>
      </c>
      <c r="E148" s="75">
        <f>VLOOKUP($C148,청소코드!$C$4:$J$188,4,FALSE)</f>
        <v>1</v>
      </c>
      <c r="F148" s="75" t="s">
        <v>426</v>
      </c>
      <c r="G148" s="75"/>
      <c r="H148" s="75"/>
      <c r="I148" s="75" t="s">
        <v>439</v>
      </c>
      <c r="J148" s="76">
        <f t="shared" si="5"/>
        <v>18000</v>
      </c>
      <c r="K148" s="75">
        <f>VLOOKUP($C148,청소코드!$C$4:$J$188,8,FALSE)</f>
        <v>18000</v>
      </c>
      <c r="L148" s="77"/>
      <c r="M148" s="78"/>
      <c r="N148" s="77"/>
      <c r="O148" s="77"/>
    </row>
    <row r="149" spans="1:15" ht="12.75" customHeight="1">
      <c r="A149" s="74">
        <v>46064</v>
      </c>
      <c r="B149" s="75" t="str">
        <f t="shared" si="4"/>
        <v>수</v>
      </c>
      <c r="C149" s="75" t="s">
        <v>361</v>
      </c>
      <c r="D149" s="75" t="str">
        <f>VLOOKUP($C149,청소코드!$C$4:$J$188,3,FALSE)</f>
        <v>더하임 506</v>
      </c>
      <c r="E149" s="75">
        <f>VLOOKUP($C149,청소코드!$C$4:$J$188,4,FALSE)</f>
        <v>1.5</v>
      </c>
      <c r="F149" s="75" t="s">
        <v>426</v>
      </c>
      <c r="G149" s="75"/>
      <c r="H149" s="75"/>
      <c r="I149" s="75" t="s">
        <v>439</v>
      </c>
      <c r="J149" s="76">
        <f t="shared" si="5"/>
        <v>20000</v>
      </c>
      <c r="K149" s="75">
        <f>VLOOKUP($C149,청소코드!$C$4:$J$188,8,FALSE)</f>
        <v>20000</v>
      </c>
      <c r="L149" s="77"/>
      <c r="M149" s="78"/>
      <c r="N149" s="77"/>
      <c r="O149" s="77"/>
    </row>
    <row r="150" spans="1:15" ht="12.75" customHeight="1">
      <c r="A150" s="74">
        <v>46064</v>
      </c>
      <c r="B150" s="75" t="str">
        <f t="shared" si="4"/>
        <v>수</v>
      </c>
      <c r="C150" s="75" t="s">
        <v>292</v>
      </c>
      <c r="D150" s="75" t="str">
        <f>VLOOKUP($C150,청소코드!$C$4:$J$188,3,FALSE)</f>
        <v>오앤 401</v>
      </c>
      <c r="E150" s="75">
        <f>VLOOKUP($C150,청소코드!$C$4:$J$188,4,FALSE)</f>
        <v>1</v>
      </c>
      <c r="F150" s="75" t="s">
        <v>426</v>
      </c>
      <c r="G150" s="75"/>
      <c r="H150" s="75"/>
      <c r="I150" s="75" t="s">
        <v>439</v>
      </c>
      <c r="J150" s="76">
        <f t="shared" si="5"/>
        <v>18000</v>
      </c>
      <c r="K150" s="75">
        <f>VLOOKUP($C150,청소코드!$C$4:$J$188,8,FALSE)</f>
        <v>18000</v>
      </c>
      <c r="L150" s="77"/>
      <c r="M150" s="78"/>
      <c r="N150" s="77"/>
      <c r="O150" s="77"/>
    </row>
    <row r="151" spans="1:15" ht="12.75" customHeight="1">
      <c r="A151" s="74">
        <v>46064</v>
      </c>
      <c r="B151" s="75" t="str">
        <f t="shared" si="4"/>
        <v>수</v>
      </c>
      <c r="C151" s="75" t="s">
        <v>286</v>
      </c>
      <c r="D151" s="75" t="str">
        <f>VLOOKUP($C151,청소코드!$C$4:$J$188,3,FALSE)</f>
        <v>청광3차 1416</v>
      </c>
      <c r="E151" s="75">
        <f>VLOOKUP($C151,청소코드!$C$4:$J$188,4,FALSE)</f>
        <v>1</v>
      </c>
      <c r="F151" s="75" t="s">
        <v>449</v>
      </c>
      <c r="G151" s="75"/>
      <c r="H151" s="75"/>
      <c r="I151" s="75" t="s">
        <v>439</v>
      </c>
      <c r="J151" s="76">
        <f t="shared" si="5"/>
        <v>18000</v>
      </c>
      <c r="K151" s="75">
        <f>VLOOKUP($C151,청소코드!$C$4:$J$188,8,FALSE)</f>
        <v>18000</v>
      </c>
      <c r="L151" s="77"/>
      <c r="M151" s="78"/>
      <c r="N151" s="77"/>
      <c r="O151" s="77"/>
    </row>
    <row r="152" spans="1:15" ht="12.75" customHeight="1">
      <c r="A152" s="74">
        <v>46064</v>
      </c>
      <c r="B152" s="75" t="str">
        <f t="shared" si="4"/>
        <v>수</v>
      </c>
      <c r="C152" s="75" t="s">
        <v>301</v>
      </c>
      <c r="D152" s="75" t="str">
        <f>VLOOKUP($C152,청소코드!$C$4:$J$188,3,FALSE)</f>
        <v>청광3차 507</v>
      </c>
      <c r="E152" s="75">
        <f>VLOOKUP($C152,청소코드!$C$4:$J$188,4,FALSE)</f>
        <v>1</v>
      </c>
      <c r="F152" s="75" t="s">
        <v>449</v>
      </c>
      <c r="G152" s="75"/>
      <c r="H152" s="75"/>
      <c r="I152" s="75" t="s">
        <v>439</v>
      </c>
      <c r="J152" s="76">
        <f t="shared" si="5"/>
        <v>18000</v>
      </c>
      <c r="K152" s="75">
        <f>VLOOKUP($C152,청소코드!$C$4:$J$188,8,FALSE)</f>
        <v>18000</v>
      </c>
      <c r="L152" s="77"/>
      <c r="M152" s="78"/>
      <c r="N152" s="77"/>
      <c r="O152" s="77"/>
    </row>
    <row r="153" spans="1:15" ht="12.75" customHeight="1">
      <c r="A153" s="74">
        <v>46064</v>
      </c>
      <c r="B153" s="75" t="str">
        <f t="shared" si="4"/>
        <v>수</v>
      </c>
      <c r="C153" s="75" t="s">
        <v>287</v>
      </c>
      <c r="D153" s="75" t="str">
        <f>VLOOKUP($C153,청소코드!$C$4:$J$188,3,FALSE)</f>
        <v>청광3차 1412</v>
      </c>
      <c r="E153" s="75">
        <f>VLOOKUP($C153,청소코드!$C$4:$J$188,4,FALSE)</f>
        <v>1</v>
      </c>
      <c r="F153" s="75" t="s">
        <v>449</v>
      </c>
      <c r="G153" s="75"/>
      <c r="H153" s="75"/>
      <c r="I153" s="75" t="s">
        <v>439</v>
      </c>
      <c r="J153" s="76">
        <f t="shared" si="5"/>
        <v>18000</v>
      </c>
      <c r="K153" s="75">
        <f>VLOOKUP($C153,청소코드!$C$4:$J$188,8,FALSE)</f>
        <v>18000</v>
      </c>
      <c r="L153" s="77"/>
      <c r="M153" s="78"/>
      <c r="N153" s="77"/>
      <c r="O153" s="77"/>
    </row>
    <row r="154" spans="1:15" ht="12.75" customHeight="1">
      <c r="A154" s="74">
        <v>46064</v>
      </c>
      <c r="B154" s="75" t="str">
        <f t="shared" si="4"/>
        <v>수</v>
      </c>
      <c r="C154" s="75" t="s">
        <v>484</v>
      </c>
      <c r="D154" s="75" t="s">
        <v>485</v>
      </c>
      <c r="E154" s="75">
        <f>VLOOKUP($C154,청소코드!$C$4:$J$188,4,FALSE)</f>
        <v>1</v>
      </c>
      <c r="F154" s="75" t="s">
        <v>449</v>
      </c>
      <c r="G154" s="75"/>
      <c r="H154" s="75"/>
      <c r="I154" s="75" t="s">
        <v>439</v>
      </c>
      <c r="J154" s="76">
        <v>50000</v>
      </c>
      <c r="K154" s="75">
        <f>VLOOKUP($C154,청소코드!$C$4:$J$188,8,FALSE)</f>
        <v>18000</v>
      </c>
      <c r="L154" s="77"/>
      <c r="M154" s="78"/>
      <c r="N154" s="77"/>
      <c r="O154" s="77"/>
    </row>
    <row r="155" spans="1:15" ht="12.75" customHeight="1">
      <c r="A155" s="74">
        <v>46064</v>
      </c>
      <c r="B155" s="75" t="str">
        <f t="shared" si="4"/>
        <v>수</v>
      </c>
      <c r="C155" s="75" t="s">
        <v>484</v>
      </c>
      <c r="D155" s="75" t="s">
        <v>485</v>
      </c>
      <c r="E155" s="75">
        <f>VLOOKUP($C155,청소코드!$C$4:$J$188,4,FALSE)</f>
        <v>1</v>
      </c>
      <c r="F155" s="75" t="s">
        <v>401</v>
      </c>
      <c r="G155" s="75"/>
      <c r="H155" s="75"/>
      <c r="I155" s="75" t="s">
        <v>439</v>
      </c>
      <c r="J155" s="76">
        <v>50000</v>
      </c>
      <c r="K155" s="75">
        <f>VLOOKUP($C155,청소코드!$C$4:$J$188,8,FALSE)</f>
        <v>18000</v>
      </c>
      <c r="L155" s="77"/>
      <c r="M155" s="78"/>
      <c r="N155" s="77"/>
      <c r="O155" s="77"/>
    </row>
    <row r="156" spans="1:15" ht="12.75" customHeight="1">
      <c r="A156" s="74">
        <v>46064</v>
      </c>
      <c r="B156" s="75" t="str">
        <f t="shared" si="4"/>
        <v>수</v>
      </c>
      <c r="C156" s="75" t="s">
        <v>283</v>
      </c>
      <c r="D156" s="75" t="str">
        <f>VLOOKUP($C156,청소코드!$C$4:$J$188,3,FALSE)</f>
        <v>강동QV 1604</v>
      </c>
      <c r="E156" s="75">
        <f>VLOOKUP($C156,청소코드!$C$4:$J$188,4,FALSE)</f>
        <v>1</v>
      </c>
      <c r="F156" s="75" t="s">
        <v>438</v>
      </c>
      <c r="G156" s="75"/>
      <c r="H156" s="75"/>
      <c r="I156" s="75" t="s">
        <v>439</v>
      </c>
      <c r="J156" s="76">
        <f t="shared" si="5"/>
        <v>18000</v>
      </c>
      <c r="K156" s="75">
        <f>VLOOKUP($C156,청소코드!$C$4:$J$188,8,FALSE)</f>
        <v>18000</v>
      </c>
      <c r="L156" s="77"/>
      <c r="M156" s="78"/>
      <c r="N156" s="77"/>
      <c r="O156" s="77"/>
    </row>
    <row r="157" spans="1:15" ht="12.75" customHeight="1">
      <c r="A157" s="74">
        <v>46064</v>
      </c>
      <c r="B157" s="75" t="str">
        <f t="shared" si="4"/>
        <v>수</v>
      </c>
      <c r="C157" s="75" t="s">
        <v>295</v>
      </c>
      <c r="D157" s="75" t="str">
        <f>VLOOKUP($C157,청소코드!$C$4:$J$188,3,FALSE)</f>
        <v>르센티 1801</v>
      </c>
      <c r="E157" s="75" t="str">
        <f>VLOOKUP($C157,청소코드!$C$4:$J$188,4,FALSE)</f>
        <v>복</v>
      </c>
      <c r="F157" s="75" t="s">
        <v>438</v>
      </c>
      <c r="G157" s="75"/>
      <c r="H157" s="75"/>
      <c r="I157" s="75" t="s">
        <v>439</v>
      </c>
      <c r="J157" s="76">
        <f t="shared" si="5"/>
        <v>20000</v>
      </c>
      <c r="K157" s="75">
        <f>VLOOKUP($C157,청소코드!$C$4:$J$188,8,FALSE)</f>
        <v>20000</v>
      </c>
      <c r="L157" s="77"/>
      <c r="M157" s="78"/>
      <c r="N157" s="77"/>
      <c r="O157" s="77"/>
    </row>
    <row r="158" spans="1:15" ht="12.75" customHeight="1">
      <c r="A158" s="74">
        <v>46064</v>
      </c>
      <c r="B158" s="75" t="str">
        <f t="shared" si="4"/>
        <v>수</v>
      </c>
      <c r="C158" s="75" t="s">
        <v>416</v>
      </c>
      <c r="D158" s="75" t="str">
        <f>VLOOKUP($C158,청소코드!$C$4:$J$188,3,FALSE)</f>
        <v>청광1차 207</v>
      </c>
      <c r="E158" s="75">
        <f>VLOOKUP($C158,청소코드!$C$4:$J$188,4,FALSE)</f>
        <v>0</v>
      </c>
      <c r="F158" s="75" t="s">
        <v>426</v>
      </c>
      <c r="G158" s="75"/>
      <c r="H158" s="75"/>
      <c r="I158" s="75" t="s">
        <v>439</v>
      </c>
      <c r="J158" s="76">
        <f t="shared" si="5"/>
        <v>10000</v>
      </c>
      <c r="K158" s="75">
        <f>VLOOKUP($C158,청소코드!$C$4:$J$188,8,FALSE)</f>
        <v>10000</v>
      </c>
      <c r="L158" s="77"/>
      <c r="M158" s="78"/>
      <c r="N158" s="77"/>
      <c r="O158" s="77"/>
    </row>
    <row r="159" spans="1:15" ht="12.75" customHeight="1">
      <c r="A159" s="74">
        <v>46065</v>
      </c>
      <c r="B159" s="75" t="str">
        <f t="shared" si="4"/>
        <v>목</v>
      </c>
      <c r="C159" s="75" t="s">
        <v>393</v>
      </c>
      <c r="D159" s="75" t="str">
        <f>VLOOKUP($C159,청소코드!$C$4:$J$188,3,FALSE)</f>
        <v>대치동 103호</v>
      </c>
      <c r="E159" s="75">
        <f>VLOOKUP($C159,청소코드!$C$4:$J$188,4,FALSE)</f>
        <v>1.5</v>
      </c>
      <c r="F159" s="75" t="s">
        <v>451</v>
      </c>
      <c r="G159" s="75"/>
      <c r="H159" s="75"/>
      <c r="I159" s="75" t="s">
        <v>439</v>
      </c>
      <c r="J159" s="76">
        <f t="shared" si="5"/>
        <v>20000</v>
      </c>
      <c r="K159" s="75">
        <f>VLOOKUP($C159,청소코드!$C$4:$J$188,8,FALSE)</f>
        <v>20000</v>
      </c>
      <c r="L159" s="77"/>
      <c r="M159" s="78"/>
      <c r="N159" s="77"/>
      <c r="O159" s="77"/>
    </row>
    <row r="160" spans="1:15" ht="12.75" customHeight="1">
      <c r="A160" s="74">
        <v>46065</v>
      </c>
      <c r="B160" s="75" t="str">
        <f t="shared" si="4"/>
        <v>목</v>
      </c>
      <c r="C160" s="75" t="s">
        <v>339</v>
      </c>
      <c r="D160" s="75" t="str">
        <f>VLOOKUP($C160,청소코드!$C$4:$J$188,3,FALSE)</f>
        <v>센텀 2차 606</v>
      </c>
      <c r="E160" s="75">
        <f>VLOOKUP($C160,청소코드!$C$4:$J$188,4,FALSE)</f>
        <v>1.5</v>
      </c>
      <c r="F160" s="75" t="s">
        <v>401</v>
      </c>
      <c r="G160" s="75"/>
      <c r="H160" s="75"/>
      <c r="I160" s="75" t="s">
        <v>439</v>
      </c>
      <c r="J160" s="76">
        <f t="shared" si="5"/>
        <v>20000</v>
      </c>
      <c r="K160" s="75">
        <f>VLOOKUP($C160,청소코드!$C$4:$J$188,8,FALSE)</f>
        <v>20000</v>
      </c>
      <c r="L160" s="77"/>
      <c r="M160" s="78"/>
      <c r="N160" s="77"/>
      <c r="O160" s="77"/>
    </row>
    <row r="161" spans="1:15" ht="12.75" customHeight="1">
      <c r="A161" s="74">
        <v>46065</v>
      </c>
      <c r="B161" s="75" t="str">
        <f t="shared" si="4"/>
        <v>목</v>
      </c>
      <c r="C161" s="75" t="s">
        <v>286</v>
      </c>
      <c r="D161" s="75" t="str">
        <f>VLOOKUP($C161,청소코드!$C$4:$J$188,3,FALSE)</f>
        <v>청광3차 1416</v>
      </c>
      <c r="E161" s="75">
        <f>VLOOKUP($C161,청소코드!$C$4:$J$188,4,FALSE)</f>
        <v>1</v>
      </c>
      <c r="F161" s="75" t="s">
        <v>401</v>
      </c>
      <c r="G161" s="75"/>
      <c r="H161" s="75"/>
      <c r="I161" s="75" t="s">
        <v>439</v>
      </c>
      <c r="J161" s="76">
        <f t="shared" si="5"/>
        <v>18000</v>
      </c>
      <c r="K161" s="75">
        <f>VLOOKUP($C161,청소코드!$C$4:$J$188,8,FALSE)</f>
        <v>18000</v>
      </c>
      <c r="L161" s="77"/>
      <c r="M161" s="78"/>
      <c r="N161" s="77"/>
      <c r="O161" s="77"/>
    </row>
    <row r="162" spans="1:15" ht="12.75" customHeight="1">
      <c r="A162" s="74">
        <v>46065</v>
      </c>
      <c r="B162" s="75" t="str">
        <f t="shared" si="4"/>
        <v>목</v>
      </c>
      <c r="C162" s="75" t="s">
        <v>369</v>
      </c>
      <c r="D162" s="75" t="str">
        <f>VLOOKUP($C162,청소코드!$C$4:$J$188,3,FALSE)</f>
        <v>성우 402</v>
      </c>
      <c r="E162" s="75">
        <f>VLOOKUP($C162,청소코드!$C$4:$J$188,4,FALSE)</f>
        <v>3</v>
      </c>
      <c r="F162" s="75" t="s">
        <v>426</v>
      </c>
      <c r="G162" s="75"/>
      <c r="H162" s="75"/>
      <c r="I162" s="75" t="s">
        <v>439</v>
      </c>
      <c r="J162" s="76">
        <f t="shared" si="5"/>
        <v>30000</v>
      </c>
      <c r="K162" s="75">
        <f>VLOOKUP($C162,청소코드!$C$4:$J$188,8,FALSE)</f>
        <v>30000</v>
      </c>
      <c r="L162" s="77"/>
      <c r="M162" s="78"/>
      <c r="N162" s="77"/>
      <c r="O162" s="77"/>
    </row>
    <row r="163" spans="1:15" ht="12.75" customHeight="1">
      <c r="A163" s="74">
        <v>46065</v>
      </c>
      <c r="B163" s="75" t="str">
        <f t="shared" si="4"/>
        <v>목</v>
      </c>
      <c r="C163" s="75" t="s">
        <v>336</v>
      </c>
      <c r="D163" s="75" t="str">
        <f>VLOOKUP($C163,청소코드!$C$4:$J$188,3,FALSE)</f>
        <v>예건 205</v>
      </c>
      <c r="E163" s="75">
        <f>VLOOKUP($C163,청소코드!$C$4:$J$188,4,FALSE)</f>
        <v>1</v>
      </c>
      <c r="F163" s="75" t="s">
        <v>426</v>
      </c>
      <c r="G163" s="75"/>
      <c r="H163" s="75"/>
      <c r="I163" s="75" t="s">
        <v>439</v>
      </c>
      <c r="J163" s="76">
        <f t="shared" si="5"/>
        <v>28000</v>
      </c>
      <c r="K163" s="75">
        <f>VLOOKUP($C163,청소코드!$C$4:$J$188,8,FALSE)</f>
        <v>18000</v>
      </c>
      <c r="L163" s="77">
        <v>10000</v>
      </c>
      <c r="M163" s="78"/>
      <c r="N163" s="77"/>
      <c r="O163" s="77"/>
    </row>
    <row r="164" spans="1:15" ht="12.75" customHeight="1">
      <c r="A164" s="74">
        <v>46065</v>
      </c>
      <c r="B164" s="75" t="str">
        <f t="shared" si="4"/>
        <v>목</v>
      </c>
      <c r="C164" s="75" t="s">
        <v>372</v>
      </c>
      <c r="D164" s="75" t="str">
        <f>VLOOKUP($C164,청소코드!$C$4:$J$188,3,FALSE)</f>
        <v>예건 702</v>
      </c>
      <c r="E164" s="75">
        <f>VLOOKUP($C164,청소코드!$C$4:$J$188,4,FALSE)</f>
        <v>1</v>
      </c>
      <c r="F164" s="75" t="s">
        <v>426</v>
      </c>
      <c r="G164" s="75"/>
      <c r="H164" s="75"/>
      <c r="I164" s="75" t="s">
        <v>439</v>
      </c>
      <c r="J164" s="76">
        <f t="shared" si="5"/>
        <v>18000</v>
      </c>
      <c r="K164" s="75">
        <f>VLOOKUP($C164,청소코드!$C$4:$J$188,8,FALSE)</f>
        <v>18000</v>
      </c>
      <c r="L164" s="77"/>
      <c r="M164" s="78"/>
      <c r="N164" s="77"/>
      <c r="O164" s="77"/>
    </row>
    <row r="165" spans="1:15" ht="12.75" customHeight="1">
      <c r="A165" s="74">
        <v>46065</v>
      </c>
      <c r="B165" s="75" t="str">
        <f t="shared" si="4"/>
        <v>목</v>
      </c>
      <c r="C165" s="75" t="s">
        <v>373</v>
      </c>
      <c r="D165" s="75" t="str">
        <f>VLOOKUP($C165,청소코드!$C$4:$J$188,3,FALSE)</f>
        <v>더하임 204</v>
      </c>
      <c r="E165" s="75">
        <f>VLOOKUP($C165,청소코드!$C$4:$J$188,4,FALSE)</f>
        <v>1</v>
      </c>
      <c r="F165" s="75" t="s">
        <v>429</v>
      </c>
      <c r="G165" s="75"/>
      <c r="H165" s="75"/>
      <c r="I165" s="75" t="s">
        <v>439</v>
      </c>
      <c r="J165" s="76">
        <f t="shared" si="5"/>
        <v>18000</v>
      </c>
      <c r="K165" s="75">
        <f>VLOOKUP($C165,청소코드!$C$4:$J$188,8,FALSE)</f>
        <v>18000</v>
      </c>
      <c r="L165" s="77"/>
      <c r="M165" s="78"/>
      <c r="N165" s="77"/>
      <c r="O165" s="77"/>
    </row>
    <row r="166" spans="1:15" ht="12.75" customHeight="1">
      <c r="A166" s="74">
        <v>46065</v>
      </c>
      <c r="B166" s="75" t="str">
        <f t="shared" si="4"/>
        <v>목</v>
      </c>
      <c r="C166" s="75" t="s">
        <v>360</v>
      </c>
      <c r="D166" s="75" t="str">
        <f>VLOOKUP($C166,청소코드!$C$4:$J$188,3,FALSE)</f>
        <v>더하임 306</v>
      </c>
      <c r="E166" s="75">
        <f>VLOOKUP($C166,청소코드!$C$4:$J$188,4,FALSE)</f>
        <v>1.5</v>
      </c>
      <c r="F166" s="75" t="s">
        <v>429</v>
      </c>
      <c r="G166" s="75"/>
      <c r="H166" s="75"/>
      <c r="I166" s="75" t="s">
        <v>439</v>
      </c>
      <c r="J166" s="76">
        <f t="shared" si="5"/>
        <v>20000</v>
      </c>
      <c r="K166" s="75">
        <f>VLOOKUP($C166,청소코드!$C$4:$J$188,8,FALSE)</f>
        <v>20000</v>
      </c>
      <c r="L166" s="77"/>
      <c r="M166" s="78"/>
      <c r="N166" s="77"/>
      <c r="O166" s="77"/>
    </row>
    <row r="167" spans="1:15" ht="12.75" customHeight="1">
      <c r="A167" s="74">
        <v>46065</v>
      </c>
      <c r="B167" s="75" t="str">
        <f t="shared" si="4"/>
        <v>목</v>
      </c>
      <c r="C167" s="75" t="s">
        <v>304</v>
      </c>
      <c r="D167" s="75" t="str">
        <f>VLOOKUP($C167,청소코드!$C$4:$J$188,3,FALSE)</f>
        <v>렘브 505</v>
      </c>
      <c r="E167" s="75">
        <f>VLOOKUP($C167,청소코드!$C$4:$J$188,4,FALSE)</f>
        <v>1</v>
      </c>
      <c r="F167" s="75" t="s">
        <v>438</v>
      </c>
      <c r="G167" s="75"/>
      <c r="H167" s="75"/>
      <c r="I167" s="75" t="s">
        <v>439</v>
      </c>
      <c r="J167" s="76">
        <f t="shared" si="5"/>
        <v>18000</v>
      </c>
      <c r="K167" s="75">
        <f>VLOOKUP($C167,청소코드!$C$4:$J$188,8,FALSE)</f>
        <v>18000</v>
      </c>
      <c r="L167" s="77"/>
      <c r="M167" s="78"/>
      <c r="N167" s="77"/>
      <c r="O167" s="77"/>
    </row>
    <row r="168" spans="1:15" ht="12.75" customHeight="1">
      <c r="A168" s="74">
        <v>46065</v>
      </c>
      <c r="B168" s="75" t="str">
        <f t="shared" si="4"/>
        <v>목</v>
      </c>
      <c r="C168" s="75" t="s">
        <v>315</v>
      </c>
      <c r="D168" s="75" t="str">
        <f>VLOOKUP($C168,청소코드!$C$4:$J$188,3,FALSE)</f>
        <v>동구햇살 1203</v>
      </c>
      <c r="E168" s="75" t="str">
        <f>VLOOKUP($C168,청소코드!$C$4:$J$188,4,FALSE)</f>
        <v>복</v>
      </c>
      <c r="F168" s="75" t="s">
        <v>438</v>
      </c>
      <c r="G168" s="75"/>
      <c r="H168" s="75"/>
      <c r="I168" s="75" t="s">
        <v>439</v>
      </c>
      <c r="J168" s="76">
        <f t="shared" si="5"/>
        <v>20000</v>
      </c>
      <c r="K168" s="75">
        <f>VLOOKUP($C168,청소코드!$C$4:$J$188,8,FALSE)</f>
        <v>20000</v>
      </c>
      <c r="L168" s="77"/>
      <c r="M168" s="78"/>
      <c r="N168" s="77"/>
      <c r="O168" s="77"/>
    </row>
    <row r="169" spans="1:15" ht="12.75" customHeight="1">
      <c r="A169" s="74">
        <v>46065</v>
      </c>
      <c r="B169" s="75" t="str">
        <f t="shared" si="4"/>
        <v>목</v>
      </c>
      <c r="C169" s="75" t="s">
        <v>295</v>
      </c>
      <c r="D169" s="75" t="str">
        <f>VLOOKUP($C169,청소코드!$C$4:$J$188,3,FALSE)</f>
        <v>르센티 1801</v>
      </c>
      <c r="E169" s="75" t="str">
        <f>VLOOKUP($C169,청소코드!$C$4:$J$188,4,FALSE)</f>
        <v>복</v>
      </c>
      <c r="F169" s="75" t="s">
        <v>437</v>
      </c>
      <c r="G169" s="75"/>
      <c r="H169" s="75"/>
      <c r="I169" s="75" t="s">
        <v>439</v>
      </c>
      <c r="J169" s="76">
        <f t="shared" si="5"/>
        <v>20000</v>
      </c>
      <c r="K169" s="75">
        <f>VLOOKUP($C169,청소코드!$C$4:$J$188,8,FALSE)</f>
        <v>20000</v>
      </c>
      <c r="L169" s="77"/>
      <c r="M169" s="78"/>
      <c r="N169" s="77"/>
      <c r="O169" s="77"/>
    </row>
    <row r="170" spans="1:15" ht="12.75" customHeight="1">
      <c r="A170" s="74">
        <v>46065</v>
      </c>
      <c r="B170" s="75" t="str">
        <f t="shared" si="4"/>
        <v>목</v>
      </c>
      <c r="C170" s="75" t="s">
        <v>292</v>
      </c>
      <c r="D170" s="75" t="str">
        <f>VLOOKUP($C170,청소코드!$C$4:$J$188,3,FALSE)</f>
        <v>오앤 401</v>
      </c>
      <c r="E170" s="75">
        <f>VLOOKUP($C170,청소코드!$C$4:$J$188,4,FALSE)</f>
        <v>1</v>
      </c>
      <c r="F170" s="75" t="s">
        <v>437</v>
      </c>
      <c r="G170" s="75"/>
      <c r="H170" s="75"/>
      <c r="I170" s="75" t="s">
        <v>439</v>
      </c>
      <c r="J170" s="76">
        <f t="shared" si="5"/>
        <v>18000</v>
      </c>
      <c r="K170" s="75">
        <f>VLOOKUP($C170,청소코드!$C$4:$J$188,8,FALSE)</f>
        <v>18000</v>
      </c>
      <c r="L170" s="77"/>
      <c r="M170" s="78"/>
      <c r="N170" s="77"/>
      <c r="O170" s="77"/>
    </row>
    <row r="171" spans="1:15" ht="12.75" customHeight="1">
      <c r="A171" s="74">
        <v>46065</v>
      </c>
      <c r="B171" s="75" t="str">
        <f t="shared" si="4"/>
        <v>목</v>
      </c>
      <c r="C171" s="75" t="s">
        <v>379</v>
      </c>
      <c r="D171" s="75" t="str">
        <f>VLOOKUP($C171,청소코드!$C$4:$J$188,3,FALSE)</f>
        <v>si 602</v>
      </c>
      <c r="E171" s="75">
        <f>VLOOKUP($C171,청소코드!$C$4:$J$188,4,FALSE)</f>
        <v>1</v>
      </c>
      <c r="F171" s="75" t="s">
        <v>437</v>
      </c>
      <c r="G171" s="75"/>
      <c r="H171" s="75"/>
      <c r="I171" s="75" t="s">
        <v>439</v>
      </c>
      <c r="J171" s="76">
        <f t="shared" si="5"/>
        <v>20000</v>
      </c>
      <c r="K171" s="75">
        <f>VLOOKUP($C171,청소코드!$C$4:$J$188,8,FALSE)</f>
        <v>20000</v>
      </c>
      <c r="L171" s="77"/>
      <c r="M171" s="78"/>
      <c r="N171" s="77"/>
      <c r="O171" s="77"/>
    </row>
    <row r="172" spans="1:15" ht="12.75" customHeight="1">
      <c r="A172" s="74">
        <v>46065</v>
      </c>
      <c r="B172" s="75" t="str">
        <f t="shared" si="4"/>
        <v>목</v>
      </c>
      <c r="C172" s="75" t="s">
        <v>416</v>
      </c>
      <c r="D172" s="75" t="str">
        <f>VLOOKUP($C172,청소코드!$C$4:$J$188,3,FALSE)</f>
        <v>청광1차 207</v>
      </c>
      <c r="E172" s="75">
        <f>VLOOKUP($C172,청소코드!$C$4:$J$188,4,FALSE)</f>
        <v>0</v>
      </c>
      <c r="F172" s="75" t="s">
        <v>426</v>
      </c>
      <c r="G172" s="75"/>
      <c r="H172" s="75"/>
      <c r="I172" s="75" t="s">
        <v>439</v>
      </c>
      <c r="J172" s="76">
        <f t="shared" si="5"/>
        <v>10000</v>
      </c>
      <c r="K172" s="75">
        <f>VLOOKUP($C172,청소코드!$C$4:$J$188,8,FALSE)</f>
        <v>10000</v>
      </c>
      <c r="L172" s="77"/>
      <c r="M172" s="78"/>
      <c r="N172" s="77"/>
      <c r="O172" s="77"/>
    </row>
    <row r="173" spans="1:15" ht="12.75" customHeight="1">
      <c r="A173" s="74">
        <v>46066</v>
      </c>
      <c r="B173" s="75" t="str">
        <f t="shared" si="4"/>
        <v>금</v>
      </c>
      <c r="C173" s="75" t="s">
        <v>396</v>
      </c>
      <c r="D173" s="75" t="str">
        <f>VLOOKUP($C173,청소코드!$C$4:$J$188,3,FALSE)</f>
        <v>대치동 101호</v>
      </c>
      <c r="E173" s="75">
        <f>VLOOKUP($C173,청소코드!$C$4:$J$188,4,FALSE)</f>
        <v>2</v>
      </c>
      <c r="F173" s="75" t="s">
        <v>451</v>
      </c>
      <c r="G173" s="75"/>
      <c r="H173" s="75"/>
      <c r="I173" s="75" t="s">
        <v>439</v>
      </c>
      <c r="J173" s="76">
        <f t="shared" si="5"/>
        <v>23000</v>
      </c>
      <c r="K173" s="75">
        <f>VLOOKUP($C173,청소코드!$C$4:$J$188,8,FALSE)</f>
        <v>23000</v>
      </c>
      <c r="L173" s="77"/>
      <c r="M173" s="78"/>
      <c r="N173" s="77"/>
      <c r="O173" s="77"/>
    </row>
    <row r="174" spans="1:15" ht="12.75" customHeight="1">
      <c r="A174" s="74">
        <v>46066</v>
      </c>
      <c r="B174" s="75" t="str">
        <f t="shared" si="4"/>
        <v>금</v>
      </c>
      <c r="C174" s="75" t="s">
        <v>284</v>
      </c>
      <c r="D174" s="75" t="str">
        <f>VLOOKUP($C174,청소코드!$C$4:$J$188,3,FALSE)</f>
        <v>청광1차 1303</v>
      </c>
      <c r="E174" s="75">
        <f>VLOOKUP($C174,청소코드!$C$4:$J$188,4,FALSE)</f>
        <v>1</v>
      </c>
      <c r="F174" s="75" t="s">
        <v>438</v>
      </c>
      <c r="G174" s="75"/>
      <c r="H174" s="75"/>
      <c r="I174" s="75" t="s">
        <v>439</v>
      </c>
      <c r="J174" s="76">
        <f t="shared" si="5"/>
        <v>18000</v>
      </c>
      <c r="K174" s="75">
        <f>VLOOKUP($C174,청소코드!$C$4:$J$188,8,FALSE)</f>
        <v>18000</v>
      </c>
      <c r="L174" s="77"/>
      <c r="M174" s="78"/>
      <c r="N174" s="77"/>
      <c r="O174" s="77"/>
    </row>
    <row r="175" spans="1:15" ht="12.75" customHeight="1">
      <c r="A175" s="74">
        <v>46066</v>
      </c>
      <c r="B175" s="75" t="str">
        <f t="shared" si="4"/>
        <v>금</v>
      </c>
      <c r="C175" s="75" t="s">
        <v>334</v>
      </c>
      <c r="D175" s="75" t="str">
        <f>VLOOKUP($C175,청소코드!$C$4:$J$188,3,FALSE)</f>
        <v>센텀 2차 406</v>
      </c>
      <c r="E175" s="75">
        <f>VLOOKUP($C175,청소코드!$C$4:$J$188,4,FALSE)</f>
        <v>1.5</v>
      </c>
      <c r="F175" s="75" t="s">
        <v>438</v>
      </c>
      <c r="G175" s="75"/>
      <c r="H175" s="75"/>
      <c r="I175" s="75" t="s">
        <v>439</v>
      </c>
      <c r="J175" s="76">
        <f t="shared" si="5"/>
        <v>20000</v>
      </c>
      <c r="K175" s="75">
        <f>VLOOKUP($C175,청소코드!$C$4:$J$188,8,FALSE)</f>
        <v>20000</v>
      </c>
      <c r="L175" s="77"/>
      <c r="M175" s="78"/>
      <c r="N175" s="77"/>
      <c r="O175" s="77"/>
    </row>
    <row r="176" spans="1:15" ht="12.75" customHeight="1">
      <c r="A176" s="74">
        <v>46066</v>
      </c>
      <c r="B176" s="75" t="str">
        <f t="shared" si="4"/>
        <v>금</v>
      </c>
      <c r="C176" s="75" t="s">
        <v>339</v>
      </c>
      <c r="D176" s="75" t="str">
        <f>VLOOKUP($C176,청소코드!$C$4:$J$188,3,FALSE)</f>
        <v>센텀 2차 606</v>
      </c>
      <c r="E176" s="75">
        <f>VLOOKUP($C176,청소코드!$C$4:$J$188,4,FALSE)</f>
        <v>1.5</v>
      </c>
      <c r="F176" s="75" t="s">
        <v>438</v>
      </c>
      <c r="G176" s="75"/>
      <c r="H176" s="75"/>
      <c r="I176" s="75" t="s">
        <v>439</v>
      </c>
      <c r="J176" s="76">
        <f t="shared" si="5"/>
        <v>20000</v>
      </c>
      <c r="K176" s="75">
        <f>VLOOKUP($C176,청소코드!$C$4:$J$188,8,FALSE)</f>
        <v>20000</v>
      </c>
      <c r="L176" s="77"/>
      <c r="M176" s="78"/>
      <c r="N176" s="77"/>
      <c r="O176" s="77"/>
    </row>
    <row r="177" spans="1:15" ht="12.75" customHeight="1">
      <c r="A177" s="74">
        <v>46066</v>
      </c>
      <c r="B177" s="75" t="str">
        <f t="shared" si="4"/>
        <v>금</v>
      </c>
      <c r="C177" s="75" t="s">
        <v>369</v>
      </c>
      <c r="D177" s="75" t="str">
        <f>VLOOKUP($C177,청소코드!$C$4:$J$188,3,FALSE)</f>
        <v>성우 402</v>
      </c>
      <c r="E177" s="75">
        <f>VLOOKUP($C177,청소코드!$C$4:$J$188,4,FALSE)</f>
        <v>3</v>
      </c>
      <c r="F177" s="75" t="s">
        <v>429</v>
      </c>
      <c r="G177" s="75"/>
      <c r="H177" s="75"/>
      <c r="I177" s="75" t="s">
        <v>439</v>
      </c>
      <c r="J177" s="76">
        <f t="shared" si="5"/>
        <v>30000</v>
      </c>
      <c r="K177" s="75">
        <f>VLOOKUP($C177,청소코드!$C$4:$J$188,8,FALSE)</f>
        <v>30000</v>
      </c>
      <c r="L177" s="77"/>
      <c r="M177" s="78"/>
      <c r="N177" s="77"/>
      <c r="O177" s="77"/>
    </row>
    <row r="178" spans="1:15" ht="12.75" customHeight="1">
      <c r="A178" s="74">
        <v>46066</v>
      </c>
      <c r="B178" s="75" t="str">
        <f t="shared" si="4"/>
        <v>금</v>
      </c>
      <c r="C178" s="75" t="s">
        <v>356</v>
      </c>
      <c r="D178" s="75" t="str">
        <f>VLOOKUP($C178,청소코드!$C$4:$J$188,3,FALSE)</f>
        <v>성우 803</v>
      </c>
      <c r="E178" s="75">
        <f>VLOOKUP($C178,청소코드!$C$4:$J$188,4,FALSE)</f>
        <v>3</v>
      </c>
      <c r="F178" s="75" t="s">
        <v>429</v>
      </c>
      <c r="G178" s="75"/>
      <c r="H178" s="75"/>
      <c r="I178" s="75" t="s">
        <v>439</v>
      </c>
      <c r="J178" s="76">
        <f t="shared" si="5"/>
        <v>30000</v>
      </c>
      <c r="K178" s="75">
        <f>VLOOKUP($C178,청소코드!$C$4:$J$188,8,FALSE)</f>
        <v>30000</v>
      </c>
      <c r="L178" s="77"/>
      <c r="M178" s="78"/>
      <c r="N178" s="77"/>
      <c r="O178" s="77"/>
    </row>
    <row r="179" spans="1:15" ht="12.75" customHeight="1">
      <c r="A179" s="74">
        <v>46066</v>
      </c>
      <c r="B179" s="75" t="str">
        <f t="shared" si="4"/>
        <v>금</v>
      </c>
      <c r="C179" s="75" t="s">
        <v>341</v>
      </c>
      <c r="D179" s="75" t="str">
        <f>VLOOKUP($C179,청소코드!$C$4:$J$188,3,FALSE)</f>
        <v>예건 303</v>
      </c>
      <c r="E179" s="75">
        <f>VLOOKUP($C179,청소코드!$C$4:$J$188,4,FALSE)</f>
        <v>2</v>
      </c>
      <c r="F179" s="75" t="s">
        <v>429</v>
      </c>
      <c r="G179" s="75"/>
      <c r="H179" s="75"/>
      <c r="I179" s="75" t="s">
        <v>439</v>
      </c>
      <c r="J179" s="76">
        <f t="shared" si="5"/>
        <v>23000</v>
      </c>
      <c r="K179" s="75">
        <f>VLOOKUP($C179,청소코드!$C$4:$J$188,8,FALSE)</f>
        <v>23000</v>
      </c>
      <c r="L179" s="77"/>
      <c r="M179" s="78"/>
      <c r="N179" s="77"/>
      <c r="O179" s="77"/>
    </row>
    <row r="180" spans="1:15" ht="12.75" customHeight="1">
      <c r="A180" s="74">
        <v>46066</v>
      </c>
      <c r="B180" s="75" t="str">
        <f t="shared" si="4"/>
        <v>금</v>
      </c>
      <c r="C180" s="75" t="s">
        <v>360</v>
      </c>
      <c r="D180" s="75" t="str">
        <f>VLOOKUP($C180,청소코드!$C$4:$J$188,3,FALSE)</f>
        <v>더하임 306</v>
      </c>
      <c r="E180" s="75">
        <f>VLOOKUP($C180,청소코드!$C$4:$J$188,4,FALSE)</f>
        <v>1.5</v>
      </c>
      <c r="F180" s="75" t="s">
        <v>437</v>
      </c>
      <c r="G180" s="75"/>
      <c r="H180" s="75"/>
      <c r="I180" s="75" t="s">
        <v>439</v>
      </c>
      <c r="J180" s="76">
        <f t="shared" si="5"/>
        <v>20000</v>
      </c>
      <c r="K180" s="75">
        <f>VLOOKUP($C180,청소코드!$C$4:$J$188,8,FALSE)</f>
        <v>20000</v>
      </c>
      <c r="L180" s="77"/>
      <c r="M180" s="78"/>
      <c r="N180" s="77"/>
      <c r="O180" s="77"/>
    </row>
    <row r="181" spans="1:15" ht="12.75" customHeight="1">
      <c r="A181" s="74">
        <v>46066</v>
      </c>
      <c r="B181" s="75" t="str">
        <f t="shared" si="4"/>
        <v>금</v>
      </c>
      <c r="C181" s="75" t="s">
        <v>417</v>
      </c>
      <c r="D181" s="75" t="str">
        <f>VLOOKUP($C181,청소코드!$C$4:$J$188,3,FALSE)</f>
        <v>더하임 504</v>
      </c>
      <c r="E181" s="75">
        <f>VLOOKUP($C181,청소코드!$C$4:$J$188,4,FALSE)</f>
        <v>1</v>
      </c>
      <c r="F181" s="75" t="s">
        <v>437</v>
      </c>
      <c r="G181" s="75"/>
      <c r="H181" s="75"/>
      <c r="I181" s="75" t="s">
        <v>439</v>
      </c>
      <c r="J181" s="76">
        <f t="shared" si="5"/>
        <v>18000</v>
      </c>
      <c r="K181" s="75">
        <f>VLOOKUP($C181,청소코드!$C$4:$J$188,8,FALSE)</f>
        <v>18000</v>
      </c>
      <c r="L181" s="77"/>
      <c r="M181" s="78"/>
      <c r="N181" s="77"/>
      <c r="O181" s="77"/>
    </row>
    <row r="182" spans="1:15" ht="12.75" customHeight="1">
      <c r="A182" s="74">
        <v>46066</v>
      </c>
      <c r="B182" s="75" t="str">
        <f t="shared" si="4"/>
        <v>금</v>
      </c>
      <c r="C182" s="75" t="s">
        <v>387</v>
      </c>
      <c r="D182" s="75" t="str">
        <f>VLOOKUP($C182,청소코드!$C$4:$J$188,3,FALSE)</f>
        <v>더하임 604</v>
      </c>
      <c r="E182" s="75">
        <f>VLOOKUP($C182,청소코드!$C$4:$J$188,4,FALSE)</f>
        <v>1</v>
      </c>
      <c r="F182" s="75" t="s">
        <v>437</v>
      </c>
      <c r="G182" s="75"/>
      <c r="H182" s="75"/>
      <c r="I182" s="75" t="s">
        <v>439</v>
      </c>
      <c r="J182" s="76">
        <f t="shared" si="5"/>
        <v>18000</v>
      </c>
      <c r="K182" s="75">
        <f>VLOOKUP($C182,청소코드!$C$4:$J$188,8,FALSE)</f>
        <v>18000</v>
      </c>
      <c r="L182" s="77"/>
      <c r="M182" s="78"/>
      <c r="N182" s="77"/>
      <c r="O182" s="77"/>
    </row>
    <row r="183" spans="1:15" ht="12.75" customHeight="1">
      <c r="A183" s="74">
        <v>46066</v>
      </c>
      <c r="B183" s="75" t="str">
        <f t="shared" si="4"/>
        <v>금</v>
      </c>
      <c r="C183" s="75" t="s">
        <v>286</v>
      </c>
      <c r="D183" s="75" t="str">
        <f>VLOOKUP($C183,청소코드!$C$4:$J$188,3,FALSE)</f>
        <v>청광3차 1416</v>
      </c>
      <c r="E183" s="75">
        <f>VLOOKUP($C183,청소코드!$C$4:$J$188,4,FALSE)</f>
        <v>1</v>
      </c>
      <c r="F183" s="75" t="s">
        <v>449</v>
      </c>
      <c r="G183" s="75"/>
      <c r="H183" s="75"/>
      <c r="I183" s="75" t="s">
        <v>439</v>
      </c>
      <c r="J183" s="76">
        <f t="shared" si="5"/>
        <v>18000</v>
      </c>
      <c r="K183" s="75">
        <f>VLOOKUP($C183,청소코드!$C$4:$J$188,8,FALSE)</f>
        <v>18000</v>
      </c>
      <c r="L183" s="77"/>
      <c r="M183" s="78"/>
      <c r="N183" s="77"/>
      <c r="O183" s="77"/>
    </row>
    <row r="184" spans="1:15" ht="12.75" customHeight="1">
      <c r="A184" s="74">
        <v>46066</v>
      </c>
      <c r="B184" s="75" t="str">
        <f t="shared" si="4"/>
        <v>금</v>
      </c>
      <c r="C184" s="75" t="s">
        <v>301</v>
      </c>
      <c r="D184" s="75" t="str">
        <f>VLOOKUP($C184,청소코드!$C$4:$J$188,3,FALSE)</f>
        <v>청광3차 507</v>
      </c>
      <c r="E184" s="75">
        <f>VLOOKUP($C184,청소코드!$C$4:$J$188,4,FALSE)</f>
        <v>1</v>
      </c>
      <c r="F184" s="75" t="s">
        <v>449</v>
      </c>
      <c r="G184" s="75"/>
      <c r="H184" s="75"/>
      <c r="I184" s="75" t="s">
        <v>439</v>
      </c>
      <c r="J184" s="76">
        <f t="shared" si="5"/>
        <v>18000</v>
      </c>
      <c r="K184" s="75">
        <f>VLOOKUP($C184,청소코드!$C$4:$J$188,8,FALSE)</f>
        <v>18000</v>
      </c>
      <c r="L184" s="77"/>
      <c r="M184" s="78"/>
      <c r="N184" s="77"/>
      <c r="O184" s="77"/>
    </row>
    <row r="185" spans="1:15" ht="12.75" customHeight="1">
      <c r="A185" s="74">
        <v>46066</v>
      </c>
      <c r="B185" s="75" t="str">
        <f t="shared" si="4"/>
        <v>금</v>
      </c>
      <c r="C185" s="75" t="s">
        <v>287</v>
      </c>
      <c r="D185" s="75" t="str">
        <f>VLOOKUP($C185,청소코드!$C$4:$J$188,3,FALSE)</f>
        <v>청광3차 1412</v>
      </c>
      <c r="E185" s="75">
        <f>VLOOKUP($C185,청소코드!$C$4:$J$188,4,FALSE)</f>
        <v>1</v>
      </c>
      <c r="F185" s="75" t="s">
        <v>449</v>
      </c>
      <c r="G185" s="75"/>
      <c r="H185" s="75"/>
      <c r="I185" s="75" t="s">
        <v>439</v>
      </c>
      <c r="J185" s="76">
        <f t="shared" si="5"/>
        <v>18000</v>
      </c>
      <c r="K185" s="75">
        <f>VLOOKUP($C185,청소코드!$C$4:$J$188,8,FALSE)</f>
        <v>18000</v>
      </c>
      <c r="L185" s="77"/>
      <c r="M185" s="78"/>
      <c r="N185" s="77"/>
      <c r="O185" s="77"/>
    </row>
    <row r="186" spans="1:15" ht="12.75" customHeight="1">
      <c r="A186" s="74">
        <v>46066</v>
      </c>
      <c r="B186" s="75" t="str">
        <f t="shared" si="4"/>
        <v>금</v>
      </c>
      <c r="C186" s="75" t="s">
        <v>380</v>
      </c>
      <c r="D186" s="75" t="str">
        <f>VLOOKUP($C186,청소코드!$C$4:$J$188,3,FALSE)</f>
        <v>오금스타 205</v>
      </c>
      <c r="E186" s="75">
        <f>VLOOKUP($C186,청소코드!$C$4:$J$188,4,FALSE)</f>
        <v>1</v>
      </c>
      <c r="F186" s="75" t="s">
        <v>449</v>
      </c>
      <c r="G186" s="75"/>
      <c r="H186" s="75"/>
      <c r="I186" s="75" t="s">
        <v>439</v>
      </c>
      <c r="J186" s="76">
        <f t="shared" si="5"/>
        <v>18000</v>
      </c>
      <c r="K186" s="75">
        <f>VLOOKUP($C186,청소코드!$C$4:$J$188,8,FALSE)</f>
        <v>18000</v>
      </c>
      <c r="L186" s="77"/>
      <c r="M186" s="78"/>
      <c r="N186" s="77"/>
      <c r="O186" s="77"/>
    </row>
    <row r="187" spans="1:15" ht="12.75" customHeight="1">
      <c r="A187" s="74">
        <v>46066</v>
      </c>
      <c r="B187" s="75" t="str">
        <f t="shared" si="4"/>
        <v>금</v>
      </c>
      <c r="C187" s="75" t="s">
        <v>283</v>
      </c>
      <c r="D187" s="75" t="str">
        <f>VLOOKUP($C187,청소코드!$C$4:$J$188,3,FALSE)</f>
        <v>강동QV 1604</v>
      </c>
      <c r="E187" s="75">
        <f>VLOOKUP($C187,청소코드!$C$4:$J$188,4,FALSE)</f>
        <v>1</v>
      </c>
      <c r="F187" s="75" t="s">
        <v>426</v>
      </c>
      <c r="G187" s="75"/>
      <c r="H187" s="75"/>
      <c r="I187" s="75" t="s">
        <v>439</v>
      </c>
      <c r="J187" s="76">
        <f t="shared" si="5"/>
        <v>18000</v>
      </c>
      <c r="K187" s="75">
        <f>VLOOKUP($C187,청소코드!$C$4:$J$188,8,FALSE)</f>
        <v>18000</v>
      </c>
      <c r="L187" s="77"/>
      <c r="M187" s="78"/>
      <c r="N187" s="77"/>
      <c r="O187" s="77"/>
    </row>
    <row r="188" spans="1:15" ht="12.75" customHeight="1">
      <c r="A188" s="74">
        <v>46066</v>
      </c>
      <c r="B188" s="75" t="str">
        <f t="shared" si="4"/>
        <v>금</v>
      </c>
      <c r="C188" s="75" t="s">
        <v>295</v>
      </c>
      <c r="D188" s="75" t="str">
        <f>VLOOKUP($C188,청소코드!$C$4:$J$188,3,FALSE)</f>
        <v>르센티 1801</v>
      </c>
      <c r="E188" s="75" t="str">
        <f>VLOOKUP($C188,청소코드!$C$4:$J$188,4,FALSE)</f>
        <v>복</v>
      </c>
      <c r="F188" s="75" t="s">
        <v>426</v>
      </c>
      <c r="G188" s="75"/>
      <c r="H188" s="75"/>
      <c r="I188" s="75" t="s">
        <v>439</v>
      </c>
      <c r="J188" s="76">
        <f t="shared" si="5"/>
        <v>20000</v>
      </c>
      <c r="K188" s="75">
        <f>VLOOKUP($C188,청소코드!$C$4:$J$188,8,FALSE)</f>
        <v>20000</v>
      </c>
      <c r="L188" s="77"/>
      <c r="M188" s="78"/>
      <c r="N188" s="77"/>
      <c r="O188" s="77"/>
    </row>
    <row r="189" spans="1:15" ht="12.75" customHeight="1">
      <c r="A189" s="74">
        <v>46066</v>
      </c>
      <c r="B189" s="75" t="str">
        <f t="shared" si="4"/>
        <v>금</v>
      </c>
      <c r="C189" s="75" t="s">
        <v>290</v>
      </c>
      <c r="D189" s="75" t="str">
        <f>VLOOKUP($C189,청소코드!$C$4:$J$188,3,FALSE)</f>
        <v>렘브 204</v>
      </c>
      <c r="E189" s="75">
        <f>VLOOKUP($C189,청소코드!$C$4:$J$188,4,FALSE)</f>
        <v>1</v>
      </c>
      <c r="F189" s="75" t="s">
        <v>426</v>
      </c>
      <c r="G189" s="75" t="s">
        <v>486</v>
      </c>
      <c r="H189" s="75"/>
      <c r="I189" s="75" t="s">
        <v>439</v>
      </c>
      <c r="J189" s="76">
        <f t="shared" si="5"/>
        <v>18000</v>
      </c>
      <c r="K189" s="75">
        <f>VLOOKUP($C189,청소코드!$C$4:$J$188,8,FALSE)</f>
        <v>18000</v>
      </c>
      <c r="L189" s="77"/>
      <c r="M189" s="78"/>
      <c r="N189" s="77"/>
      <c r="O189" s="77"/>
    </row>
    <row r="190" spans="1:15" ht="12.75" customHeight="1">
      <c r="A190" s="74">
        <v>46066</v>
      </c>
      <c r="B190" s="75" t="str">
        <f t="shared" si="4"/>
        <v>금</v>
      </c>
      <c r="C190" s="75" t="s">
        <v>315</v>
      </c>
      <c r="D190" s="75" t="str">
        <f>VLOOKUP($C190,청소코드!$C$4:$J$188,3,FALSE)</f>
        <v>동구햇살 1203</v>
      </c>
      <c r="E190" s="75" t="str">
        <f>VLOOKUP($C190,청소코드!$C$4:$J$188,4,FALSE)</f>
        <v>복</v>
      </c>
      <c r="F190" s="75" t="s">
        <v>401</v>
      </c>
      <c r="G190" s="75"/>
      <c r="H190" s="75"/>
      <c r="I190" s="75" t="s">
        <v>439</v>
      </c>
      <c r="J190" s="76">
        <f t="shared" si="5"/>
        <v>20000</v>
      </c>
      <c r="K190" s="75">
        <f>VLOOKUP($C190,청소코드!$C$4:$J$188,8,FALSE)</f>
        <v>20000</v>
      </c>
      <c r="L190" s="77"/>
      <c r="M190" s="78"/>
      <c r="N190" s="77"/>
      <c r="O190" s="77"/>
    </row>
    <row r="191" spans="1:15" ht="12.75" customHeight="1">
      <c r="A191" s="74">
        <v>46066</v>
      </c>
      <c r="B191" s="75" t="str">
        <f t="shared" si="4"/>
        <v>금</v>
      </c>
      <c r="C191" s="75" t="s">
        <v>292</v>
      </c>
      <c r="D191" s="75" t="str">
        <f>VLOOKUP($C191,청소코드!$C$4:$J$188,3,FALSE)</f>
        <v>오앤 401</v>
      </c>
      <c r="E191" s="75">
        <f>VLOOKUP($C191,청소코드!$C$4:$J$188,4,FALSE)</f>
        <v>1</v>
      </c>
      <c r="F191" s="75" t="s">
        <v>401</v>
      </c>
      <c r="G191" s="75"/>
      <c r="H191" s="75"/>
      <c r="I191" s="75" t="s">
        <v>439</v>
      </c>
      <c r="J191" s="76">
        <f t="shared" si="5"/>
        <v>18000</v>
      </c>
      <c r="K191" s="75">
        <f>VLOOKUP($C191,청소코드!$C$4:$J$188,8,FALSE)</f>
        <v>18000</v>
      </c>
      <c r="L191" s="77"/>
      <c r="M191" s="78"/>
      <c r="N191" s="77"/>
      <c r="O191" s="77"/>
    </row>
    <row r="192" spans="1:15" ht="12.75" customHeight="1">
      <c r="A192" s="74">
        <v>46066</v>
      </c>
      <c r="B192" s="75" t="str">
        <f t="shared" si="4"/>
        <v>금</v>
      </c>
      <c r="C192" s="75" t="s">
        <v>379</v>
      </c>
      <c r="D192" s="75" t="str">
        <f>VLOOKUP($C192,청소코드!$C$4:$J$188,3,FALSE)</f>
        <v>si 602</v>
      </c>
      <c r="E192" s="75">
        <f>VLOOKUP($C192,청소코드!$C$4:$J$188,4,FALSE)</f>
        <v>1</v>
      </c>
      <c r="F192" s="75" t="s">
        <v>401</v>
      </c>
      <c r="G192" s="75"/>
      <c r="H192" s="75"/>
      <c r="I192" s="75" t="s">
        <v>439</v>
      </c>
      <c r="J192" s="76">
        <f t="shared" si="5"/>
        <v>20000</v>
      </c>
      <c r="K192" s="75">
        <f>VLOOKUP($C192,청소코드!$C$4:$J$188,8,FALSE)</f>
        <v>20000</v>
      </c>
      <c r="L192" s="77"/>
      <c r="M192" s="78"/>
      <c r="N192" s="77"/>
      <c r="O192" s="77"/>
    </row>
    <row r="193" spans="1:15" ht="12.75" customHeight="1">
      <c r="A193" s="74">
        <v>46066</v>
      </c>
      <c r="B193" s="75" t="str">
        <f t="shared" si="4"/>
        <v>금</v>
      </c>
      <c r="C193" s="75" t="s">
        <v>385</v>
      </c>
      <c r="D193" s="75" t="str">
        <f>VLOOKUP($C193,청소코드!$C$4:$J$188,3,FALSE)</f>
        <v>하람휴 1001</v>
      </c>
      <c r="E193" s="75">
        <f>VLOOKUP($C193,청소코드!$C$4:$J$188,4,FALSE)</f>
        <v>2</v>
      </c>
      <c r="F193" s="75" t="s">
        <v>408</v>
      </c>
      <c r="G193" s="75"/>
      <c r="H193" s="75"/>
      <c r="I193" s="75" t="s">
        <v>439</v>
      </c>
      <c r="J193" s="76">
        <f t="shared" si="5"/>
        <v>23000</v>
      </c>
      <c r="K193" s="75">
        <f>VLOOKUP($C193,청소코드!$C$4:$J$188,8,FALSE)</f>
        <v>23000</v>
      </c>
      <c r="L193" s="77"/>
      <c r="M193" s="78"/>
      <c r="N193" s="77"/>
      <c r="O193" s="77"/>
    </row>
    <row r="194" spans="1:15" ht="12.75" customHeight="1">
      <c r="A194" s="74">
        <v>46066</v>
      </c>
      <c r="B194" s="75" t="str">
        <f t="shared" si="4"/>
        <v>금</v>
      </c>
      <c r="C194" s="75" t="s">
        <v>416</v>
      </c>
      <c r="D194" s="75" t="str">
        <f>VLOOKUP($C194,청소코드!$C$4:$J$188,3,FALSE)</f>
        <v>청광1차 207</v>
      </c>
      <c r="E194" s="75">
        <f>VLOOKUP($C194,청소코드!$C$4:$J$188,4,FALSE)</f>
        <v>0</v>
      </c>
      <c r="F194" s="75" t="s">
        <v>426</v>
      </c>
      <c r="G194" s="75"/>
      <c r="H194" s="75"/>
      <c r="I194" s="75" t="s">
        <v>439</v>
      </c>
      <c r="J194" s="76">
        <f t="shared" si="5"/>
        <v>10000</v>
      </c>
      <c r="K194" s="75">
        <f>VLOOKUP($C194,청소코드!$C$4:$J$188,8,FALSE)</f>
        <v>10000</v>
      </c>
      <c r="L194" s="77"/>
      <c r="M194" s="78"/>
      <c r="N194" s="77"/>
      <c r="O194" s="77"/>
    </row>
    <row r="195" spans="1:15" ht="12.75" customHeight="1">
      <c r="A195" s="74">
        <v>46067</v>
      </c>
      <c r="B195" s="75" t="str">
        <f t="shared" ref="B195:B258" si="6">TEXT(A195,"aaa")</f>
        <v>토</v>
      </c>
      <c r="C195" s="75" t="s">
        <v>396</v>
      </c>
      <c r="D195" s="75" t="str">
        <f>VLOOKUP($C195,청소코드!$C$4:$J$188,3,FALSE)</f>
        <v>대치동 101호</v>
      </c>
      <c r="E195" s="75">
        <f>VLOOKUP($C195,청소코드!$C$4:$J$188,4,FALSE)</f>
        <v>2</v>
      </c>
      <c r="F195" s="75" t="s">
        <v>451</v>
      </c>
      <c r="G195" s="75"/>
      <c r="H195" s="75"/>
      <c r="I195" s="75" t="s">
        <v>439</v>
      </c>
      <c r="J195" s="76">
        <f t="shared" ref="J195:J258" si="7">SUM(K195:O195)</f>
        <v>27000</v>
      </c>
      <c r="K195" s="75">
        <f>VLOOKUP($C195,청소코드!$C$4:$J$188,8,FALSE)</f>
        <v>23000</v>
      </c>
      <c r="L195" s="77"/>
      <c r="M195" s="78"/>
      <c r="N195" s="77">
        <v>4000</v>
      </c>
      <c r="O195" s="77"/>
    </row>
    <row r="196" spans="1:15" ht="12.75" customHeight="1">
      <c r="A196" s="74">
        <v>46067</v>
      </c>
      <c r="B196" s="75" t="str">
        <f t="shared" si="6"/>
        <v>토</v>
      </c>
      <c r="C196" s="75" t="s">
        <v>393</v>
      </c>
      <c r="D196" s="75" t="str">
        <f>VLOOKUP($C196,청소코드!$C$4:$J$188,3,FALSE)</f>
        <v>대치동 103호</v>
      </c>
      <c r="E196" s="75">
        <f>VLOOKUP($C196,청소코드!$C$4:$J$188,4,FALSE)</f>
        <v>1.5</v>
      </c>
      <c r="F196" s="75" t="s">
        <v>451</v>
      </c>
      <c r="G196" s="75"/>
      <c r="H196" s="75"/>
      <c r="I196" s="75" t="s">
        <v>439</v>
      </c>
      <c r="J196" s="76">
        <f t="shared" si="7"/>
        <v>20000</v>
      </c>
      <c r="K196" s="75">
        <f>VLOOKUP($C196,청소코드!$C$4:$J$188,8,FALSE)</f>
        <v>20000</v>
      </c>
      <c r="L196" s="77"/>
      <c r="M196" s="78"/>
      <c r="N196" s="77"/>
      <c r="O196" s="77"/>
    </row>
    <row r="197" spans="1:15" ht="12.75" customHeight="1">
      <c r="A197" s="74">
        <v>46067</v>
      </c>
      <c r="B197" s="75" t="str">
        <f t="shared" si="6"/>
        <v>토</v>
      </c>
      <c r="C197" s="75" t="s">
        <v>334</v>
      </c>
      <c r="D197" s="75" t="str">
        <f>VLOOKUP($C197,청소코드!$C$4:$J$188,3,FALSE)</f>
        <v>센텀 2차 406</v>
      </c>
      <c r="E197" s="75">
        <f>VLOOKUP($C197,청소코드!$C$4:$J$188,4,FALSE)</f>
        <v>1.5</v>
      </c>
      <c r="F197" s="75" t="s">
        <v>429</v>
      </c>
      <c r="G197" s="75"/>
      <c r="H197" s="75"/>
      <c r="I197" s="75" t="s">
        <v>439</v>
      </c>
      <c r="J197" s="76">
        <f t="shared" si="7"/>
        <v>20000</v>
      </c>
      <c r="K197" s="75">
        <f>VLOOKUP($C197,청소코드!$C$4:$J$188,8,FALSE)</f>
        <v>20000</v>
      </c>
      <c r="L197" s="77"/>
      <c r="M197" s="78"/>
      <c r="N197" s="77"/>
      <c r="O197" s="77"/>
    </row>
    <row r="198" spans="1:15" ht="12.75" customHeight="1">
      <c r="A198" s="74">
        <v>46067</v>
      </c>
      <c r="B198" s="75" t="str">
        <f t="shared" si="6"/>
        <v>토</v>
      </c>
      <c r="C198" s="75" t="s">
        <v>339</v>
      </c>
      <c r="D198" s="75" t="str">
        <f>VLOOKUP($C198,청소코드!$C$4:$J$188,3,FALSE)</f>
        <v>센텀 2차 606</v>
      </c>
      <c r="E198" s="75">
        <f>VLOOKUP($C198,청소코드!$C$4:$J$188,4,FALSE)</f>
        <v>1.5</v>
      </c>
      <c r="F198" s="75" t="s">
        <v>429</v>
      </c>
      <c r="G198" s="75"/>
      <c r="H198" s="75"/>
      <c r="I198" s="75" t="s">
        <v>439</v>
      </c>
      <c r="J198" s="76">
        <f t="shared" si="7"/>
        <v>20000</v>
      </c>
      <c r="K198" s="75">
        <f>VLOOKUP($C198,청소코드!$C$4:$J$188,8,FALSE)</f>
        <v>20000</v>
      </c>
      <c r="L198" s="77"/>
      <c r="M198" s="78"/>
      <c r="N198" s="77"/>
      <c r="O198" s="77"/>
    </row>
    <row r="199" spans="1:15" ht="12.75" customHeight="1">
      <c r="A199" s="74">
        <v>46067</v>
      </c>
      <c r="B199" s="75" t="str">
        <f t="shared" si="6"/>
        <v>토</v>
      </c>
      <c r="C199" s="75" t="s">
        <v>369</v>
      </c>
      <c r="D199" s="75" t="str">
        <f>VLOOKUP($C199,청소코드!$C$4:$J$188,3,FALSE)</f>
        <v>성우 402</v>
      </c>
      <c r="E199" s="75">
        <f>VLOOKUP($C199,청소코드!$C$4:$J$188,4,FALSE)</f>
        <v>3</v>
      </c>
      <c r="F199" s="75" t="s">
        <v>452</v>
      </c>
      <c r="G199" s="75"/>
      <c r="H199" s="75"/>
      <c r="I199" s="75" t="s">
        <v>439</v>
      </c>
      <c r="J199" s="76">
        <f t="shared" si="7"/>
        <v>30000</v>
      </c>
      <c r="K199" s="75">
        <f>VLOOKUP($C199,청소코드!$C$4:$J$188,8,FALSE)</f>
        <v>30000</v>
      </c>
      <c r="L199" s="77"/>
      <c r="M199" s="78"/>
      <c r="N199" s="77"/>
      <c r="O199" s="77"/>
    </row>
    <row r="200" spans="1:15" ht="12.75" customHeight="1">
      <c r="A200" s="74">
        <v>46067</v>
      </c>
      <c r="B200" s="75" t="str">
        <f t="shared" si="6"/>
        <v>토</v>
      </c>
      <c r="C200" s="75" t="s">
        <v>356</v>
      </c>
      <c r="D200" s="75" t="str">
        <f>VLOOKUP($C200,청소코드!$C$4:$J$188,3,FALSE)</f>
        <v>성우 803</v>
      </c>
      <c r="E200" s="75">
        <f>VLOOKUP($C200,청소코드!$C$4:$J$188,4,FALSE)</f>
        <v>3</v>
      </c>
      <c r="F200" s="75" t="s">
        <v>452</v>
      </c>
      <c r="G200" s="75"/>
      <c r="H200" s="75"/>
      <c r="I200" s="75" t="s">
        <v>439</v>
      </c>
      <c r="J200" s="76">
        <f t="shared" si="7"/>
        <v>30000</v>
      </c>
      <c r="K200" s="75">
        <f>VLOOKUP($C200,청소코드!$C$4:$J$188,8,FALSE)</f>
        <v>30000</v>
      </c>
      <c r="L200" s="77"/>
      <c r="M200" s="78"/>
      <c r="N200" s="77"/>
      <c r="O200" s="77"/>
    </row>
    <row r="201" spans="1:15" ht="12.75" customHeight="1">
      <c r="A201" s="74">
        <v>46067</v>
      </c>
      <c r="B201" s="75" t="str">
        <f t="shared" si="6"/>
        <v>토</v>
      </c>
      <c r="C201" s="75" t="s">
        <v>330</v>
      </c>
      <c r="D201" s="75" t="str">
        <f>VLOOKUP($C201,청소코드!$C$4:$J$188,3,FALSE)</f>
        <v>예건 204</v>
      </c>
      <c r="E201" s="75">
        <f>VLOOKUP($C201,청소코드!$C$4:$J$188,4,FALSE)</f>
        <v>1</v>
      </c>
      <c r="F201" s="75" t="s">
        <v>452</v>
      </c>
      <c r="G201" s="75"/>
      <c r="H201" s="75"/>
      <c r="I201" s="75" t="s">
        <v>439</v>
      </c>
      <c r="J201" s="76">
        <f t="shared" si="7"/>
        <v>18000</v>
      </c>
      <c r="K201" s="75">
        <f>VLOOKUP($C201,청소코드!$C$4:$J$188,8,FALSE)</f>
        <v>18000</v>
      </c>
      <c r="L201" s="77"/>
      <c r="M201" s="78"/>
      <c r="N201" s="77"/>
      <c r="O201" s="77"/>
    </row>
    <row r="202" spans="1:15" ht="12.75" customHeight="1">
      <c r="A202" s="74">
        <v>46067</v>
      </c>
      <c r="B202" s="75" t="str">
        <f t="shared" si="6"/>
        <v>토</v>
      </c>
      <c r="C202" s="75" t="s">
        <v>341</v>
      </c>
      <c r="D202" s="75" t="str">
        <f>VLOOKUP($C202,청소코드!$C$4:$J$188,3,FALSE)</f>
        <v>예건 303</v>
      </c>
      <c r="E202" s="75">
        <f>VLOOKUP($C202,청소코드!$C$4:$J$188,4,FALSE)</f>
        <v>2</v>
      </c>
      <c r="F202" s="75" t="s">
        <v>452</v>
      </c>
      <c r="G202" s="75"/>
      <c r="H202" s="75"/>
      <c r="I202" s="75" t="s">
        <v>439</v>
      </c>
      <c r="J202" s="76">
        <f t="shared" si="7"/>
        <v>23000</v>
      </c>
      <c r="K202" s="75">
        <f>VLOOKUP($C202,청소코드!$C$4:$J$188,8,FALSE)</f>
        <v>23000</v>
      </c>
      <c r="L202" s="77"/>
      <c r="M202" s="78"/>
      <c r="N202" s="77"/>
      <c r="O202" s="77"/>
    </row>
    <row r="203" spans="1:15" ht="12.75" customHeight="1">
      <c r="A203" s="74">
        <v>46067</v>
      </c>
      <c r="B203" s="75" t="str">
        <f t="shared" si="6"/>
        <v>토</v>
      </c>
      <c r="C203" s="75" t="s">
        <v>360</v>
      </c>
      <c r="D203" s="75" t="str">
        <f>VLOOKUP($C203,청소코드!$C$4:$J$188,3,FALSE)</f>
        <v>더하임 306</v>
      </c>
      <c r="E203" s="75">
        <f>VLOOKUP($C203,청소코드!$C$4:$J$188,4,FALSE)</f>
        <v>1.5</v>
      </c>
      <c r="F203" s="75" t="s">
        <v>401</v>
      </c>
      <c r="G203" s="75"/>
      <c r="H203" s="75"/>
      <c r="I203" s="75" t="s">
        <v>439</v>
      </c>
      <c r="J203" s="76">
        <f t="shared" si="7"/>
        <v>20000</v>
      </c>
      <c r="K203" s="75">
        <f>VLOOKUP($C203,청소코드!$C$4:$J$188,8,FALSE)</f>
        <v>20000</v>
      </c>
      <c r="L203" s="77"/>
      <c r="M203" s="78"/>
      <c r="N203" s="77"/>
      <c r="O203" s="77"/>
    </row>
    <row r="204" spans="1:15" ht="12.75" customHeight="1">
      <c r="A204" s="74">
        <v>46067</v>
      </c>
      <c r="B204" s="75" t="str">
        <f t="shared" si="6"/>
        <v>토</v>
      </c>
      <c r="C204" s="75" t="s">
        <v>417</v>
      </c>
      <c r="D204" s="75" t="str">
        <f>VLOOKUP($C204,청소코드!$C$4:$J$188,3,FALSE)</f>
        <v>더하임 504</v>
      </c>
      <c r="E204" s="75">
        <f>VLOOKUP($C204,청소코드!$C$4:$J$188,4,FALSE)</f>
        <v>1</v>
      </c>
      <c r="F204" s="75" t="s">
        <v>401</v>
      </c>
      <c r="G204" s="75"/>
      <c r="H204" s="75"/>
      <c r="I204" s="75" t="s">
        <v>439</v>
      </c>
      <c r="J204" s="76">
        <f t="shared" si="7"/>
        <v>18000</v>
      </c>
      <c r="K204" s="75">
        <f>VLOOKUP($C204,청소코드!$C$4:$J$188,8,FALSE)</f>
        <v>18000</v>
      </c>
      <c r="L204" s="77"/>
      <c r="M204" s="78"/>
      <c r="N204" s="77"/>
      <c r="O204" s="77"/>
    </row>
    <row r="205" spans="1:15" ht="12.75" customHeight="1">
      <c r="A205" s="74">
        <v>46067</v>
      </c>
      <c r="B205" s="75" t="str">
        <f t="shared" si="6"/>
        <v>토</v>
      </c>
      <c r="C205" s="75" t="s">
        <v>379</v>
      </c>
      <c r="D205" s="75" t="str">
        <f>VLOOKUP($C205,청소코드!$C$4:$J$188,3,FALSE)</f>
        <v>si 602</v>
      </c>
      <c r="E205" s="75">
        <f>VLOOKUP($C205,청소코드!$C$4:$J$188,4,FALSE)</f>
        <v>1</v>
      </c>
      <c r="F205" s="75" t="s">
        <v>401</v>
      </c>
      <c r="G205" s="75"/>
      <c r="H205" s="75"/>
      <c r="I205" s="75" t="s">
        <v>439</v>
      </c>
      <c r="J205" s="76">
        <f t="shared" si="7"/>
        <v>20000</v>
      </c>
      <c r="K205" s="75">
        <f>VLOOKUP($C205,청소코드!$C$4:$J$188,8,FALSE)</f>
        <v>20000</v>
      </c>
      <c r="L205" s="77"/>
      <c r="M205" s="78"/>
      <c r="N205" s="77"/>
      <c r="O205" s="77"/>
    </row>
    <row r="206" spans="1:15" ht="12.75" customHeight="1">
      <c r="A206" s="74">
        <v>46067</v>
      </c>
      <c r="B206" s="75" t="str">
        <f t="shared" si="6"/>
        <v>토</v>
      </c>
      <c r="C206" s="75" t="s">
        <v>284</v>
      </c>
      <c r="D206" s="75" t="str">
        <f>VLOOKUP($C206,청소코드!$C$4:$J$188,3,FALSE)</f>
        <v>청광1차 1303</v>
      </c>
      <c r="E206" s="75">
        <f>VLOOKUP($C206,청소코드!$C$4:$J$188,4,FALSE)</f>
        <v>1</v>
      </c>
      <c r="F206" s="75" t="s">
        <v>437</v>
      </c>
      <c r="G206" s="75"/>
      <c r="H206" s="75"/>
      <c r="I206" s="75" t="s">
        <v>439</v>
      </c>
      <c r="J206" s="76">
        <f t="shared" si="7"/>
        <v>18000</v>
      </c>
      <c r="K206" s="75">
        <f>VLOOKUP($C206,청소코드!$C$4:$J$188,8,FALSE)</f>
        <v>18000</v>
      </c>
      <c r="L206" s="77"/>
      <c r="M206" s="78"/>
      <c r="N206" s="77"/>
      <c r="O206" s="77"/>
    </row>
    <row r="207" spans="1:15" ht="12.75" customHeight="1">
      <c r="A207" s="74">
        <v>46067</v>
      </c>
      <c r="B207" s="75" t="str">
        <f t="shared" si="6"/>
        <v>토</v>
      </c>
      <c r="C207" s="75" t="s">
        <v>286</v>
      </c>
      <c r="D207" s="75" t="str">
        <f>VLOOKUP($C207,청소코드!$C$4:$J$188,3,FALSE)</f>
        <v>청광3차 1416</v>
      </c>
      <c r="E207" s="75">
        <f>VLOOKUP($C207,청소코드!$C$4:$J$188,4,FALSE)</f>
        <v>1</v>
      </c>
      <c r="F207" s="75" t="s">
        <v>437</v>
      </c>
      <c r="G207" s="75"/>
      <c r="H207" s="75"/>
      <c r="I207" s="75" t="s">
        <v>439</v>
      </c>
      <c r="J207" s="76">
        <f t="shared" si="7"/>
        <v>18000</v>
      </c>
      <c r="K207" s="75">
        <f>VLOOKUP($C207,청소코드!$C$4:$J$188,8,FALSE)</f>
        <v>18000</v>
      </c>
      <c r="L207" s="77"/>
      <c r="M207" s="78"/>
      <c r="N207" s="77"/>
      <c r="O207" s="77"/>
    </row>
    <row r="208" spans="1:15" ht="12.75" customHeight="1">
      <c r="A208" s="74">
        <v>46067</v>
      </c>
      <c r="B208" s="75" t="str">
        <f t="shared" si="6"/>
        <v>토</v>
      </c>
      <c r="C208" s="75" t="s">
        <v>283</v>
      </c>
      <c r="D208" s="75" t="str">
        <f>VLOOKUP($C208,청소코드!$C$4:$J$188,3,FALSE)</f>
        <v>강동QV 1604</v>
      </c>
      <c r="E208" s="75">
        <f>VLOOKUP($C208,청소코드!$C$4:$J$188,4,FALSE)</f>
        <v>1</v>
      </c>
      <c r="F208" s="75" t="s">
        <v>437</v>
      </c>
      <c r="G208" s="75"/>
      <c r="H208" s="75"/>
      <c r="I208" s="75" t="s">
        <v>439</v>
      </c>
      <c r="J208" s="76">
        <f t="shared" si="7"/>
        <v>18000</v>
      </c>
      <c r="K208" s="75">
        <f>VLOOKUP($C208,청소코드!$C$4:$J$188,8,FALSE)</f>
        <v>18000</v>
      </c>
      <c r="L208" s="77"/>
      <c r="M208" s="78"/>
      <c r="N208" s="77"/>
      <c r="O208" s="77"/>
    </row>
    <row r="209" spans="1:15" ht="12.75" customHeight="1">
      <c r="A209" s="74">
        <v>46067</v>
      </c>
      <c r="B209" s="75" t="str">
        <f t="shared" si="6"/>
        <v>토</v>
      </c>
      <c r="C209" s="75" t="s">
        <v>295</v>
      </c>
      <c r="D209" s="75" t="str">
        <f>VLOOKUP($C209,청소코드!$C$4:$J$188,3,FALSE)</f>
        <v>르센티 1801</v>
      </c>
      <c r="E209" s="75" t="str">
        <f>VLOOKUP($C209,청소코드!$C$4:$J$188,4,FALSE)</f>
        <v>복</v>
      </c>
      <c r="F209" s="75" t="s">
        <v>429</v>
      </c>
      <c r="G209" s="75"/>
      <c r="H209" s="75"/>
      <c r="I209" s="75" t="s">
        <v>439</v>
      </c>
      <c r="J209" s="76">
        <f t="shared" si="7"/>
        <v>20000</v>
      </c>
      <c r="K209" s="75">
        <f>VLOOKUP($C209,청소코드!$C$4:$J$188,8,FALSE)</f>
        <v>20000</v>
      </c>
      <c r="L209" s="77"/>
      <c r="M209" s="78"/>
      <c r="N209" s="77"/>
      <c r="O209" s="77"/>
    </row>
    <row r="210" spans="1:15" ht="12.75" customHeight="1">
      <c r="A210" s="74">
        <v>46067</v>
      </c>
      <c r="B210" s="75" t="str">
        <f t="shared" si="6"/>
        <v>토</v>
      </c>
      <c r="C210" s="75" t="s">
        <v>304</v>
      </c>
      <c r="D210" s="75" t="str">
        <f>VLOOKUP($C210,청소코드!$C$4:$J$188,3,FALSE)</f>
        <v>렘브 505</v>
      </c>
      <c r="E210" s="75">
        <f>VLOOKUP($C210,청소코드!$C$4:$J$188,4,FALSE)</f>
        <v>1</v>
      </c>
      <c r="F210" s="75" t="s">
        <v>438</v>
      </c>
      <c r="G210" s="75"/>
      <c r="H210" s="75"/>
      <c r="I210" s="75" t="s">
        <v>439</v>
      </c>
      <c r="J210" s="76">
        <f t="shared" si="7"/>
        <v>18000</v>
      </c>
      <c r="K210" s="75">
        <f>VLOOKUP($C210,청소코드!$C$4:$J$188,8,FALSE)</f>
        <v>18000</v>
      </c>
      <c r="L210" s="77"/>
      <c r="M210" s="78"/>
      <c r="N210" s="77"/>
      <c r="O210" s="77"/>
    </row>
    <row r="211" spans="1:15" ht="12.75" customHeight="1">
      <c r="A211" s="74">
        <v>46067</v>
      </c>
      <c r="B211" s="75" t="str">
        <f t="shared" si="6"/>
        <v>토</v>
      </c>
      <c r="C211" s="75" t="s">
        <v>315</v>
      </c>
      <c r="D211" s="75" t="str">
        <f>VLOOKUP($C211,청소코드!$C$4:$J$188,3,FALSE)</f>
        <v>동구햇살 1203</v>
      </c>
      <c r="E211" s="75" t="str">
        <f>VLOOKUP($C211,청소코드!$C$4:$J$188,4,FALSE)</f>
        <v>복</v>
      </c>
      <c r="F211" s="75" t="s">
        <v>426</v>
      </c>
      <c r="G211" s="75"/>
      <c r="H211" s="75"/>
      <c r="I211" s="75" t="s">
        <v>439</v>
      </c>
      <c r="J211" s="76">
        <f t="shared" si="7"/>
        <v>20000</v>
      </c>
      <c r="K211" s="75">
        <f>VLOOKUP($C211,청소코드!$C$4:$J$188,8,FALSE)</f>
        <v>20000</v>
      </c>
      <c r="L211" s="77"/>
      <c r="M211" s="78"/>
      <c r="N211" s="77"/>
      <c r="O211" s="77"/>
    </row>
    <row r="212" spans="1:15" ht="12.75" customHeight="1">
      <c r="A212" s="74">
        <v>46067</v>
      </c>
      <c r="B212" s="75" t="str">
        <f t="shared" si="6"/>
        <v>토</v>
      </c>
      <c r="C212" s="75" t="s">
        <v>292</v>
      </c>
      <c r="D212" s="75" t="str">
        <f>VLOOKUP($C212,청소코드!$C$4:$J$188,3,FALSE)</f>
        <v>오앤 401</v>
      </c>
      <c r="E212" s="75">
        <f>VLOOKUP($C212,청소코드!$C$4:$J$188,4,FALSE)</f>
        <v>1</v>
      </c>
      <c r="F212" s="75" t="s">
        <v>426</v>
      </c>
      <c r="G212" s="75"/>
      <c r="H212" s="75"/>
      <c r="I212" s="75" t="s">
        <v>439</v>
      </c>
      <c r="J212" s="76">
        <f t="shared" si="7"/>
        <v>18000</v>
      </c>
      <c r="K212" s="75">
        <f>VLOOKUP($C212,청소코드!$C$4:$J$188,8,FALSE)</f>
        <v>18000</v>
      </c>
      <c r="L212" s="77"/>
      <c r="M212" s="78"/>
      <c r="N212" s="77"/>
      <c r="O212" s="77"/>
    </row>
    <row r="213" spans="1:15" ht="12.75" customHeight="1">
      <c r="A213" s="74">
        <v>46067</v>
      </c>
      <c r="B213" s="75" t="str">
        <f t="shared" si="6"/>
        <v>토</v>
      </c>
      <c r="C213" s="75" t="s">
        <v>380</v>
      </c>
      <c r="D213" s="75" t="str">
        <f>VLOOKUP($C213,청소코드!$C$4:$J$188,3,FALSE)</f>
        <v>오금스타 205</v>
      </c>
      <c r="E213" s="75">
        <f>VLOOKUP($C213,청소코드!$C$4:$J$188,4,FALSE)</f>
        <v>1</v>
      </c>
      <c r="F213" s="75" t="s">
        <v>449</v>
      </c>
      <c r="G213" s="75"/>
      <c r="H213" s="75"/>
      <c r="I213" s="75" t="s">
        <v>439</v>
      </c>
      <c r="J213" s="76">
        <f t="shared" si="7"/>
        <v>18000</v>
      </c>
      <c r="K213" s="75">
        <f>VLOOKUP($C213,청소코드!$C$4:$J$188,8,FALSE)</f>
        <v>18000</v>
      </c>
      <c r="L213" s="77"/>
      <c r="M213" s="78"/>
      <c r="N213" s="77"/>
      <c r="O213" s="77"/>
    </row>
    <row r="214" spans="1:15" ht="12.75" customHeight="1">
      <c r="A214" s="74">
        <v>46067</v>
      </c>
      <c r="B214" s="75" t="str">
        <f t="shared" si="6"/>
        <v>토</v>
      </c>
      <c r="C214" s="75" t="s">
        <v>344</v>
      </c>
      <c r="D214" s="75" t="str">
        <f>VLOOKUP($C214,청소코드!$C$4:$J$188,3,FALSE)</f>
        <v>오금스타 402</v>
      </c>
      <c r="E214" s="75">
        <f>VLOOKUP($C214,청소코드!$C$4:$J$188,4,FALSE)</f>
        <v>1</v>
      </c>
      <c r="F214" s="75" t="s">
        <v>449</v>
      </c>
      <c r="G214" s="75"/>
      <c r="H214" s="75"/>
      <c r="I214" s="75" t="s">
        <v>439</v>
      </c>
      <c r="J214" s="76">
        <f t="shared" si="7"/>
        <v>18000</v>
      </c>
      <c r="K214" s="75">
        <f>VLOOKUP($C214,청소코드!$C$4:$J$188,8,FALSE)</f>
        <v>18000</v>
      </c>
      <c r="L214" s="77"/>
      <c r="M214" s="78"/>
      <c r="N214" s="77"/>
      <c r="O214" s="77"/>
    </row>
    <row r="215" spans="1:15" ht="12.75" customHeight="1">
      <c r="A215" s="74">
        <v>46067</v>
      </c>
      <c r="B215" s="75" t="str">
        <f t="shared" si="6"/>
        <v>토</v>
      </c>
      <c r="C215" s="75" t="s">
        <v>302</v>
      </c>
      <c r="D215" s="75" t="str">
        <f>VLOOKUP($C215,청소코드!$C$4:$J$188,3,FALSE)</f>
        <v>하람휴 1102</v>
      </c>
      <c r="E215" s="75">
        <f>VLOOKUP($C215,청소코드!$C$4:$J$188,4,FALSE)</f>
        <v>2</v>
      </c>
      <c r="F215" s="75" t="s">
        <v>408</v>
      </c>
      <c r="G215" s="75"/>
      <c r="H215" s="75"/>
      <c r="I215" s="75" t="s">
        <v>439</v>
      </c>
      <c r="J215" s="76">
        <f t="shared" si="7"/>
        <v>23000</v>
      </c>
      <c r="K215" s="75">
        <f>VLOOKUP($C215,청소코드!$C$4:$J$188,8,FALSE)</f>
        <v>23000</v>
      </c>
      <c r="L215" s="77"/>
      <c r="M215" s="78"/>
      <c r="N215" s="77"/>
      <c r="O215" s="77"/>
    </row>
    <row r="216" spans="1:15" ht="12.75" customHeight="1">
      <c r="A216" s="74">
        <v>46067</v>
      </c>
      <c r="B216" s="75" t="str">
        <f t="shared" si="6"/>
        <v>토</v>
      </c>
      <c r="C216" s="75" t="s">
        <v>416</v>
      </c>
      <c r="D216" s="75" t="str">
        <f>VLOOKUP($C216,청소코드!$C$4:$J$188,3,FALSE)</f>
        <v>청광1차 207</v>
      </c>
      <c r="E216" s="75">
        <f>VLOOKUP($C216,청소코드!$C$4:$J$188,4,FALSE)</f>
        <v>0</v>
      </c>
      <c r="F216" s="75" t="s">
        <v>426</v>
      </c>
      <c r="G216" s="75"/>
      <c r="H216" s="75"/>
      <c r="I216" s="75" t="s">
        <v>439</v>
      </c>
      <c r="J216" s="76">
        <f t="shared" si="7"/>
        <v>10000</v>
      </c>
      <c r="K216" s="75">
        <f>VLOOKUP($C216,청소코드!$C$4:$J$188,8,FALSE)</f>
        <v>10000</v>
      </c>
      <c r="L216" s="77"/>
      <c r="M216" s="78"/>
      <c r="N216" s="77"/>
      <c r="O216" s="77"/>
    </row>
    <row r="217" spans="1:15" ht="12.75" customHeight="1">
      <c r="A217" s="74">
        <v>46068</v>
      </c>
      <c r="B217" s="75" t="str">
        <f t="shared" si="6"/>
        <v>일</v>
      </c>
      <c r="C217" s="75" t="s">
        <v>334</v>
      </c>
      <c r="D217" s="75" t="str">
        <f>VLOOKUP($C217,청소코드!$C$4:$J$188,3,FALSE)</f>
        <v>센텀 2차 406</v>
      </c>
      <c r="E217" s="75">
        <f>VLOOKUP($C217,청소코드!$C$4:$J$188,4,FALSE)</f>
        <v>1.5</v>
      </c>
      <c r="F217" s="75" t="s">
        <v>437</v>
      </c>
      <c r="G217" s="75"/>
      <c r="H217" s="75"/>
      <c r="I217" s="75" t="s">
        <v>439</v>
      </c>
      <c r="J217" s="76">
        <f t="shared" si="7"/>
        <v>20000</v>
      </c>
      <c r="K217" s="75">
        <f>VLOOKUP($C217,청소코드!$C$4:$J$188,8,FALSE)</f>
        <v>20000</v>
      </c>
      <c r="L217" s="77"/>
      <c r="M217" s="78"/>
      <c r="N217" s="77"/>
      <c r="O217" s="77"/>
    </row>
    <row r="218" spans="1:15" ht="12.75" customHeight="1">
      <c r="A218" s="74">
        <v>46068</v>
      </c>
      <c r="B218" s="75" t="str">
        <f t="shared" si="6"/>
        <v>일</v>
      </c>
      <c r="C218" s="75" t="s">
        <v>325</v>
      </c>
      <c r="D218" s="75" t="str">
        <f>VLOOKUP($C218,청소코드!$C$4:$J$188,3,FALSE)</f>
        <v>센텀 2차 501</v>
      </c>
      <c r="E218" s="75">
        <f>VLOOKUP($C218,청소코드!$C$4:$J$188,4,FALSE)</f>
        <v>1.5</v>
      </c>
      <c r="F218" s="75" t="s">
        <v>437</v>
      </c>
      <c r="G218" s="75"/>
      <c r="H218" s="75"/>
      <c r="I218" s="75" t="s">
        <v>439</v>
      </c>
      <c r="J218" s="76">
        <f t="shared" si="7"/>
        <v>20000</v>
      </c>
      <c r="K218" s="75">
        <f>VLOOKUP($C218,청소코드!$C$4:$J$188,8,FALSE)</f>
        <v>20000</v>
      </c>
      <c r="L218" s="77"/>
      <c r="M218" s="78"/>
      <c r="N218" s="77"/>
      <c r="O218" s="77"/>
    </row>
    <row r="219" spans="1:15" ht="12.75" customHeight="1">
      <c r="A219" s="74">
        <v>46068</v>
      </c>
      <c r="B219" s="75" t="str">
        <f t="shared" si="6"/>
        <v>일</v>
      </c>
      <c r="C219" s="75" t="s">
        <v>339</v>
      </c>
      <c r="D219" s="75" t="str">
        <f>VLOOKUP($C219,청소코드!$C$4:$J$188,3,FALSE)</f>
        <v>센텀 2차 606</v>
      </c>
      <c r="E219" s="75">
        <f>VLOOKUP($C219,청소코드!$C$4:$J$188,4,FALSE)</f>
        <v>1.5</v>
      </c>
      <c r="F219" s="75" t="s">
        <v>437</v>
      </c>
      <c r="G219" s="75"/>
      <c r="H219" s="75"/>
      <c r="I219" s="75" t="s">
        <v>439</v>
      </c>
      <c r="J219" s="76">
        <f t="shared" si="7"/>
        <v>20000</v>
      </c>
      <c r="K219" s="75">
        <f>VLOOKUP($C219,청소코드!$C$4:$J$188,8,FALSE)</f>
        <v>20000</v>
      </c>
      <c r="L219" s="77"/>
      <c r="M219" s="78"/>
      <c r="N219" s="77"/>
      <c r="O219" s="77"/>
    </row>
    <row r="220" spans="1:15" ht="12.75" customHeight="1">
      <c r="A220" s="74">
        <v>46068</v>
      </c>
      <c r="B220" s="75" t="str">
        <f t="shared" si="6"/>
        <v>일</v>
      </c>
      <c r="C220" s="75" t="s">
        <v>379</v>
      </c>
      <c r="D220" s="75" t="str">
        <f>VLOOKUP($C220,청소코드!$C$4:$J$188,3,FALSE)</f>
        <v>si 602</v>
      </c>
      <c r="E220" s="75">
        <f>VLOOKUP($C220,청소코드!$C$4:$J$188,4,FALSE)</f>
        <v>1</v>
      </c>
      <c r="F220" s="75" t="s">
        <v>437</v>
      </c>
      <c r="G220" s="75"/>
      <c r="H220" s="75"/>
      <c r="I220" s="75" t="s">
        <v>439</v>
      </c>
      <c r="J220" s="76">
        <f t="shared" si="7"/>
        <v>20000</v>
      </c>
      <c r="K220" s="75">
        <f>VLOOKUP($C220,청소코드!$C$4:$J$188,8,FALSE)</f>
        <v>20000</v>
      </c>
      <c r="L220" s="77"/>
      <c r="M220" s="78"/>
      <c r="N220" s="77"/>
      <c r="O220" s="77"/>
    </row>
    <row r="221" spans="1:15" ht="12.75" customHeight="1">
      <c r="A221" s="74">
        <v>46068</v>
      </c>
      <c r="B221" s="75" t="str">
        <f t="shared" si="6"/>
        <v>일</v>
      </c>
      <c r="C221" s="75" t="s">
        <v>369</v>
      </c>
      <c r="D221" s="75" t="str">
        <f>VLOOKUP($C221,청소코드!$C$4:$J$188,3,FALSE)</f>
        <v>성우 402</v>
      </c>
      <c r="E221" s="75">
        <f>VLOOKUP($C221,청소코드!$C$4:$J$188,4,FALSE)</f>
        <v>3</v>
      </c>
      <c r="F221" s="75" t="s">
        <v>452</v>
      </c>
      <c r="G221" s="75"/>
      <c r="H221" s="75"/>
      <c r="I221" s="75" t="s">
        <v>439</v>
      </c>
      <c r="J221" s="76">
        <f t="shared" si="7"/>
        <v>30000</v>
      </c>
      <c r="K221" s="75">
        <f>VLOOKUP($C221,청소코드!$C$4:$J$188,8,FALSE)</f>
        <v>30000</v>
      </c>
      <c r="L221" s="77"/>
      <c r="M221" s="78"/>
      <c r="N221" s="77"/>
      <c r="O221" s="77"/>
    </row>
    <row r="222" spans="1:15" ht="12.75" customHeight="1">
      <c r="A222" s="74">
        <v>46068</v>
      </c>
      <c r="B222" s="75" t="str">
        <f t="shared" si="6"/>
        <v>일</v>
      </c>
      <c r="C222" s="75" t="s">
        <v>330</v>
      </c>
      <c r="D222" s="75" t="str">
        <f>VLOOKUP($C222,청소코드!$C$4:$J$188,3,FALSE)</f>
        <v>예건 204</v>
      </c>
      <c r="E222" s="75">
        <f>VLOOKUP($C222,청소코드!$C$4:$J$188,4,FALSE)</f>
        <v>1</v>
      </c>
      <c r="F222" s="75" t="s">
        <v>452</v>
      </c>
      <c r="G222" s="75"/>
      <c r="H222" s="75"/>
      <c r="I222" s="75" t="s">
        <v>439</v>
      </c>
      <c r="J222" s="76">
        <f t="shared" si="7"/>
        <v>18000</v>
      </c>
      <c r="K222" s="75">
        <f>VLOOKUP($C222,청소코드!$C$4:$J$188,8,FALSE)</f>
        <v>18000</v>
      </c>
      <c r="L222" s="77"/>
      <c r="M222" s="78"/>
      <c r="N222" s="77"/>
      <c r="O222" s="77"/>
    </row>
    <row r="223" spans="1:15" ht="12.75" customHeight="1">
      <c r="A223" s="74">
        <v>46068</v>
      </c>
      <c r="B223" s="75" t="str">
        <f t="shared" si="6"/>
        <v>일</v>
      </c>
      <c r="C223" s="75" t="s">
        <v>341</v>
      </c>
      <c r="D223" s="75" t="str">
        <f>VLOOKUP($C223,청소코드!$C$4:$J$188,3,FALSE)</f>
        <v>예건 303</v>
      </c>
      <c r="E223" s="75">
        <f>VLOOKUP($C223,청소코드!$C$4:$J$188,4,FALSE)</f>
        <v>2</v>
      </c>
      <c r="F223" s="75" t="s">
        <v>438</v>
      </c>
      <c r="G223" s="75"/>
      <c r="H223" s="75"/>
      <c r="I223" s="75" t="s">
        <v>439</v>
      </c>
      <c r="J223" s="76">
        <f t="shared" si="7"/>
        <v>23000</v>
      </c>
      <c r="K223" s="75">
        <f>VLOOKUP($C223,청소코드!$C$4:$J$188,8,FALSE)</f>
        <v>23000</v>
      </c>
      <c r="L223" s="77"/>
      <c r="M223" s="78"/>
      <c r="N223" s="77"/>
      <c r="O223" s="77"/>
    </row>
    <row r="224" spans="1:15" ht="12.75" customHeight="1">
      <c r="A224" s="74">
        <v>46068</v>
      </c>
      <c r="B224" s="75" t="str">
        <f t="shared" si="6"/>
        <v>일</v>
      </c>
      <c r="C224" s="75" t="s">
        <v>371</v>
      </c>
      <c r="D224" s="75" t="str">
        <f>VLOOKUP($C224,청소코드!$C$4:$J$188,3,FALSE)</f>
        <v>예건 602</v>
      </c>
      <c r="E224" s="75">
        <f>VLOOKUP($C224,청소코드!$C$4:$J$188,4,FALSE)</f>
        <v>1</v>
      </c>
      <c r="F224" s="75" t="s">
        <v>438</v>
      </c>
      <c r="G224" s="75"/>
      <c r="H224" s="75"/>
      <c r="I224" s="75" t="s">
        <v>439</v>
      </c>
      <c r="J224" s="76">
        <f t="shared" si="7"/>
        <v>18000</v>
      </c>
      <c r="K224" s="75">
        <f>VLOOKUP($C224,청소코드!$C$4:$J$188,8,FALSE)</f>
        <v>18000</v>
      </c>
      <c r="L224" s="77"/>
      <c r="M224" s="78"/>
      <c r="N224" s="77"/>
      <c r="O224" s="77"/>
    </row>
    <row r="225" spans="1:15" ht="12.75" customHeight="1">
      <c r="A225" s="74">
        <v>46068</v>
      </c>
      <c r="B225" s="75" t="str">
        <f t="shared" si="6"/>
        <v>일</v>
      </c>
      <c r="C225" s="75" t="s">
        <v>360</v>
      </c>
      <c r="D225" s="75" t="str">
        <f>VLOOKUP($C225,청소코드!$C$4:$J$188,3,FALSE)</f>
        <v>더하임 306</v>
      </c>
      <c r="E225" s="75">
        <f>VLOOKUP($C225,청소코드!$C$4:$J$188,4,FALSE)</f>
        <v>1.5</v>
      </c>
      <c r="F225" s="75" t="s">
        <v>429</v>
      </c>
      <c r="G225" s="75"/>
      <c r="H225" s="75"/>
      <c r="I225" s="75" t="s">
        <v>439</v>
      </c>
      <c r="J225" s="76">
        <f t="shared" si="7"/>
        <v>20000</v>
      </c>
      <c r="K225" s="75">
        <f>VLOOKUP($C225,청소코드!$C$4:$J$188,8,FALSE)</f>
        <v>20000</v>
      </c>
      <c r="L225" s="77"/>
      <c r="M225" s="78"/>
      <c r="N225" s="77"/>
      <c r="O225" s="77"/>
    </row>
    <row r="226" spans="1:15" ht="12.75" customHeight="1">
      <c r="A226" s="74">
        <v>46068</v>
      </c>
      <c r="B226" s="75" t="str">
        <f t="shared" si="6"/>
        <v>일</v>
      </c>
      <c r="C226" s="75" t="s">
        <v>390</v>
      </c>
      <c r="D226" s="75" t="str">
        <f>VLOOKUP($C226,청소코드!$C$4:$J$188,3,FALSE)</f>
        <v>더하임 406</v>
      </c>
      <c r="E226" s="75">
        <f>VLOOKUP($C226,청소코드!$C$4:$J$188,4,FALSE)</f>
        <v>1.5</v>
      </c>
      <c r="F226" s="75" t="s">
        <v>429</v>
      </c>
      <c r="G226" s="75"/>
      <c r="H226" s="75"/>
      <c r="I226" s="75" t="s">
        <v>439</v>
      </c>
      <c r="J226" s="76">
        <f t="shared" si="7"/>
        <v>20000</v>
      </c>
      <c r="K226" s="75">
        <f>VLOOKUP($C226,청소코드!$C$4:$J$188,8,FALSE)</f>
        <v>20000</v>
      </c>
      <c r="L226" s="77"/>
      <c r="M226" s="78"/>
      <c r="N226" s="77"/>
      <c r="O226" s="77"/>
    </row>
    <row r="227" spans="1:15" ht="12.75" customHeight="1">
      <c r="A227" s="74">
        <v>46068</v>
      </c>
      <c r="B227" s="75" t="str">
        <f t="shared" si="6"/>
        <v>일</v>
      </c>
      <c r="C227" s="75" t="s">
        <v>417</v>
      </c>
      <c r="D227" s="75" t="str">
        <f>VLOOKUP($C227,청소코드!$C$4:$J$188,3,FALSE)</f>
        <v>더하임 504</v>
      </c>
      <c r="E227" s="75">
        <f>VLOOKUP($C227,청소코드!$C$4:$J$188,4,FALSE)</f>
        <v>1</v>
      </c>
      <c r="F227" s="75" t="s">
        <v>429</v>
      </c>
      <c r="G227" s="75"/>
      <c r="H227" s="75"/>
      <c r="I227" s="75" t="s">
        <v>439</v>
      </c>
      <c r="J227" s="76">
        <f t="shared" si="7"/>
        <v>18000</v>
      </c>
      <c r="K227" s="75">
        <f>VLOOKUP($C227,청소코드!$C$4:$J$188,8,FALSE)</f>
        <v>18000</v>
      </c>
      <c r="L227" s="77"/>
      <c r="M227" s="78"/>
      <c r="N227" s="77"/>
      <c r="O227" s="77"/>
    </row>
    <row r="228" spans="1:15" ht="12.75" customHeight="1">
      <c r="A228" s="74">
        <v>46068</v>
      </c>
      <c r="B228" s="75" t="str">
        <f t="shared" si="6"/>
        <v>일</v>
      </c>
      <c r="C228" s="75" t="s">
        <v>283</v>
      </c>
      <c r="D228" s="75" t="str">
        <f>VLOOKUP($C228,청소코드!$C$4:$J$188,3,FALSE)</f>
        <v>강동QV 1604</v>
      </c>
      <c r="E228" s="75">
        <f>VLOOKUP($C228,청소코드!$C$4:$J$188,4,FALSE)</f>
        <v>1</v>
      </c>
      <c r="F228" s="75" t="s">
        <v>426</v>
      </c>
      <c r="G228" s="75"/>
      <c r="H228" s="75"/>
      <c r="I228" s="75" t="s">
        <v>439</v>
      </c>
      <c r="J228" s="76">
        <f t="shared" si="7"/>
        <v>18000</v>
      </c>
      <c r="K228" s="75">
        <f>VLOOKUP($C228,청소코드!$C$4:$J$188,8,FALSE)</f>
        <v>18000</v>
      </c>
      <c r="L228" s="77"/>
      <c r="M228" s="78"/>
      <c r="N228" s="77"/>
      <c r="O228" s="77"/>
    </row>
    <row r="229" spans="1:15" ht="12.75" customHeight="1">
      <c r="A229" s="74">
        <v>46068</v>
      </c>
      <c r="B229" s="75" t="str">
        <f t="shared" si="6"/>
        <v>일</v>
      </c>
      <c r="C229" s="75" t="s">
        <v>315</v>
      </c>
      <c r="D229" s="75" t="str">
        <f>VLOOKUP($C229,청소코드!$C$4:$J$188,3,FALSE)</f>
        <v>동구햇살 1203</v>
      </c>
      <c r="E229" s="75" t="str">
        <f>VLOOKUP($C229,청소코드!$C$4:$J$188,4,FALSE)</f>
        <v>복</v>
      </c>
      <c r="F229" s="75" t="s">
        <v>426</v>
      </c>
      <c r="G229" s="75"/>
      <c r="H229" s="75"/>
      <c r="I229" s="75" t="s">
        <v>439</v>
      </c>
      <c r="J229" s="76">
        <f t="shared" si="7"/>
        <v>20000</v>
      </c>
      <c r="K229" s="75">
        <f>VLOOKUP($C229,청소코드!$C$4:$J$188,8,FALSE)</f>
        <v>20000</v>
      </c>
      <c r="L229" s="77"/>
      <c r="M229" s="78"/>
      <c r="N229" s="77"/>
      <c r="O229" s="77"/>
    </row>
    <row r="230" spans="1:15" ht="12.75" customHeight="1">
      <c r="A230" s="74">
        <v>46068</v>
      </c>
      <c r="B230" s="75" t="str">
        <f t="shared" si="6"/>
        <v>일</v>
      </c>
      <c r="C230" s="75" t="s">
        <v>292</v>
      </c>
      <c r="D230" s="75" t="str">
        <f>VLOOKUP($C230,청소코드!$C$4:$J$188,3,FALSE)</f>
        <v>오앤 401</v>
      </c>
      <c r="E230" s="75">
        <f>VLOOKUP($C230,청소코드!$C$4:$J$188,4,FALSE)</f>
        <v>1</v>
      </c>
      <c r="F230" s="75" t="s">
        <v>426</v>
      </c>
      <c r="G230" s="75"/>
      <c r="H230" s="75"/>
      <c r="I230" s="75" t="s">
        <v>439</v>
      </c>
      <c r="J230" s="76">
        <f t="shared" si="7"/>
        <v>18000</v>
      </c>
      <c r="K230" s="75">
        <f>VLOOKUP($C230,청소코드!$C$4:$J$188,8,FALSE)</f>
        <v>18000</v>
      </c>
      <c r="L230" s="77"/>
      <c r="M230" s="78"/>
      <c r="N230" s="77"/>
      <c r="O230" s="77"/>
    </row>
    <row r="231" spans="1:15" ht="12.75" customHeight="1">
      <c r="A231" s="74">
        <v>46068</v>
      </c>
      <c r="B231" s="75" t="str">
        <f t="shared" si="6"/>
        <v>일</v>
      </c>
      <c r="C231" s="75" t="s">
        <v>290</v>
      </c>
      <c r="D231" s="75" t="str">
        <f>VLOOKUP($C231,청소코드!$C$4:$J$188,3,FALSE)</f>
        <v>렘브 204</v>
      </c>
      <c r="E231" s="75">
        <f>VLOOKUP($C231,청소코드!$C$4:$J$188,4,FALSE)</f>
        <v>1</v>
      </c>
      <c r="F231" s="75" t="s">
        <v>449</v>
      </c>
      <c r="G231" s="75"/>
      <c r="H231" s="75"/>
      <c r="I231" s="75" t="s">
        <v>439</v>
      </c>
      <c r="J231" s="76">
        <f t="shared" si="7"/>
        <v>18000</v>
      </c>
      <c r="K231" s="75">
        <f>VLOOKUP($C231,청소코드!$C$4:$J$188,8,FALSE)</f>
        <v>18000</v>
      </c>
      <c r="L231" s="77"/>
      <c r="M231" s="78"/>
      <c r="N231" s="77"/>
      <c r="O231" s="77"/>
    </row>
    <row r="232" spans="1:15" ht="12.75" customHeight="1">
      <c r="A232" s="74">
        <v>46068</v>
      </c>
      <c r="B232" s="75" t="str">
        <f t="shared" si="6"/>
        <v>일</v>
      </c>
      <c r="C232" s="75" t="s">
        <v>304</v>
      </c>
      <c r="D232" s="75" t="str">
        <f>VLOOKUP($C232,청소코드!$C$4:$J$188,3,FALSE)</f>
        <v>렘브 505</v>
      </c>
      <c r="E232" s="75">
        <f>VLOOKUP($C232,청소코드!$C$4:$J$188,4,FALSE)</f>
        <v>1</v>
      </c>
      <c r="F232" s="75" t="s">
        <v>449</v>
      </c>
      <c r="G232" s="75"/>
      <c r="H232" s="75"/>
      <c r="I232" s="75" t="s">
        <v>439</v>
      </c>
      <c r="J232" s="76">
        <f t="shared" si="7"/>
        <v>18000</v>
      </c>
      <c r="K232" s="75">
        <f>VLOOKUP($C232,청소코드!$C$4:$J$188,8,FALSE)</f>
        <v>18000</v>
      </c>
      <c r="L232" s="77"/>
      <c r="M232" s="78"/>
      <c r="N232" s="77"/>
      <c r="O232" s="77"/>
    </row>
    <row r="233" spans="1:15" ht="12.75" customHeight="1">
      <c r="A233" s="74">
        <v>46068</v>
      </c>
      <c r="B233" s="75" t="str">
        <f t="shared" si="6"/>
        <v>일</v>
      </c>
      <c r="C233" s="75" t="s">
        <v>380</v>
      </c>
      <c r="D233" s="75" t="str">
        <f>VLOOKUP($C233,청소코드!$C$4:$J$188,3,FALSE)</f>
        <v>오금스타 205</v>
      </c>
      <c r="E233" s="75">
        <f>VLOOKUP($C233,청소코드!$C$4:$J$188,4,FALSE)</f>
        <v>1</v>
      </c>
      <c r="F233" s="75" t="s">
        <v>449</v>
      </c>
      <c r="G233" s="75"/>
      <c r="H233" s="75"/>
      <c r="I233" s="75" t="s">
        <v>439</v>
      </c>
      <c r="J233" s="76">
        <f t="shared" si="7"/>
        <v>48500</v>
      </c>
      <c r="K233" s="75">
        <f>VLOOKUP($C233,청소코드!$C$4:$J$188,8,FALSE)</f>
        <v>18000</v>
      </c>
      <c r="L233" s="77"/>
      <c r="M233" s="78"/>
      <c r="N233" s="77">
        <v>30500</v>
      </c>
      <c r="O233" s="77"/>
    </row>
    <row r="234" spans="1:15" ht="12.75" customHeight="1">
      <c r="A234" s="74">
        <v>46068</v>
      </c>
      <c r="B234" s="75" t="str">
        <f t="shared" si="6"/>
        <v>일</v>
      </c>
      <c r="C234" s="75" t="s">
        <v>298</v>
      </c>
      <c r="D234" s="75" t="str">
        <f>VLOOKUP($C234,청소코드!$C$4:$J$188,3,FALSE)</f>
        <v>선일 101</v>
      </c>
      <c r="E234" s="75">
        <f>VLOOKUP($C234,청소코드!$C$4:$J$188,4,FALSE)</f>
        <v>2</v>
      </c>
      <c r="F234" s="75" t="s">
        <v>461</v>
      </c>
      <c r="G234" s="75"/>
      <c r="H234" s="75"/>
      <c r="I234" s="75" t="s">
        <v>439</v>
      </c>
      <c r="J234" s="76">
        <f t="shared" si="7"/>
        <v>31500</v>
      </c>
      <c r="K234" s="75">
        <f>VLOOKUP($C234,청소코드!$C$4:$J$188,8,FALSE)</f>
        <v>23000</v>
      </c>
      <c r="L234" s="77"/>
      <c r="M234" s="78"/>
      <c r="N234" s="77">
        <v>8500</v>
      </c>
      <c r="O234" s="77"/>
    </row>
    <row r="235" spans="1:15" ht="12.75" customHeight="1">
      <c r="A235" s="74">
        <v>46068</v>
      </c>
      <c r="B235" s="75" t="str">
        <f t="shared" si="6"/>
        <v>일</v>
      </c>
      <c r="C235" s="75" t="s">
        <v>302</v>
      </c>
      <c r="D235" s="75" t="str">
        <f>VLOOKUP($C235,청소코드!$C$4:$J$188,3,FALSE)</f>
        <v>하람휴 1102</v>
      </c>
      <c r="E235" s="75">
        <f>VLOOKUP($C235,청소코드!$C$4:$J$188,4,FALSE)</f>
        <v>2</v>
      </c>
      <c r="F235" s="75" t="s">
        <v>408</v>
      </c>
      <c r="G235" s="75"/>
      <c r="H235" s="75"/>
      <c r="I235" s="75" t="s">
        <v>439</v>
      </c>
      <c r="J235" s="76">
        <f t="shared" si="7"/>
        <v>23000</v>
      </c>
      <c r="K235" s="75">
        <f>VLOOKUP($C235,청소코드!$C$4:$J$188,8,FALSE)</f>
        <v>23000</v>
      </c>
      <c r="L235" s="77"/>
      <c r="M235" s="78"/>
      <c r="N235" s="77"/>
      <c r="O235" s="77"/>
    </row>
    <row r="236" spans="1:15" ht="12.75" customHeight="1">
      <c r="A236" s="74">
        <v>46068</v>
      </c>
      <c r="B236" s="75" t="str">
        <f t="shared" si="6"/>
        <v>일</v>
      </c>
      <c r="C236" s="75" t="s">
        <v>416</v>
      </c>
      <c r="D236" s="75" t="str">
        <f>VLOOKUP($C236,청소코드!$C$4:$J$188,3,FALSE)</f>
        <v>청광1차 207</v>
      </c>
      <c r="E236" s="75">
        <f>VLOOKUP($C236,청소코드!$C$4:$J$188,4,FALSE)</f>
        <v>0</v>
      </c>
      <c r="F236" s="75" t="s">
        <v>426</v>
      </c>
      <c r="G236" s="75"/>
      <c r="H236" s="75"/>
      <c r="I236" s="75" t="s">
        <v>439</v>
      </c>
      <c r="J236" s="76">
        <f t="shared" si="7"/>
        <v>10000</v>
      </c>
      <c r="K236" s="75">
        <f>VLOOKUP($C236,청소코드!$C$4:$J$188,8,FALSE)</f>
        <v>10000</v>
      </c>
      <c r="L236" s="77"/>
      <c r="M236" s="78"/>
      <c r="N236" s="77"/>
      <c r="O236" s="77"/>
    </row>
    <row r="237" spans="1:15" ht="12.75" customHeight="1">
      <c r="A237" s="74">
        <v>46069</v>
      </c>
      <c r="B237" s="75" t="str">
        <f t="shared" si="6"/>
        <v>월</v>
      </c>
      <c r="C237" s="75" t="s">
        <v>334</v>
      </c>
      <c r="D237" s="75" t="str">
        <f>VLOOKUP($C237,청소코드!$C$4:$J$188,3,FALSE)</f>
        <v>센텀 2차 406</v>
      </c>
      <c r="E237" s="75">
        <f>VLOOKUP($C237,청소코드!$C$4:$J$188,4,FALSE)</f>
        <v>1.5</v>
      </c>
      <c r="F237" s="75" t="s">
        <v>438</v>
      </c>
      <c r="G237" s="75"/>
      <c r="H237" s="75"/>
      <c r="I237" s="75" t="s">
        <v>439</v>
      </c>
      <c r="J237" s="76">
        <f t="shared" si="7"/>
        <v>20000</v>
      </c>
      <c r="K237" s="75">
        <f>VLOOKUP($C237,청소코드!$C$4:$J$188,8,FALSE)</f>
        <v>20000</v>
      </c>
      <c r="L237" s="77"/>
      <c r="M237" s="78"/>
      <c r="N237" s="77"/>
      <c r="O237" s="77"/>
    </row>
    <row r="238" spans="1:15" ht="12.75" customHeight="1">
      <c r="A238" s="74">
        <v>46069</v>
      </c>
      <c r="B238" s="75" t="str">
        <f t="shared" si="6"/>
        <v>월</v>
      </c>
      <c r="C238" s="75" t="s">
        <v>339</v>
      </c>
      <c r="D238" s="75" t="str">
        <f>VLOOKUP($C238,청소코드!$C$4:$J$188,3,FALSE)</f>
        <v>센텀 2차 606</v>
      </c>
      <c r="E238" s="75">
        <f>VLOOKUP($C238,청소코드!$C$4:$J$188,4,FALSE)</f>
        <v>1.5</v>
      </c>
      <c r="F238" s="75" t="s">
        <v>438</v>
      </c>
      <c r="G238" s="75"/>
      <c r="H238" s="75"/>
      <c r="I238" s="75" t="s">
        <v>439</v>
      </c>
      <c r="J238" s="76">
        <f t="shared" si="7"/>
        <v>20000</v>
      </c>
      <c r="K238" s="75">
        <f>VLOOKUP($C238,청소코드!$C$4:$J$188,8,FALSE)</f>
        <v>20000</v>
      </c>
      <c r="L238" s="77"/>
      <c r="M238" s="78"/>
      <c r="N238" s="77"/>
      <c r="O238" s="77"/>
    </row>
    <row r="239" spans="1:15" ht="12.75" customHeight="1">
      <c r="A239" s="74">
        <v>46069</v>
      </c>
      <c r="B239" s="75" t="str">
        <f t="shared" si="6"/>
        <v>월</v>
      </c>
      <c r="C239" s="75" t="s">
        <v>356</v>
      </c>
      <c r="D239" s="75" t="str">
        <f>VLOOKUP($C239,청소코드!$C$4:$J$188,3,FALSE)</f>
        <v>성우 803</v>
      </c>
      <c r="E239" s="75">
        <f>VLOOKUP($C239,청소코드!$C$4:$J$188,4,FALSE)</f>
        <v>3</v>
      </c>
      <c r="F239" s="75" t="s">
        <v>429</v>
      </c>
      <c r="G239" s="75"/>
      <c r="H239" s="75"/>
      <c r="I239" s="75" t="s">
        <v>439</v>
      </c>
      <c r="J239" s="76">
        <f t="shared" si="7"/>
        <v>30000</v>
      </c>
      <c r="K239" s="75">
        <f>VLOOKUP($C239,청소코드!$C$4:$J$188,8,FALSE)</f>
        <v>30000</v>
      </c>
      <c r="L239" s="77"/>
      <c r="M239" s="78"/>
      <c r="N239" s="77"/>
      <c r="O239" s="77"/>
    </row>
    <row r="240" spans="1:15" ht="12.75" customHeight="1">
      <c r="A240" s="74">
        <v>46069</v>
      </c>
      <c r="B240" s="75" t="str">
        <f t="shared" si="6"/>
        <v>월</v>
      </c>
      <c r="C240" s="75" t="s">
        <v>371</v>
      </c>
      <c r="D240" s="75" t="str">
        <f>VLOOKUP($C240,청소코드!$C$4:$J$188,3,FALSE)</f>
        <v>예건 602</v>
      </c>
      <c r="E240" s="75">
        <f>VLOOKUP($C240,청소코드!$C$4:$J$188,4,FALSE)</f>
        <v>1</v>
      </c>
      <c r="F240" s="75" t="s">
        <v>429</v>
      </c>
      <c r="G240" s="75"/>
      <c r="H240" s="75"/>
      <c r="I240" s="75" t="s">
        <v>439</v>
      </c>
      <c r="J240" s="76">
        <f t="shared" si="7"/>
        <v>18000</v>
      </c>
      <c r="K240" s="75">
        <f>VLOOKUP($C240,청소코드!$C$4:$J$188,8,FALSE)</f>
        <v>18000</v>
      </c>
      <c r="L240" s="77"/>
      <c r="M240" s="78"/>
      <c r="N240" s="77"/>
      <c r="O240" s="77"/>
    </row>
    <row r="241" spans="1:15" ht="12.75" customHeight="1">
      <c r="A241" s="74">
        <v>46069</v>
      </c>
      <c r="B241" s="75" t="str">
        <f t="shared" si="6"/>
        <v>월</v>
      </c>
      <c r="C241" s="75" t="s">
        <v>286</v>
      </c>
      <c r="D241" s="75" t="str">
        <f>VLOOKUP($C241,청소코드!$C$4:$J$188,3,FALSE)</f>
        <v>청광3차 1416</v>
      </c>
      <c r="E241" s="75">
        <f>VLOOKUP($C241,청소코드!$C$4:$J$188,4,FALSE)</f>
        <v>1</v>
      </c>
      <c r="F241" s="75" t="s">
        <v>429</v>
      </c>
      <c r="G241" s="75"/>
      <c r="H241" s="75"/>
      <c r="I241" s="75" t="s">
        <v>439</v>
      </c>
      <c r="J241" s="76">
        <f t="shared" si="7"/>
        <v>18000</v>
      </c>
      <c r="K241" s="75">
        <f>VLOOKUP($C241,청소코드!$C$4:$J$188,8,FALSE)</f>
        <v>18000</v>
      </c>
      <c r="L241" s="77"/>
      <c r="M241" s="78"/>
      <c r="N241" s="77"/>
      <c r="O241" s="77"/>
    </row>
    <row r="242" spans="1:15" ht="12.75" customHeight="1">
      <c r="A242" s="74">
        <v>46069</v>
      </c>
      <c r="B242" s="75" t="str">
        <f t="shared" si="6"/>
        <v>월</v>
      </c>
      <c r="C242" s="75" t="s">
        <v>360</v>
      </c>
      <c r="D242" s="75" t="str">
        <f>VLOOKUP($C242,청소코드!$C$4:$J$188,3,FALSE)</f>
        <v>더하임 306</v>
      </c>
      <c r="E242" s="75">
        <f>VLOOKUP($C242,청소코드!$C$4:$J$188,4,FALSE)</f>
        <v>1.5</v>
      </c>
      <c r="F242" s="75" t="s">
        <v>426</v>
      </c>
      <c r="G242" s="75"/>
      <c r="H242" s="75"/>
      <c r="I242" s="75" t="s">
        <v>439</v>
      </c>
      <c r="J242" s="76">
        <f t="shared" si="7"/>
        <v>20000</v>
      </c>
      <c r="K242" s="75">
        <f>VLOOKUP($C242,청소코드!$C$4:$J$188,8,FALSE)</f>
        <v>20000</v>
      </c>
      <c r="L242" s="77"/>
      <c r="M242" s="78"/>
      <c r="N242" s="77"/>
      <c r="O242" s="77"/>
    </row>
    <row r="243" spans="1:15" ht="12.75" customHeight="1">
      <c r="A243" s="74">
        <v>46069</v>
      </c>
      <c r="B243" s="75" t="str">
        <f t="shared" si="6"/>
        <v>월</v>
      </c>
      <c r="C243" s="75" t="s">
        <v>283</v>
      </c>
      <c r="D243" s="75" t="str">
        <f>VLOOKUP($C243,청소코드!$C$4:$J$188,3,FALSE)</f>
        <v>강동QV 1604</v>
      </c>
      <c r="E243" s="75">
        <f>VLOOKUP($C243,청소코드!$C$4:$J$188,4,FALSE)</f>
        <v>1</v>
      </c>
      <c r="F243" s="75" t="s">
        <v>426</v>
      </c>
      <c r="G243" s="75"/>
      <c r="H243" s="75"/>
      <c r="I243" s="75" t="s">
        <v>439</v>
      </c>
      <c r="J243" s="76">
        <f t="shared" si="7"/>
        <v>18000</v>
      </c>
      <c r="K243" s="75">
        <f>VLOOKUP($C243,청소코드!$C$4:$J$188,8,FALSE)</f>
        <v>18000</v>
      </c>
      <c r="L243" s="77"/>
      <c r="M243" s="78"/>
      <c r="N243" s="77"/>
      <c r="O243" s="77"/>
    </row>
    <row r="244" spans="1:15" ht="12.75" customHeight="1">
      <c r="A244" s="74">
        <v>46069</v>
      </c>
      <c r="B244" s="75" t="str">
        <f t="shared" si="6"/>
        <v>월</v>
      </c>
      <c r="C244" s="75" t="s">
        <v>292</v>
      </c>
      <c r="D244" s="75" t="str">
        <f>VLOOKUP($C244,청소코드!$C$4:$J$188,3,FALSE)</f>
        <v>오앤 401</v>
      </c>
      <c r="E244" s="75">
        <f>VLOOKUP($C244,청소코드!$C$4:$J$188,4,FALSE)</f>
        <v>1</v>
      </c>
      <c r="F244" s="75" t="s">
        <v>426</v>
      </c>
      <c r="G244" s="75"/>
      <c r="H244" s="75"/>
      <c r="I244" s="75" t="s">
        <v>439</v>
      </c>
      <c r="J244" s="76">
        <f t="shared" si="7"/>
        <v>18000</v>
      </c>
      <c r="K244" s="75">
        <f>VLOOKUP($C244,청소코드!$C$4:$J$188,8,FALSE)</f>
        <v>18000</v>
      </c>
      <c r="L244" s="77"/>
      <c r="M244" s="78"/>
      <c r="N244" s="77"/>
      <c r="O244" s="77"/>
    </row>
    <row r="245" spans="1:15" ht="12.75" customHeight="1">
      <c r="A245" s="74">
        <v>46069</v>
      </c>
      <c r="B245" s="75" t="str">
        <f t="shared" si="6"/>
        <v>월</v>
      </c>
      <c r="C245" s="75" t="s">
        <v>284</v>
      </c>
      <c r="D245" s="75" t="str">
        <f>VLOOKUP($C245,청소코드!$C$4:$J$188,3,FALSE)</f>
        <v>청광1차 1303</v>
      </c>
      <c r="E245" s="75">
        <f>VLOOKUP($C245,청소코드!$C$4:$J$188,4,FALSE)</f>
        <v>1</v>
      </c>
      <c r="F245" s="75" t="s">
        <v>437</v>
      </c>
      <c r="G245" s="75"/>
      <c r="H245" s="75"/>
      <c r="I245" s="75" t="s">
        <v>439</v>
      </c>
      <c r="J245" s="76">
        <f t="shared" si="7"/>
        <v>18000</v>
      </c>
      <c r="K245" s="75">
        <f>VLOOKUP($C245,청소코드!$C$4:$J$188,8,FALSE)</f>
        <v>18000</v>
      </c>
      <c r="L245" s="77"/>
      <c r="M245" s="78"/>
      <c r="N245" s="77"/>
      <c r="O245" s="77"/>
    </row>
    <row r="246" spans="1:15" ht="12.75" customHeight="1">
      <c r="A246" s="74">
        <v>46069</v>
      </c>
      <c r="B246" s="75" t="str">
        <f t="shared" si="6"/>
        <v>월</v>
      </c>
      <c r="C246" s="75" t="s">
        <v>295</v>
      </c>
      <c r="D246" s="75" t="str">
        <f>VLOOKUP($C246,청소코드!$C$4:$J$188,3,FALSE)</f>
        <v>르센티 1801</v>
      </c>
      <c r="E246" s="75" t="str">
        <f>VLOOKUP($C246,청소코드!$C$4:$J$188,4,FALSE)</f>
        <v>복</v>
      </c>
      <c r="F246" s="75" t="s">
        <v>437</v>
      </c>
      <c r="G246" s="75" t="s">
        <v>487</v>
      </c>
      <c r="H246" s="75"/>
      <c r="I246" s="75" t="s">
        <v>439</v>
      </c>
      <c r="J246" s="76">
        <f t="shared" si="7"/>
        <v>20000</v>
      </c>
      <c r="K246" s="75">
        <f>VLOOKUP($C246,청소코드!$C$4:$J$188,8,FALSE)</f>
        <v>20000</v>
      </c>
      <c r="L246" s="77"/>
      <c r="M246" s="78"/>
      <c r="N246" s="77"/>
      <c r="O246" s="77"/>
    </row>
    <row r="247" spans="1:15" ht="12.75" customHeight="1">
      <c r="A247" s="74">
        <v>46069</v>
      </c>
      <c r="B247" s="75" t="str">
        <f t="shared" si="6"/>
        <v>월</v>
      </c>
      <c r="C247" s="75" t="s">
        <v>290</v>
      </c>
      <c r="D247" s="75" t="str">
        <f>VLOOKUP($C247,청소코드!$C$4:$J$188,3,FALSE)</f>
        <v>렘브 204</v>
      </c>
      <c r="E247" s="75">
        <f>VLOOKUP($C247,청소코드!$C$4:$J$188,4,FALSE)</f>
        <v>1</v>
      </c>
      <c r="F247" s="75" t="s">
        <v>437</v>
      </c>
      <c r="G247" s="75"/>
      <c r="H247" s="75"/>
      <c r="I247" s="75" t="s">
        <v>439</v>
      </c>
      <c r="J247" s="76">
        <f t="shared" si="7"/>
        <v>18000</v>
      </c>
      <c r="K247" s="75">
        <f>VLOOKUP($C247,청소코드!$C$4:$J$188,8,FALSE)</f>
        <v>18000</v>
      </c>
      <c r="L247" s="77"/>
      <c r="M247" s="78"/>
      <c r="N247" s="77"/>
      <c r="O247" s="77"/>
    </row>
    <row r="248" spans="1:15" ht="12.75" customHeight="1">
      <c r="A248" s="74">
        <v>46069</v>
      </c>
      <c r="B248" s="75" t="str">
        <f t="shared" si="6"/>
        <v>월</v>
      </c>
      <c r="C248" s="75" t="s">
        <v>315</v>
      </c>
      <c r="D248" s="75" t="str">
        <f>VLOOKUP($C248,청소코드!$C$4:$J$188,3,FALSE)</f>
        <v>동구햇살 1203</v>
      </c>
      <c r="E248" s="75" t="str">
        <f>VLOOKUP($C248,청소코드!$C$4:$J$188,4,FALSE)</f>
        <v>복</v>
      </c>
      <c r="F248" s="75" t="s">
        <v>437</v>
      </c>
      <c r="G248" s="75"/>
      <c r="H248" s="75"/>
      <c r="I248" s="75" t="s">
        <v>439</v>
      </c>
      <c r="J248" s="76">
        <f t="shared" si="7"/>
        <v>20000</v>
      </c>
      <c r="K248" s="75">
        <f>VLOOKUP($C248,청소코드!$C$4:$J$188,8,FALSE)</f>
        <v>20000</v>
      </c>
      <c r="L248" s="77"/>
      <c r="M248" s="78"/>
      <c r="N248" s="77"/>
      <c r="O248" s="77"/>
    </row>
    <row r="249" spans="1:15" ht="12.75" customHeight="1">
      <c r="A249" s="74">
        <v>46069</v>
      </c>
      <c r="B249" s="75" t="str">
        <f t="shared" si="6"/>
        <v>월</v>
      </c>
      <c r="C249" s="75" t="s">
        <v>379</v>
      </c>
      <c r="D249" s="75" t="str">
        <f>VLOOKUP($C249,청소코드!$C$4:$J$188,3,FALSE)</f>
        <v>si 602</v>
      </c>
      <c r="E249" s="75">
        <f>VLOOKUP($C249,청소코드!$C$4:$J$188,4,FALSE)</f>
        <v>1</v>
      </c>
      <c r="F249" s="75" t="s">
        <v>437</v>
      </c>
      <c r="G249" s="75"/>
      <c r="H249" s="75"/>
      <c r="I249" s="75" t="s">
        <v>439</v>
      </c>
      <c r="J249" s="76">
        <f t="shared" si="7"/>
        <v>22000</v>
      </c>
      <c r="K249" s="75">
        <f>VLOOKUP($C249,청소코드!$C$4:$J$188,8,FALSE)</f>
        <v>20000</v>
      </c>
      <c r="L249" s="77">
        <v>2000</v>
      </c>
      <c r="M249" s="78"/>
      <c r="N249" s="77"/>
      <c r="O249" s="77"/>
    </row>
    <row r="250" spans="1:15" ht="12.75" customHeight="1">
      <c r="A250" s="74">
        <v>46069</v>
      </c>
      <c r="B250" s="75" t="str">
        <f t="shared" si="6"/>
        <v>월</v>
      </c>
      <c r="C250" s="75" t="s">
        <v>300</v>
      </c>
      <c r="D250" s="75" t="str">
        <f>VLOOKUP($C250,청소코드!$C$4:$J$188,3,FALSE)</f>
        <v>하람휴 902</v>
      </c>
      <c r="E250" s="75">
        <f>VLOOKUP($C250,청소코드!$C$4:$J$188,4,FALSE)</f>
        <v>2</v>
      </c>
      <c r="F250" s="75" t="s">
        <v>408</v>
      </c>
      <c r="G250" s="75"/>
      <c r="H250" s="75"/>
      <c r="I250" s="75" t="s">
        <v>439</v>
      </c>
      <c r="J250" s="76">
        <f t="shared" si="7"/>
        <v>33000</v>
      </c>
      <c r="K250" s="75">
        <f>VLOOKUP($C250,청소코드!$C$4:$J$188,8,FALSE)</f>
        <v>23000</v>
      </c>
      <c r="L250" s="77">
        <v>10000</v>
      </c>
      <c r="M250" s="78"/>
      <c r="N250" s="77"/>
      <c r="O250" s="77"/>
    </row>
    <row r="251" spans="1:15" ht="12.75" customHeight="1">
      <c r="A251" s="74">
        <v>46069</v>
      </c>
      <c r="B251" s="75" t="str">
        <f t="shared" si="6"/>
        <v>월</v>
      </c>
      <c r="C251" s="75" t="s">
        <v>302</v>
      </c>
      <c r="D251" s="75" t="str">
        <f>VLOOKUP($C251,청소코드!$C$4:$J$188,3,FALSE)</f>
        <v>하람휴 1102</v>
      </c>
      <c r="E251" s="75">
        <f>VLOOKUP($C251,청소코드!$C$4:$J$188,4,FALSE)</f>
        <v>2</v>
      </c>
      <c r="F251" s="75" t="s">
        <v>408</v>
      </c>
      <c r="G251" s="75"/>
      <c r="H251" s="75"/>
      <c r="I251" s="75" t="s">
        <v>439</v>
      </c>
      <c r="J251" s="76">
        <f t="shared" si="7"/>
        <v>23000</v>
      </c>
      <c r="K251" s="75">
        <f>VLOOKUP($C251,청소코드!$C$4:$J$188,8,FALSE)</f>
        <v>23000</v>
      </c>
      <c r="L251" s="77"/>
      <c r="M251" s="78"/>
      <c r="N251" s="77"/>
      <c r="O251" s="77"/>
    </row>
    <row r="252" spans="1:15" ht="12.75" customHeight="1">
      <c r="A252" s="74">
        <v>46069</v>
      </c>
      <c r="B252" s="75" t="str">
        <f t="shared" si="6"/>
        <v>월</v>
      </c>
      <c r="C252" s="75" t="s">
        <v>336</v>
      </c>
      <c r="D252" s="75" t="str">
        <f>VLOOKUP($C252,청소코드!$C$4:$J$188,3,FALSE)</f>
        <v>예건 205</v>
      </c>
      <c r="E252" s="75">
        <f>VLOOKUP($C252,청소코드!$C$4:$J$188,4,FALSE)</f>
        <v>1</v>
      </c>
      <c r="F252" s="75" t="s">
        <v>429</v>
      </c>
      <c r="G252" s="75"/>
      <c r="H252" s="75"/>
      <c r="I252" s="75" t="s">
        <v>439</v>
      </c>
      <c r="J252" s="76">
        <f t="shared" si="7"/>
        <v>18000</v>
      </c>
      <c r="K252" s="75">
        <f>VLOOKUP($C252,청소코드!$C$4:$J$188,8,FALSE)</f>
        <v>18000</v>
      </c>
      <c r="L252" s="77"/>
      <c r="M252" s="78"/>
      <c r="N252" s="77"/>
      <c r="O252" s="77"/>
    </row>
    <row r="253" spans="1:15" ht="12.75" customHeight="1">
      <c r="A253" s="74">
        <v>46069</v>
      </c>
      <c r="B253" s="75" t="str">
        <f t="shared" si="6"/>
        <v>월</v>
      </c>
      <c r="C253" s="75" t="s">
        <v>416</v>
      </c>
      <c r="D253" s="75" t="str">
        <f>VLOOKUP($C253,청소코드!$C$4:$J$188,3,FALSE)</f>
        <v>청광1차 207</v>
      </c>
      <c r="E253" s="75">
        <f>VLOOKUP($C253,청소코드!$C$4:$J$188,4,FALSE)</f>
        <v>0</v>
      </c>
      <c r="F253" s="75" t="s">
        <v>426</v>
      </c>
      <c r="G253" s="75"/>
      <c r="H253" s="75"/>
      <c r="I253" s="75" t="s">
        <v>439</v>
      </c>
      <c r="J253" s="76">
        <f t="shared" si="7"/>
        <v>10000</v>
      </c>
      <c r="K253" s="75">
        <f>VLOOKUP($C253,청소코드!$C$4:$J$188,8,FALSE)</f>
        <v>10000</v>
      </c>
      <c r="L253" s="77"/>
      <c r="M253" s="78"/>
      <c r="N253" s="77"/>
      <c r="O253" s="77"/>
    </row>
    <row r="254" spans="1:15" ht="12.75" customHeight="1">
      <c r="A254" s="74">
        <v>46070</v>
      </c>
      <c r="B254" s="75" t="str">
        <f t="shared" si="6"/>
        <v>화</v>
      </c>
      <c r="C254" s="75" t="s">
        <v>334</v>
      </c>
      <c r="D254" s="75" t="str">
        <f>VLOOKUP($C254,청소코드!$C$4:$J$188,3,FALSE)</f>
        <v>센텀 2차 406</v>
      </c>
      <c r="E254" s="75">
        <f>VLOOKUP($C254,청소코드!$C$4:$J$188,4,FALSE)</f>
        <v>1.5</v>
      </c>
      <c r="F254" s="75" t="s">
        <v>437</v>
      </c>
      <c r="G254" s="75"/>
      <c r="H254" s="75"/>
      <c r="I254" s="75" t="s">
        <v>439</v>
      </c>
      <c r="J254" s="76">
        <f t="shared" si="7"/>
        <v>20000</v>
      </c>
      <c r="K254" s="75">
        <f>VLOOKUP($C254,청소코드!$C$4:$J$188,8,FALSE)</f>
        <v>20000</v>
      </c>
      <c r="L254" s="77"/>
      <c r="M254" s="78"/>
      <c r="N254" s="77"/>
      <c r="O254" s="77"/>
    </row>
    <row r="255" spans="1:15" ht="12.75" customHeight="1">
      <c r="A255" s="74">
        <v>46070</v>
      </c>
      <c r="B255" s="75" t="str">
        <f t="shared" si="6"/>
        <v>화</v>
      </c>
      <c r="C255" s="75" t="s">
        <v>325</v>
      </c>
      <c r="D255" s="75" t="str">
        <f>VLOOKUP($C255,청소코드!$C$4:$J$188,3,FALSE)</f>
        <v>센텀 2차 501</v>
      </c>
      <c r="E255" s="75">
        <f>VLOOKUP($C255,청소코드!$C$4:$J$188,4,FALSE)</f>
        <v>1.5</v>
      </c>
      <c r="F255" s="75" t="s">
        <v>437</v>
      </c>
      <c r="G255" s="75"/>
      <c r="H255" s="75"/>
      <c r="I255" s="75" t="s">
        <v>439</v>
      </c>
      <c r="J255" s="76">
        <f t="shared" si="7"/>
        <v>20000</v>
      </c>
      <c r="K255" s="75">
        <f>VLOOKUP($C255,청소코드!$C$4:$J$188,8,FALSE)</f>
        <v>20000</v>
      </c>
      <c r="L255" s="77"/>
      <c r="M255" s="78"/>
      <c r="N255" s="77"/>
      <c r="O255" s="77"/>
    </row>
    <row r="256" spans="1:15" ht="12.75" customHeight="1">
      <c r="A256" s="74">
        <v>46070</v>
      </c>
      <c r="B256" s="75" t="str">
        <f t="shared" si="6"/>
        <v>화</v>
      </c>
      <c r="C256" s="75" t="s">
        <v>339</v>
      </c>
      <c r="D256" s="75" t="str">
        <f>VLOOKUP($C256,청소코드!$C$4:$J$188,3,FALSE)</f>
        <v>센텀 2차 606</v>
      </c>
      <c r="E256" s="75">
        <f>VLOOKUP($C256,청소코드!$C$4:$J$188,4,FALSE)</f>
        <v>1.5</v>
      </c>
      <c r="F256" s="75" t="s">
        <v>437</v>
      </c>
      <c r="G256" s="75"/>
      <c r="H256" s="75"/>
      <c r="I256" s="75" t="s">
        <v>439</v>
      </c>
      <c r="J256" s="76">
        <f t="shared" si="7"/>
        <v>20000</v>
      </c>
      <c r="K256" s="75">
        <f>VLOOKUP($C256,청소코드!$C$4:$J$188,8,FALSE)</f>
        <v>20000</v>
      </c>
      <c r="L256" s="77"/>
      <c r="M256" s="78"/>
      <c r="N256" s="77"/>
      <c r="O256" s="77"/>
    </row>
    <row r="257" spans="1:15" ht="12.75" customHeight="1">
      <c r="A257" s="74">
        <v>46070</v>
      </c>
      <c r="B257" s="75" t="str">
        <f t="shared" si="6"/>
        <v>화</v>
      </c>
      <c r="C257" s="75" t="s">
        <v>379</v>
      </c>
      <c r="D257" s="75" t="str">
        <f>VLOOKUP($C257,청소코드!$C$4:$J$188,3,FALSE)</f>
        <v>si 602</v>
      </c>
      <c r="E257" s="75">
        <f>VLOOKUP($C257,청소코드!$C$4:$J$188,4,FALSE)</f>
        <v>1</v>
      </c>
      <c r="F257" s="75" t="s">
        <v>437</v>
      </c>
      <c r="G257" s="75"/>
      <c r="H257" s="75"/>
      <c r="I257" s="75" t="s">
        <v>439</v>
      </c>
      <c r="J257" s="76">
        <f t="shared" si="7"/>
        <v>22000</v>
      </c>
      <c r="K257" s="75">
        <f>VLOOKUP($C257,청소코드!$C$4:$J$188,8,FALSE)</f>
        <v>20000</v>
      </c>
      <c r="L257" s="77">
        <v>2000</v>
      </c>
      <c r="M257" s="78"/>
      <c r="N257" s="77"/>
      <c r="O257" s="77"/>
    </row>
    <row r="258" spans="1:15" ht="12.75" customHeight="1">
      <c r="A258" s="74">
        <v>46070</v>
      </c>
      <c r="B258" s="75" t="str">
        <f t="shared" si="6"/>
        <v>화</v>
      </c>
      <c r="C258" s="75" t="s">
        <v>344</v>
      </c>
      <c r="D258" s="75" t="str">
        <f>VLOOKUP($C258,청소코드!$C$4:$J$188,3,FALSE)</f>
        <v>오금스타 402</v>
      </c>
      <c r="E258" s="75">
        <f>VLOOKUP($C258,청소코드!$C$4:$J$188,4,FALSE)</f>
        <v>1</v>
      </c>
      <c r="F258" s="75" t="s">
        <v>452</v>
      </c>
      <c r="G258" s="75"/>
      <c r="H258" s="75"/>
      <c r="I258" s="75" t="s">
        <v>439</v>
      </c>
      <c r="J258" s="76">
        <f t="shared" si="7"/>
        <v>18000</v>
      </c>
      <c r="K258" s="75">
        <f>VLOOKUP($C258,청소코드!$C$4:$J$188,8,FALSE)</f>
        <v>18000</v>
      </c>
      <c r="L258" s="77"/>
      <c r="M258" s="78"/>
      <c r="N258" s="77"/>
      <c r="O258" s="77"/>
    </row>
    <row r="259" spans="1:15" ht="12.75" customHeight="1">
      <c r="A259" s="74">
        <v>46070</v>
      </c>
      <c r="B259" s="75" t="str">
        <f t="shared" ref="B259:B322" si="8">TEXT(A259,"aaa")</f>
        <v>화</v>
      </c>
      <c r="C259" s="75" t="s">
        <v>332</v>
      </c>
      <c r="D259" s="75" t="str">
        <f>VLOOKUP($C259,청소코드!$C$4:$J$188,3,FALSE)</f>
        <v>오금스타 201</v>
      </c>
      <c r="E259" s="75">
        <f>VLOOKUP($C259,청소코드!$C$4:$J$188,4,FALSE)</f>
        <v>1</v>
      </c>
      <c r="F259" s="75" t="s">
        <v>452</v>
      </c>
      <c r="G259" s="75"/>
      <c r="H259" s="75"/>
      <c r="I259" s="75" t="s">
        <v>439</v>
      </c>
      <c r="J259" s="76">
        <f t="shared" ref="J259:J322" si="9">SUM(K259:O259)</f>
        <v>18000</v>
      </c>
      <c r="K259" s="75">
        <f>VLOOKUP($C259,청소코드!$C$4:$J$188,8,FALSE)</f>
        <v>18000</v>
      </c>
      <c r="L259" s="77"/>
      <c r="M259" s="78"/>
      <c r="N259" s="77"/>
      <c r="O259" s="77"/>
    </row>
    <row r="260" spans="1:15" ht="12.75" customHeight="1">
      <c r="A260" s="74">
        <v>46070</v>
      </c>
      <c r="B260" s="75" t="str">
        <f t="shared" si="8"/>
        <v>화</v>
      </c>
      <c r="C260" s="75" t="s">
        <v>369</v>
      </c>
      <c r="D260" s="75" t="str">
        <f>VLOOKUP($C260,청소코드!$C$4:$J$188,3,FALSE)</f>
        <v>성우 402</v>
      </c>
      <c r="E260" s="75">
        <f>VLOOKUP($C260,청소코드!$C$4:$J$188,4,FALSE)</f>
        <v>3</v>
      </c>
      <c r="F260" s="75" t="s">
        <v>438</v>
      </c>
      <c r="G260" s="75"/>
      <c r="H260" s="75"/>
      <c r="I260" s="75" t="s">
        <v>439</v>
      </c>
      <c r="J260" s="76">
        <f t="shared" si="9"/>
        <v>30000</v>
      </c>
      <c r="K260" s="75">
        <f>VLOOKUP($C260,청소코드!$C$4:$J$188,8,FALSE)</f>
        <v>30000</v>
      </c>
      <c r="L260" s="77"/>
      <c r="M260" s="78"/>
      <c r="N260" s="77"/>
      <c r="O260" s="77"/>
    </row>
    <row r="261" spans="1:15" ht="12.75" customHeight="1">
      <c r="A261" s="74">
        <v>46070</v>
      </c>
      <c r="B261" s="75" t="str">
        <f t="shared" si="8"/>
        <v>화</v>
      </c>
      <c r="C261" s="75" t="s">
        <v>341</v>
      </c>
      <c r="D261" s="75" t="str">
        <f>VLOOKUP($C261,청소코드!$C$4:$J$188,3,FALSE)</f>
        <v>예건 303</v>
      </c>
      <c r="E261" s="75">
        <f>VLOOKUP($C261,청소코드!$C$4:$J$188,4,FALSE)</f>
        <v>2</v>
      </c>
      <c r="F261" s="75" t="s">
        <v>438</v>
      </c>
      <c r="G261" s="75"/>
      <c r="H261" s="75"/>
      <c r="I261" s="75" t="s">
        <v>439</v>
      </c>
      <c r="J261" s="76">
        <f t="shared" si="9"/>
        <v>23000</v>
      </c>
      <c r="K261" s="75">
        <f>VLOOKUP($C261,청소코드!$C$4:$J$188,8,FALSE)</f>
        <v>23000</v>
      </c>
      <c r="L261" s="77"/>
      <c r="M261" s="78"/>
      <c r="N261" s="77"/>
      <c r="O261" s="77"/>
    </row>
    <row r="262" spans="1:15" ht="12.75" customHeight="1">
      <c r="A262" s="74">
        <v>46070</v>
      </c>
      <c r="B262" s="75" t="str">
        <f t="shared" si="8"/>
        <v>화</v>
      </c>
      <c r="C262" s="75" t="s">
        <v>360</v>
      </c>
      <c r="D262" s="75" t="str">
        <f>VLOOKUP($C262,청소코드!$C$4:$J$188,3,FALSE)</f>
        <v>더하임 306</v>
      </c>
      <c r="E262" s="75">
        <f>VLOOKUP($C262,청소코드!$C$4:$J$188,4,FALSE)</f>
        <v>1.5</v>
      </c>
      <c r="F262" s="75" t="s">
        <v>452</v>
      </c>
      <c r="G262" s="75"/>
      <c r="H262" s="75"/>
      <c r="I262" s="75" t="s">
        <v>439</v>
      </c>
      <c r="J262" s="76">
        <f t="shared" si="9"/>
        <v>20000</v>
      </c>
      <c r="K262" s="75">
        <f>VLOOKUP($C262,청소코드!$C$4:$J$188,8,FALSE)</f>
        <v>20000</v>
      </c>
      <c r="L262" s="77"/>
      <c r="M262" s="78"/>
      <c r="N262" s="77"/>
      <c r="O262" s="77"/>
    </row>
    <row r="263" spans="1:15" ht="12.75" customHeight="1">
      <c r="A263" s="74">
        <v>46070</v>
      </c>
      <c r="B263" s="75" t="str">
        <f t="shared" si="8"/>
        <v>화</v>
      </c>
      <c r="C263" s="75" t="s">
        <v>361</v>
      </c>
      <c r="D263" s="75" t="str">
        <f>VLOOKUP($C263,청소코드!$C$4:$J$188,3,FALSE)</f>
        <v>더하임 506</v>
      </c>
      <c r="E263" s="75">
        <f>VLOOKUP($C263,청소코드!$C$4:$J$188,4,FALSE)</f>
        <v>1.5</v>
      </c>
      <c r="F263" s="75" t="s">
        <v>452</v>
      </c>
      <c r="G263" s="75"/>
      <c r="H263" s="75"/>
      <c r="I263" s="75" t="s">
        <v>439</v>
      </c>
      <c r="J263" s="76">
        <f t="shared" si="9"/>
        <v>20000</v>
      </c>
      <c r="K263" s="75">
        <f>VLOOKUP($C263,청소코드!$C$4:$J$188,8,FALSE)</f>
        <v>20000</v>
      </c>
      <c r="L263" s="77"/>
      <c r="M263" s="78"/>
      <c r="N263" s="77"/>
      <c r="O263" s="77"/>
    </row>
    <row r="264" spans="1:15" ht="12.75" customHeight="1">
      <c r="A264" s="74">
        <v>46070</v>
      </c>
      <c r="B264" s="75" t="str">
        <f t="shared" si="8"/>
        <v>화</v>
      </c>
      <c r="C264" s="75" t="s">
        <v>284</v>
      </c>
      <c r="D264" s="75" t="str">
        <f>VLOOKUP($C264,청소코드!$C$4:$J$188,3,FALSE)</f>
        <v>청광1차 1303</v>
      </c>
      <c r="E264" s="75">
        <f>VLOOKUP($C264,청소코드!$C$4:$J$188,4,FALSE)</f>
        <v>1</v>
      </c>
      <c r="F264" s="75" t="s">
        <v>429</v>
      </c>
      <c r="G264" s="75"/>
      <c r="H264" s="75"/>
      <c r="I264" s="75" t="s">
        <v>439</v>
      </c>
      <c r="J264" s="76">
        <f t="shared" si="9"/>
        <v>18000</v>
      </c>
      <c r="K264" s="75">
        <f>VLOOKUP($C264,청소코드!$C$4:$J$188,8,FALSE)</f>
        <v>18000</v>
      </c>
      <c r="L264" s="77"/>
      <c r="M264" s="78"/>
      <c r="N264" s="77"/>
      <c r="O264" s="77"/>
    </row>
    <row r="265" spans="1:15" ht="12.75" customHeight="1">
      <c r="A265" s="74">
        <v>46070</v>
      </c>
      <c r="B265" s="75" t="str">
        <f t="shared" si="8"/>
        <v>화</v>
      </c>
      <c r="C265" s="75" t="s">
        <v>283</v>
      </c>
      <c r="D265" s="75" t="str">
        <f>VLOOKUP($C265,청소코드!$C$4:$J$188,3,FALSE)</f>
        <v>강동QV 1604</v>
      </c>
      <c r="E265" s="75">
        <f>VLOOKUP($C265,청소코드!$C$4:$J$188,4,FALSE)</f>
        <v>1</v>
      </c>
      <c r="F265" s="75" t="s">
        <v>429</v>
      </c>
      <c r="G265" s="75"/>
      <c r="H265" s="75"/>
      <c r="I265" s="75" t="s">
        <v>439</v>
      </c>
      <c r="J265" s="76">
        <f t="shared" si="9"/>
        <v>18000</v>
      </c>
      <c r="K265" s="75">
        <f>VLOOKUP($C265,청소코드!$C$4:$J$188,8,FALSE)</f>
        <v>18000</v>
      </c>
      <c r="L265" s="77"/>
      <c r="M265" s="78"/>
      <c r="N265" s="77"/>
      <c r="O265" s="77"/>
    </row>
    <row r="266" spans="1:15" ht="12.75" customHeight="1">
      <c r="A266" s="74">
        <v>46070</v>
      </c>
      <c r="B266" s="75" t="str">
        <f t="shared" si="8"/>
        <v>화</v>
      </c>
      <c r="C266" s="75" t="s">
        <v>315</v>
      </c>
      <c r="D266" s="75" t="str">
        <f>VLOOKUP($C266,청소코드!$C$4:$J$188,3,FALSE)</f>
        <v>동구햇살 1203</v>
      </c>
      <c r="E266" s="75" t="str">
        <f>VLOOKUP($C266,청소코드!$C$4:$J$188,4,FALSE)</f>
        <v>복</v>
      </c>
      <c r="F266" s="75" t="s">
        <v>429</v>
      </c>
      <c r="G266" s="75"/>
      <c r="H266" s="75"/>
      <c r="I266" s="75" t="s">
        <v>439</v>
      </c>
      <c r="J266" s="76">
        <f t="shared" si="9"/>
        <v>20000</v>
      </c>
      <c r="K266" s="75">
        <f>VLOOKUP($C266,청소코드!$C$4:$J$188,8,FALSE)</f>
        <v>20000</v>
      </c>
      <c r="L266" s="77"/>
      <c r="M266" s="78"/>
      <c r="N266" s="77"/>
      <c r="O266" s="77"/>
    </row>
    <row r="267" spans="1:15" ht="12.75" customHeight="1">
      <c r="A267" s="74">
        <v>46070</v>
      </c>
      <c r="B267" s="75" t="str">
        <f t="shared" si="8"/>
        <v>화</v>
      </c>
      <c r="C267" s="75" t="s">
        <v>290</v>
      </c>
      <c r="D267" s="75" t="str">
        <f>VLOOKUP($C267,청소코드!$C$4:$J$188,3,FALSE)</f>
        <v>렘브 204</v>
      </c>
      <c r="E267" s="75">
        <f>VLOOKUP($C267,청소코드!$C$4:$J$188,4,FALSE)</f>
        <v>1</v>
      </c>
      <c r="F267" s="75" t="s">
        <v>426</v>
      </c>
      <c r="G267" s="75"/>
      <c r="H267" s="75"/>
      <c r="I267" s="75" t="s">
        <v>439</v>
      </c>
      <c r="J267" s="76">
        <f t="shared" si="9"/>
        <v>18000</v>
      </c>
      <c r="K267" s="75">
        <f>VLOOKUP($C267,청소코드!$C$4:$J$188,8,FALSE)</f>
        <v>18000</v>
      </c>
      <c r="L267" s="77"/>
      <c r="M267" s="78"/>
      <c r="N267" s="77"/>
      <c r="O267" s="77"/>
    </row>
    <row r="268" spans="1:15" ht="12.75" customHeight="1">
      <c r="A268" s="74">
        <v>46070</v>
      </c>
      <c r="B268" s="75" t="str">
        <f t="shared" si="8"/>
        <v>화</v>
      </c>
      <c r="C268" s="75" t="s">
        <v>304</v>
      </c>
      <c r="D268" s="75" t="str">
        <f>VLOOKUP($C268,청소코드!$C$4:$J$188,3,FALSE)</f>
        <v>렘브 505</v>
      </c>
      <c r="E268" s="75">
        <f>VLOOKUP($C268,청소코드!$C$4:$J$188,4,FALSE)</f>
        <v>1</v>
      </c>
      <c r="F268" s="75" t="s">
        <v>426</v>
      </c>
      <c r="G268" s="75"/>
      <c r="H268" s="75"/>
      <c r="I268" s="75" t="s">
        <v>439</v>
      </c>
      <c r="J268" s="76">
        <f t="shared" si="9"/>
        <v>18000</v>
      </c>
      <c r="K268" s="75">
        <f>VLOOKUP($C268,청소코드!$C$4:$J$188,8,FALSE)</f>
        <v>18000</v>
      </c>
      <c r="L268" s="77"/>
      <c r="M268" s="78"/>
      <c r="N268" s="77"/>
      <c r="O268" s="77"/>
    </row>
    <row r="269" spans="1:15" ht="12.75" customHeight="1">
      <c r="A269" s="74">
        <v>46070</v>
      </c>
      <c r="B269" s="75" t="str">
        <f t="shared" si="8"/>
        <v>화</v>
      </c>
      <c r="C269" s="75" t="s">
        <v>302</v>
      </c>
      <c r="D269" s="75" t="str">
        <f>VLOOKUP($C269,청소코드!$C$4:$J$188,3,FALSE)</f>
        <v>하람휴 1102</v>
      </c>
      <c r="E269" s="75">
        <f>VLOOKUP($C269,청소코드!$C$4:$J$188,4,FALSE)</f>
        <v>2</v>
      </c>
      <c r="F269" s="75" t="s">
        <v>408</v>
      </c>
      <c r="G269" s="75"/>
      <c r="H269" s="75"/>
      <c r="I269" s="75" t="s">
        <v>439</v>
      </c>
      <c r="J269" s="76">
        <f t="shared" si="9"/>
        <v>23000</v>
      </c>
      <c r="K269" s="75">
        <f>VLOOKUP($C269,청소코드!$C$4:$J$188,8,FALSE)</f>
        <v>23000</v>
      </c>
      <c r="L269" s="77"/>
      <c r="M269" s="78"/>
      <c r="N269" s="77"/>
      <c r="O269" s="77"/>
    </row>
    <row r="270" spans="1:15" ht="12.75" customHeight="1">
      <c r="A270" s="74">
        <v>46070</v>
      </c>
      <c r="B270" s="75" t="str">
        <f t="shared" si="8"/>
        <v>화</v>
      </c>
      <c r="C270" s="75" t="s">
        <v>385</v>
      </c>
      <c r="D270" s="75" t="str">
        <f>VLOOKUP($C270,청소코드!$C$4:$J$188,3,FALSE)</f>
        <v>하람휴 1001</v>
      </c>
      <c r="E270" s="75">
        <f>VLOOKUP($C270,청소코드!$C$4:$J$188,4,FALSE)</f>
        <v>2</v>
      </c>
      <c r="F270" s="75" t="s">
        <v>408</v>
      </c>
      <c r="G270" s="75"/>
      <c r="H270" s="75"/>
      <c r="I270" s="75" t="s">
        <v>439</v>
      </c>
      <c r="J270" s="76">
        <f t="shared" si="9"/>
        <v>23000</v>
      </c>
      <c r="K270" s="75">
        <f>VLOOKUP($C270,청소코드!$C$4:$J$188,8,FALSE)</f>
        <v>23000</v>
      </c>
      <c r="L270" s="77"/>
      <c r="M270" s="78"/>
      <c r="N270" s="77"/>
      <c r="O270" s="77"/>
    </row>
    <row r="271" spans="1:15" ht="12.75" customHeight="1">
      <c r="A271" s="74">
        <v>46070</v>
      </c>
      <c r="B271" s="75" t="str">
        <f t="shared" si="8"/>
        <v>화</v>
      </c>
      <c r="C271" s="75" t="s">
        <v>416</v>
      </c>
      <c r="D271" s="75" t="str">
        <f>VLOOKUP($C271,청소코드!$C$4:$J$188,3,FALSE)</f>
        <v>청광1차 207</v>
      </c>
      <c r="E271" s="75">
        <f>VLOOKUP($C271,청소코드!$C$4:$J$188,4,FALSE)</f>
        <v>0</v>
      </c>
      <c r="F271" s="75" t="s">
        <v>426</v>
      </c>
      <c r="G271" s="75"/>
      <c r="H271" s="75"/>
      <c r="I271" s="75" t="s">
        <v>439</v>
      </c>
      <c r="J271" s="76">
        <f t="shared" si="9"/>
        <v>10000</v>
      </c>
      <c r="K271" s="75">
        <f>VLOOKUP($C271,청소코드!$C$4:$J$188,8,FALSE)</f>
        <v>10000</v>
      </c>
      <c r="L271" s="77"/>
      <c r="M271" s="78"/>
      <c r="N271" s="77"/>
      <c r="O271" s="77"/>
    </row>
    <row r="272" spans="1:15" ht="12.75" customHeight="1">
      <c r="A272" s="74">
        <v>46071</v>
      </c>
      <c r="B272" s="75" t="str">
        <f t="shared" si="8"/>
        <v>수</v>
      </c>
      <c r="C272" s="75" t="s">
        <v>334</v>
      </c>
      <c r="D272" s="75" t="str">
        <f>VLOOKUP($C272,청소코드!$C$4:$J$188,3,FALSE)</f>
        <v>센텀 2차 406</v>
      </c>
      <c r="E272" s="75">
        <f>VLOOKUP($C272,청소코드!$C$4:$J$188,4,FALSE)</f>
        <v>1.5</v>
      </c>
      <c r="F272" s="75" t="s">
        <v>429</v>
      </c>
      <c r="G272" s="75"/>
      <c r="H272" s="75"/>
      <c r="I272" s="75" t="s">
        <v>439</v>
      </c>
      <c r="J272" s="76">
        <f t="shared" si="9"/>
        <v>20000</v>
      </c>
      <c r="K272" s="75">
        <f>VLOOKUP($C272,청소코드!$C$4:$J$188,8,FALSE)</f>
        <v>20000</v>
      </c>
      <c r="L272" s="77"/>
      <c r="M272" s="78"/>
      <c r="N272" s="77"/>
      <c r="O272" s="77"/>
    </row>
    <row r="273" spans="1:15" ht="12.75" customHeight="1">
      <c r="A273" s="74">
        <v>46071</v>
      </c>
      <c r="B273" s="75" t="str">
        <f t="shared" si="8"/>
        <v>수</v>
      </c>
      <c r="C273" s="75" t="s">
        <v>315</v>
      </c>
      <c r="D273" s="75" t="str">
        <f>VLOOKUP($C273,청소코드!$C$4:$J$188,3,FALSE)</f>
        <v>동구햇살 1203</v>
      </c>
      <c r="E273" s="75" t="str">
        <f>VLOOKUP($C273,청소코드!$C$4:$J$188,4,FALSE)</f>
        <v>복</v>
      </c>
      <c r="F273" s="75" t="s">
        <v>429</v>
      </c>
      <c r="G273" s="75"/>
      <c r="H273" s="75"/>
      <c r="I273" s="75" t="s">
        <v>439</v>
      </c>
      <c r="J273" s="76">
        <f t="shared" si="9"/>
        <v>20000</v>
      </c>
      <c r="K273" s="75">
        <f>VLOOKUP($C273,청소코드!$C$4:$J$188,8,FALSE)</f>
        <v>20000</v>
      </c>
      <c r="L273" s="77"/>
      <c r="M273" s="78"/>
      <c r="N273" s="77"/>
      <c r="O273" s="77"/>
    </row>
    <row r="274" spans="1:15" ht="12.75" customHeight="1">
      <c r="A274" s="74">
        <v>46071</v>
      </c>
      <c r="B274" s="75" t="str">
        <f t="shared" si="8"/>
        <v>수</v>
      </c>
      <c r="C274" s="75" t="s">
        <v>360</v>
      </c>
      <c r="D274" s="75" t="str">
        <f>VLOOKUP($C274,청소코드!$C$4:$J$188,3,FALSE)</f>
        <v>더하임 306</v>
      </c>
      <c r="E274" s="75">
        <f>VLOOKUP($C274,청소코드!$C$4:$J$188,4,FALSE)</f>
        <v>1.5</v>
      </c>
      <c r="F274" s="75" t="s">
        <v>426</v>
      </c>
      <c r="G274" s="75"/>
      <c r="H274" s="75"/>
      <c r="I274" s="75" t="s">
        <v>439</v>
      </c>
      <c r="J274" s="76">
        <f t="shared" si="9"/>
        <v>20000</v>
      </c>
      <c r="K274" s="75">
        <f>VLOOKUP($C274,청소코드!$C$4:$J$188,8,FALSE)</f>
        <v>20000</v>
      </c>
      <c r="L274" s="77"/>
      <c r="M274" s="78"/>
      <c r="N274" s="77"/>
      <c r="O274" s="77"/>
    </row>
    <row r="275" spans="1:15" ht="12.75" customHeight="1">
      <c r="A275" s="74">
        <v>46071</v>
      </c>
      <c r="B275" s="75" t="str">
        <f t="shared" si="8"/>
        <v>수</v>
      </c>
      <c r="C275" s="75" t="s">
        <v>417</v>
      </c>
      <c r="D275" s="75" t="str">
        <f>VLOOKUP($C275,청소코드!$C$4:$J$188,3,FALSE)</f>
        <v>더하임 504</v>
      </c>
      <c r="E275" s="75">
        <f>VLOOKUP($C275,청소코드!$C$4:$J$188,4,FALSE)</f>
        <v>1</v>
      </c>
      <c r="F275" s="75" t="s">
        <v>426</v>
      </c>
      <c r="G275" s="75"/>
      <c r="H275" s="75"/>
      <c r="I275" s="75" t="s">
        <v>439</v>
      </c>
      <c r="J275" s="76">
        <f t="shared" si="9"/>
        <v>18000</v>
      </c>
      <c r="K275" s="75">
        <f>VLOOKUP($C275,청소코드!$C$4:$J$188,8,FALSE)</f>
        <v>18000</v>
      </c>
      <c r="L275" s="77"/>
      <c r="M275" s="78"/>
      <c r="N275" s="77"/>
      <c r="O275" s="77"/>
    </row>
    <row r="276" spans="1:15" ht="12.75" customHeight="1">
      <c r="A276" s="74">
        <v>46071</v>
      </c>
      <c r="B276" s="75" t="str">
        <f t="shared" si="8"/>
        <v>수</v>
      </c>
      <c r="C276" s="75" t="s">
        <v>290</v>
      </c>
      <c r="D276" s="75" t="str">
        <f>VLOOKUP($C276,청소코드!$C$4:$J$188,3,FALSE)</f>
        <v>렘브 204</v>
      </c>
      <c r="E276" s="75">
        <f>VLOOKUP($C276,청소코드!$C$4:$J$188,4,FALSE)</f>
        <v>1</v>
      </c>
      <c r="F276" s="75" t="s">
        <v>438</v>
      </c>
      <c r="G276" s="75"/>
      <c r="H276" s="75"/>
      <c r="I276" s="75" t="s">
        <v>439</v>
      </c>
      <c r="J276" s="76">
        <f t="shared" si="9"/>
        <v>18000</v>
      </c>
      <c r="K276" s="75">
        <f>VLOOKUP($C276,청소코드!$C$4:$J$188,8,FALSE)</f>
        <v>18000</v>
      </c>
      <c r="L276" s="77"/>
      <c r="M276" s="78"/>
      <c r="N276" s="77"/>
      <c r="O276" s="77"/>
    </row>
    <row r="277" spans="1:15" ht="12.75" customHeight="1">
      <c r="A277" s="74">
        <v>46071</v>
      </c>
      <c r="B277" s="75" t="str">
        <f t="shared" si="8"/>
        <v>수</v>
      </c>
      <c r="C277" s="75" t="s">
        <v>304</v>
      </c>
      <c r="D277" s="75" t="str">
        <f>VLOOKUP($C277,청소코드!$C$4:$J$188,3,FALSE)</f>
        <v>렘브 505</v>
      </c>
      <c r="E277" s="75">
        <f>VLOOKUP($C277,청소코드!$C$4:$J$188,4,FALSE)</f>
        <v>1</v>
      </c>
      <c r="F277" s="75" t="s">
        <v>438</v>
      </c>
      <c r="G277" s="75"/>
      <c r="H277" s="75"/>
      <c r="I277" s="75" t="s">
        <v>439</v>
      </c>
      <c r="J277" s="76">
        <f t="shared" si="9"/>
        <v>18000</v>
      </c>
      <c r="K277" s="75">
        <f>VLOOKUP($C277,청소코드!$C$4:$J$188,8,FALSE)</f>
        <v>18000</v>
      </c>
      <c r="L277" s="77"/>
      <c r="M277" s="78"/>
      <c r="N277" s="77"/>
      <c r="O277" s="77"/>
    </row>
    <row r="278" spans="1:15" ht="12.75" customHeight="1">
      <c r="A278" s="74">
        <v>46071</v>
      </c>
      <c r="B278" s="75" t="str">
        <f t="shared" si="8"/>
        <v>수</v>
      </c>
      <c r="C278" s="75" t="s">
        <v>284</v>
      </c>
      <c r="D278" s="75" t="str">
        <f>VLOOKUP($C278,청소코드!$C$4:$J$188,3,FALSE)</f>
        <v>청광1차 1303</v>
      </c>
      <c r="E278" s="75">
        <f>VLOOKUP($C278,청소코드!$C$4:$J$188,4,FALSE)</f>
        <v>1</v>
      </c>
      <c r="F278" s="75" t="s">
        <v>401</v>
      </c>
      <c r="G278" s="75"/>
      <c r="H278" s="75"/>
      <c r="I278" s="75" t="s">
        <v>439</v>
      </c>
      <c r="J278" s="76">
        <f t="shared" si="9"/>
        <v>18000</v>
      </c>
      <c r="K278" s="75">
        <f>VLOOKUP($C278,청소코드!$C$4:$J$188,8,FALSE)</f>
        <v>18000</v>
      </c>
      <c r="L278" s="77"/>
      <c r="M278" s="78"/>
      <c r="N278" s="77"/>
      <c r="O278" s="77"/>
    </row>
    <row r="279" spans="1:15" ht="12.75" customHeight="1">
      <c r="A279" s="74">
        <v>46071</v>
      </c>
      <c r="B279" s="75" t="str">
        <f t="shared" si="8"/>
        <v>수</v>
      </c>
      <c r="C279" s="75" t="s">
        <v>379</v>
      </c>
      <c r="D279" s="75" t="str">
        <f>VLOOKUP($C279,청소코드!$C$4:$J$188,3,FALSE)</f>
        <v>si 602</v>
      </c>
      <c r="E279" s="75">
        <f>VLOOKUP($C279,청소코드!$C$4:$J$188,4,FALSE)</f>
        <v>1</v>
      </c>
      <c r="F279" s="75" t="s">
        <v>401</v>
      </c>
      <c r="G279" s="75"/>
      <c r="H279" s="75"/>
      <c r="I279" s="75" t="s">
        <v>439</v>
      </c>
      <c r="J279" s="76">
        <f t="shared" si="9"/>
        <v>22000</v>
      </c>
      <c r="K279" s="75">
        <f>VLOOKUP($C279,청소코드!$C$4:$J$188,8,FALSE)</f>
        <v>20000</v>
      </c>
      <c r="L279" s="77">
        <v>2000</v>
      </c>
      <c r="M279" s="78"/>
      <c r="N279" s="77"/>
      <c r="O279" s="77"/>
    </row>
    <row r="280" spans="1:15" ht="12.75" customHeight="1">
      <c r="A280" s="74">
        <v>46071</v>
      </c>
      <c r="B280" s="75" t="str">
        <f t="shared" si="8"/>
        <v>수</v>
      </c>
      <c r="C280" s="75" t="s">
        <v>283</v>
      </c>
      <c r="D280" s="75" t="str">
        <f>VLOOKUP($C280,청소코드!$C$4:$J$188,3,FALSE)</f>
        <v>강동QV 1604</v>
      </c>
      <c r="E280" s="75">
        <f>VLOOKUP($C280,청소코드!$C$4:$J$188,4,FALSE)</f>
        <v>1</v>
      </c>
      <c r="F280" s="75" t="s">
        <v>437</v>
      </c>
      <c r="G280" s="75"/>
      <c r="H280" s="75"/>
      <c r="I280" s="75" t="s">
        <v>439</v>
      </c>
      <c r="J280" s="76">
        <f t="shared" si="9"/>
        <v>18000</v>
      </c>
      <c r="K280" s="75">
        <f>VLOOKUP($C280,청소코드!$C$4:$J$188,8,FALSE)</f>
        <v>18000</v>
      </c>
      <c r="L280" s="77"/>
      <c r="M280" s="78"/>
      <c r="N280" s="77"/>
      <c r="O280" s="77"/>
    </row>
    <row r="281" spans="1:15" ht="12.75" customHeight="1">
      <c r="A281" s="74">
        <v>46071</v>
      </c>
      <c r="B281" s="75" t="str">
        <f t="shared" si="8"/>
        <v>수</v>
      </c>
      <c r="C281" s="75" t="s">
        <v>295</v>
      </c>
      <c r="D281" s="75" t="str">
        <f>VLOOKUP($C281,청소코드!$C$4:$J$188,3,FALSE)</f>
        <v>르센티 1801</v>
      </c>
      <c r="E281" s="75" t="str">
        <f>VLOOKUP($C281,청소코드!$C$4:$J$188,4,FALSE)</f>
        <v>복</v>
      </c>
      <c r="F281" s="75" t="s">
        <v>452</v>
      </c>
      <c r="G281" s="75"/>
      <c r="H281" s="75"/>
      <c r="I281" s="75" t="s">
        <v>439</v>
      </c>
      <c r="J281" s="76">
        <f t="shared" si="9"/>
        <v>20000</v>
      </c>
      <c r="K281" s="75">
        <f>VLOOKUP($C281,청소코드!$C$4:$J$188,8,FALSE)</f>
        <v>20000</v>
      </c>
      <c r="L281" s="77"/>
      <c r="M281" s="78"/>
      <c r="N281" s="77"/>
      <c r="O281" s="77"/>
    </row>
    <row r="282" spans="1:15" ht="12.75" customHeight="1">
      <c r="A282" s="74">
        <v>46071</v>
      </c>
      <c r="B282" s="75" t="str">
        <f t="shared" si="8"/>
        <v>수</v>
      </c>
      <c r="C282" s="75" t="s">
        <v>292</v>
      </c>
      <c r="D282" s="75" t="str">
        <f>VLOOKUP($C282,청소코드!$C$4:$J$188,3,FALSE)</f>
        <v>오앤 401</v>
      </c>
      <c r="E282" s="75">
        <f>VLOOKUP($C282,청소코드!$C$4:$J$188,4,FALSE)</f>
        <v>1</v>
      </c>
      <c r="F282" s="75" t="s">
        <v>452</v>
      </c>
      <c r="G282" s="75"/>
      <c r="H282" s="75"/>
      <c r="I282" s="75" t="s">
        <v>439</v>
      </c>
      <c r="J282" s="76">
        <f t="shared" si="9"/>
        <v>18000</v>
      </c>
      <c r="K282" s="75">
        <f>VLOOKUP($C282,청소코드!$C$4:$J$188,8,FALSE)</f>
        <v>18000</v>
      </c>
      <c r="L282" s="77"/>
      <c r="M282" s="78"/>
      <c r="N282" s="77"/>
      <c r="O282" s="77"/>
    </row>
    <row r="283" spans="1:15" ht="12.75" customHeight="1">
      <c r="A283" s="74">
        <v>46071</v>
      </c>
      <c r="B283" s="75" t="str">
        <f t="shared" si="8"/>
        <v>수</v>
      </c>
      <c r="C283" s="75" t="s">
        <v>416</v>
      </c>
      <c r="D283" s="75" t="str">
        <f>VLOOKUP($C283,청소코드!$C$4:$J$188,3,FALSE)</f>
        <v>청광1차 207</v>
      </c>
      <c r="E283" s="75">
        <f>VLOOKUP($C283,청소코드!$C$4:$J$188,4,FALSE)</f>
        <v>0</v>
      </c>
      <c r="F283" s="75" t="s">
        <v>426</v>
      </c>
      <c r="G283" s="75"/>
      <c r="H283" s="75"/>
      <c r="I283" s="75" t="s">
        <v>439</v>
      </c>
      <c r="J283" s="76">
        <f t="shared" si="9"/>
        <v>10000</v>
      </c>
      <c r="K283" s="75">
        <f>VLOOKUP($C283,청소코드!$C$4:$J$188,8,FALSE)</f>
        <v>10000</v>
      </c>
      <c r="L283" s="77"/>
      <c r="M283" s="78"/>
      <c r="N283" s="77"/>
      <c r="O283" s="77"/>
    </row>
    <row r="284" spans="1:15" ht="12.75" customHeight="1">
      <c r="A284" s="74">
        <v>46072</v>
      </c>
      <c r="B284" s="75" t="str">
        <f t="shared" si="8"/>
        <v>목</v>
      </c>
      <c r="C284" s="75" t="s">
        <v>334</v>
      </c>
      <c r="D284" s="75" t="str">
        <f>VLOOKUP($C284,청소코드!$C$4:$J$188,3,FALSE)</f>
        <v>센텀 2차 406</v>
      </c>
      <c r="E284" s="75">
        <f>VLOOKUP($C284,청소코드!$C$4:$J$188,4,FALSE)</f>
        <v>1.5</v>
      </c>
      <c r="F284" s="75" t="s">
        <v>401</v>
      </c>
      <c r="G284" s="75"/>
      <c r="H284" s="75"/>
      <c r="I284" s="75" t="s">
        <v>439</v>
      </c>
      <c r="J284" s="76">
        <f t="shared" si="9"/>
        <v>20000</v>
      </c>
      <c r="K284" s="75">
        <f>VLOOKUP($C284,청소코드!$C$4:$J$188,8,FALSE)</f>
        <v>20000</v>
      </c>
      <c r="L284" s="77"/>
      <c r="M284" s="78"/>
      <c r="N284" s="77"/>
      <c r="O284" s="77"/>
    </row>
    <row r="285" spans="1:15" ht="12.75" customHeight="1">
      <c r="A285" s="74">
        <v>46072</v>
      </c>
      <c r="B285" s="75" t="str">
        <f t="shared" si="8"/>
        <v>목</v>
      </c>
      <c r="C285" s="75" t="s">
        <v>339</v>
      </c>
      <c r="D285" s="75" t="str">
        <f>VLOOKUP($C285,청소코드!$C$4:$J$188,3,FALSE)</f>
        <v>센텀 2차 606</v>
      </c>
      <c r="E285" s="75">
        <f>VLOOKUP($C285,청소코드!$C$4:$J$188,4,FALSE)</f>
        <v>1.5</v>
      </c>
      <c r="F285" s="75" t="s">
        <v>401</v>
      </c>
      <c r="G285" s="75"/>
      <c r="H285" s="75"/>
      <c r="I285" s="75" t="s">
        <v>439</v>
      </c>
      <c r="J285" s="76">
        <f t="shared" si="9"/>
        <v>20000</v>
      </c>
      <c r="K285" s="75">
        <f>VLOOKUP($C285,청소코드!$C$4:$J$188,8,FALSE)</f>
        <v>20000</v>
      </c>
      <c r="L285" s="77"/>
      <c r="M285" s="78"/>
      <c r="N285" s="77"/>
      <c r="O285" s="77"/>
    </row>
    <row r="286" spans="1:15" ht="12.75" customHeight="1">
      <c r="A286" s="74">
        <v>46072</v>
      </c>
      <c r="B286" s="75" t="str">
        <f t="shared" si="8"/>
        <v>목</v>
      </c>
      <c r="C286" s="75" t="s">
        <v>379</v>
      </c>
      <c r="D286" s="75" t="str">
        <f>VLOOKUP($C286,청소코드!$C$4:$J$188,3,FALSE)</f>
        <v>si 602</v>
      </c>
      <c r="E286" s="75">
        <f>VLOOKUP($C286,청소코드!$C$4:$J$188,4,FALSE)</f>
        <v>1</v>
      </c>
      <c r="F286" s="75" t="s">
        <v>401</v>
      </c>
      <c r="G286" s="75"/>
      <c r="H286" s="75"/>
      <c r="I286" s="75" t="s">
        <v>439</v>
      </c>
      <c r="J286" s="76">
        <f t="shared" si="9"/>
        <v>22000</v>
      </c>
      <c r="K286" s="75">
        <f>VLOOKUP($C286,청소코드!$C$4:$J$188,8,FALSE)</f>
        <v>20000</v>
      </c>
      <c r="L286" s="77">
        <v>2000</v>
      </c>
      <c r="M286" s="78"/>
      <c r="N286" s="77"/>
      <c r="O286" s="77"/>
    </row>
    <row r="287" spans="1:15" ht="12.75" customHeight="1">
      <c r="A287" s="74">
        <v>46072</v>
      </c>
      <c r="B287" s="75" t="str">
        <f t="shared" si="8"/>
        <v>목</v>
      </c>
      <c r="C287" s="75" t="s">
        <v>390</v>
      </c>
      <c r="D287" s="75" t="str">
        <f>VLOOKUP($C287,청소코드!$C$4:$J$188,3,FALSE)</f>
        <v>더하임 406</v>
      </c>
      <c r="E287" s="75">
        <f>VLOOKUP($C287,청소코드!$C$4:$J$188,4,FALSE)</f>
        <v>1.5</v>
      </c>
      <c r="F287" s="75" t="s">
        <v>429</v>
      </c>
      <c r="G287" s="75"/>
      <c r="H287" s="75"/>
      <c r="I287" s="75" t="s">
        <v>439</v>
      </c>
      <c r="J287" s="76">
        <f t="shared" si="9"/>
        <v>20000</v>
      </c>
      <c r="K287" s="75">
        <f>VLOOKUP($C287,청소코드!$C$4:$J$188,8,FALSE)</f>
        <v>20000</v>
      </c>
      <c r="L287" s="77"/>
      <c r="M287" s="78"/>
      <c r="N287" s="77"/>
      <c r="O287" s="77"/>
    </row>
    <row r="288" spans="1:15" ht="12.75" customHeight="1">
      <c r="A288" s="74">
        <v>46072</v>
      </c>
      <c r="B288" s="75" t="str">
        <f t="shared" si="8"/>
        <v>목</v>
      </c>
      <c r="C288" s="75" t="s">
        <v>417</v>
      </c>
      <c r="D288" s="75" t="str">
        <f>VLOOKUP($C288,청소코드!$C$4:$J$188,3,FALSE)</f>
        <v>더하임 504</v>
      </c>
      <c r="E288" s="75">
        <f>VLOOKUP($C288,청소코드!$C$4:$J$188,4,FALSE)</f>
        <v>1</v>
      </c>
      <c r="F288" s="75" t="s">
        <v>429</v>
      </c>
      <c r="G288" s="75"/>
      <c r="H288" s="75"/>
      <c r="I288" s="75" t="s">
        <v>439</v>
      </c>
      <c r="J288" s="76">
        <f t="shared" si="9"/>
        <v>18000</v>
      </c>
      <c r="K288" s="75">
        <f>VLOOKUP($C288,청소코드!$C$4:$J$188,8,FALSE)</f>
        <v>18000</v>
      </c>
      <c r="L288" s="77"/>
      <c r="M288" s="78"/>
      <c r="N288" s="77"/>
      <c r="O288" s="77"/>
    </row>
    <row r="289" spans="1:15" ht="12.75" customHeight="1">
      <c r="A289" s="74">
        <v>46072</v>
      </c>
      <c r="B289" s="75" t="str">
        <f t="shared" si="8"/>
        <v>목</v>
      </c>
      <c r="C289" s="75" t="s">
        <v>371</v>
      </c>
      <c r="D289" s="75" t="str">
        <f>VLOOKUP($C289,청소코드!$C$4:$J$188,3,FALSE)</f>
        <v>예건 602</v>
      </c>
      <c r="E289" s="75">
        <f>VLOOKUP($C289,청소코드!$C$4:$J$188,4,FALSE)</f>
        <v>1</v>
      </c>
      <c r="F289" s="75" t="s">
        <v>452</v>
      </c>
      <c r="G289" s="75" t="s">
        <v>490</v>
      </c>
      <c r="H289" s="75"/>
      <c r="I289" s="75" t="s">
        <v>439</v>
      </c>
      <c r="J289" s="76">
        <f t="shared" si="9"/>
        <v>18000</v>
      </c>
      <c r="K289" s="75">
        <f>VLOOKUP($C289,청소코드!$C$4:$J$188,8,FALSE)</f>
        <v>18000</v>
      </c>
      <c r="L289" s="77"/>
      <c r="M289" s="78"/>
      <c r="N289" s="77"/>
      <c r="O289" s="77"/>
    </row>
    <row r="290" spans="1:15" ht="12.75" customHeight="1">
      <c r="A290" s="74">
        <v>46072</v>
      </c>
      <c r="B290" s="75" t="str">
        <f t="shared" si="8"/>
        <v>목</v>
      </c>
      <c r="C290" s="75" t="s">
        <v>286</v>
      </c>
      <c r="D290" s="75" t="str">
        <f>VLOOKUP($C290,청소코드!$C$4:$J$188,3,FALSE)</f>
        <v>청광3차 1416</v>
      </c>
      <c r="E290" s="75">
        <f>VLOOKUP($C290,청소코드!$C$4:$J$188,4,FALSE)</f>
        <v>1</v>
      </c>
      <c r="F290" s="75" t="s">
        <v>452</v>
      </c>
      <c r="G290" s="75"/>
      <c r="H290" s="75"/>
      <c r="I290" s="75" t="s">
        <v>439</v>
      </c>
      <c r="J290" s="76">
        <f t="shared" si="9"/>
        <v>18000</v>
      </c>
      <c r="K290" s="75">
        <f>VLOOKUP($C290,청소코드!$C$4:$J$188,8,FALSE)</f>
        <v>18000</v>
      </c>
      <c r="L290" s="77"/>
      <c r="M290" s="78"/>
      <c r="N290" s="77"/>
      <c r="O290" s="77"/>
    </row>
    <row r="291" spans="1:15" ht="12.75" customHeight="1">
      <c r="A291" s="74">
        <v>46072</v>
      </c>
      <c r="B291" s="75" t="str">
        <f t="shared" si="8"/>
        <v>목</v>
      </c>
      <c r="C291" s="75" t="s">
        <v>361</v>
      </c>
      <c r="D291" s="75" t="str">
        <f>VLOOKUP($C291,청소코드!$C$4:$J$188,3,FALSE)</f>
        <v>더하임 506</v>
      </c>
      <c r="E291" s="75">
        <f>VLOOKUP($C291,청소코드!$C$4:$J$188,4,FALSE)</f>
        <v>1.5</v>
      </c>
      <c r="F291" s="75" t="s">
        <v>437</v>
      </c>
      <c r="G291" s="75"/>
      <c r="H291" s="75"/>
      <c r="I291" s="75" t="s">
        <v>439</v>
      </c>
      <c r="J291" s="76">
        <f t="shared" si="9"/>
        <v>20000</v>
      </c>
      <c r="K291" s="75">
        <f>VLOOKUP($C291,청소코드!$C$4:$J$188,8,FALSE)</f>
        <v>20000</v>
      </c>
      <c r="L291" s="77"/>
      <c r="M291" s="78"/>
      <c r="N291" s="77"/>
      <c r="O291" s="77"/>
    </row>
    <row r="292" spans="1:15" ht="12.75" customHeight="1">
      <c r="A292" s="74">
        <v>46072</v>
      </c>
      <c r="B292" s="75" t="str">
        <f t="shared" si="8"/>
        <v>목</v>
      </c>
      <c r="C292" s="75" t="s">
        <v>387</v>
      </c>
      <c r="D292" s="75" t="str">
        <f>VLOOKUP($C292,청소코드!$C$4:$J$188,3,FALSE)</f>
        <v>더하임 604</v>
      </c>
      <c r="E292" s="75">
        <f>VLOOKUP($C292,청소코드!$C$4:$J$188,4,FALSE)</f>
        <v>1</v>
      </c>
      <c r="F292" s="75" t="s">
        <v>437</v>
      </c>
      <c r="G292" s="75"/>
      <c r="H292" s="75"/>
      <c r="I292" s="75" t="s">
        <v>439</v>
      </c>
      <c r="J292" s="76">
        <f t="shared" si="9"/>
        <v>18000</v>
      </c>
      <c r="K292" s="75">
        <f>VLOOKUP($C292,청소코드!$C$4:$J$188,8,FALSE)</f>
        <v>18000</v>
      </c>
      <c r="L292" s="77"/>
      <c r="M292" s="78"/>
      <c r="N292" s="77"/>
      <c r="O292" s="77"/>
    </row>
    <row r="293" spans="1:15" ht="12.75" customHeight="1">
      <c r="A293" s="74">
        <v>46072</v>
      </c>
      <c r="B293" s="75" t="str">
        <f t="shared" si="8"/>
        <v>목</v>
      </c>
      <c r="C293" s="75" t="s">
        <v>284</v>
      </c>
      <c r="D293" s="75" t="str">
        <f>VLOOKUP($C293,청소코드!$C$4:$J$188,3,FALSE)</f>
        <v>청광1차 1303</v>
      </c>
      <c r="E293" s="75">
        <f>VLOOKUP($C293,청소코드!$C$4:$J$188,4,FALSE)</f>
        <v>1</v>
      </c>
      <c r="F293" s="75" t="s">
        <v>426</v>
      </c>
      <c r="G293" s="75"/>
      <c r="H293" s="75"/>
      <c r="I293" s="75" t="s">
        <v>439</v>
      </c>
      <c r="J293" s="76">
        <f t="shared" si="9"/>
        <v>18000</v>
      </c>
      <c r="K293" s="75">
        <f>VLOOKUP($C293,청소코드!$C$4:$J$188,8,FALSE)</f>
        <v>18000</v>
      </c>
      <c r="L293" s="77"/>
      <c r="M293" s="78"/>
      <c r="N293" s="77"/>
      <c r="O293" s="77"/>
    </row>
    <row r="294" spans="1:15" ht="12.75" customHeight="1">
      <c r="A294" s="74">
        <v>46072</v>
      </c>
      <c r="B294" s="75" t="str">
        <f t="shared" si="8"/>
        <v>목</v>
      </c>
      <c r="C294" s="75" t="s">
        <v>292</v>
      </c>
      <c r="D294" s="75" t="str">
        <f>VLOOKUP($C294,청소코드!$C$4:$J$188,3,FALSE)</f>
        <v>오앤 401</v>
      </c>
      <c r="E294" s="75">
        <f>VLOOKUP($C294,청소코드!$C$4:$J$188,4,FALSE)</f>
        <v>1</v>
      </c>
      <c r="F294" s="75" t="s">
        <v>426</v>
      </c>
      <c r="G294" s="75"/>
      <c r="H294" s="75"/>
      <c r="I294" s="75" t="s">
        <v>439</v>
      </c>
      <c r="J294" s="76">
        <f t="shared" si="9"/>
        <v>18000</v>
      </c>
      <c r="K294" s="75">
        <f>VLOOKUP($C294,청소코드!$C$4:$J$188,8,FALSE)</f>
        <v>18000</v>
      </c>
      <c r="L294" s="77"/>
      <c r="M294" s="78"/>
      <c r="N294" s="77"/>
      <c r="O294" s="77"/>
    </row>
    <row r="295" spans="1:15" ht="12.75" customHeight="1">
      <c r="A295" s="74">
        <v>46072</v>
      </c>
      <c r="B295" s="75" t="str">
        <f t="shared" si="8"/>
        <v>목</v>
      </c>
      <c r="C295" s="75" t="s">
        <v>283</v>
      </c>
      <c r="D295" s="75" t="str">
        <f>VLOOKUP($C295,청소코드!$C$4:$J$188,3,FALSE)</f>
        <v>강동QV 1604</v>
      </c>
      <c r="E295" s="75">
        <f>VLOOKUP($C295,청소코드!$C$4:$J$188,4,FALSE)</f>
        <v>1</v>
      </c>
      <c r="F295" s="75" t="s">
        <v>438</v>
      </c>
      <c r="G295" s="75"/>
      <c r="H295" s="75"/>
      <c r="I295" s="75" t="s">
        <v>439</v>
      </c>
      <c r="J295" s="76">
        <f t="shared" si="9"/>
        <v>18000</v>
      </c>
      <c r="K295" s="75">
        <f>VLOOKUP($C295,청소코드!$C$4:$J$188,8,FALSE)</f>
        <v>18000</v>
      </c>
      <c r="L295" s="77"/>
      <c r="M295" s="78"/>
      <c r="N295" s="77"/>
      <c r="O295" s="77"/>
    </row>
    <row r="296" spans="1:15" ht="12.75" customHeight="1">
      <c r="A296" s="74">
        <v>46072</v>
      </c>
      <c r="B296" s="75" t="str">
        <f t="shared" si="8"/>
        <v>목</v>
      </c>
      <c r="C296" s="75" t="s">
        <v>315</v>
      </c>
      <c r="D296" s="75" t="str">
        <f>VLOOKUP($C296,청소코드!$C$4:$J$188,3,FALSE)</f>
        <v>동구햇살 1203</v>
      </c>
      <c r="E296" s="75" t="str">
        <f>VLOOKUP($C296,청소코드!$C$4:$J$188,4,FALSE)</f>
        <v>복</v>
      </c>
      <c r="F296" s="75" t="s">
        <v>438</v>
      </c>
      <c r="G296" s="75"/>
      <c r="H296" s="75"/>
      <c r="I296" s="75" t="s">
        <v>439</v>
      </c>
      <c r="J296" s="76">
        <f t="shared" si="9"/>
        <v>20000</v>
      </c>
      <c r="K296" s="75">
        <f>VLOOKUP($C296,청소코드!$C$4:$J$188,8,FALSE)</f>
        <v>20000</v>
      </c>
      <c r="L296" s="77"/>
      <c r="M296" s="78"/>
      <c r="N296" s="77"/>
      <c r="O296" s="77"/>
    </row>
    <row r="297" spans="1:15" ht="12.75" customHeight="1">
      <c r="A297" s="74">
        <v>46072</v>
      </c>
      <c r="B297" s="75" t="str">
        <f t="shared" si="8"/>
        <v>목</v>
      </c>
      <c r="C297" s="75" t="s">
        <v>309</v>
      </c>
      <c r="D297" s="75" t="str">
        <f>VLOOKUP($C297,청소코드!$C$4:$J$188,3,FALSE)</f>
        <v>미사 마이움 102-803</v>
      </c>
      <c r="E297" s="75">
        <f>VLOOKUP($C297,청소코드!$C$4:$J$188,4,FALSE)</f>
        <v>1</v>
      </c>
      <c r="F297" s="75" t="s">
        <v>465</v>
      </c>
      <c r="G297" s="75"/>
      <c r="H297" s="75"/>
      <c r="I297" s="75" t="s">
        <v>439</v>
      </c>
      <c r="J297" s="76">
        <f t="shared" si="9"/>
        <v>25000</v>
      </c>
      <c r="K297" s="75">
        <f>VLOOKUP($C297,청소코드!$C$4:$J$188,8,FALSE)</f>
        <v>25000</v>
      </c>
      <c r="L297" s="77"/>
      <c r="M297" s="78"/>
      <c r="N297" s="77"/>
      <c r="O297" s="77"/>
    </row>
    <row r="298" spans="1:15" ht="12.75" customHeight="1">
      <c r="A298" s="74">
        <v>46072</v>
      </c>
      <c r="B298" s="75" t="str">
        <f t="shared" si="8"/>
        <v>목</v>
      </c>
      <c r="C298" s="75" t="s">
        <v>324</v>
      </c>
      <c r="D298" s="75" t="str">
        <f>VLOOKUP($C298,청소코드!$C$4:$J$188,3,FALSE)</f>
        <v>가산 지웰 328</v>
      </c>
      <c r="E298" s="75">
        <f>VLOOKUP($C298,청소코드!$C$4:$J$188,4,FALSE)</f>
        <v>1</v>
      </c>
      <c r="F298" s="75" t="s">
        <v>489</v>
      </c>
      <c r="G298" s="75"/>
      <c r="H298" s="75"/>
      <c r="I298" s="75" t="s">
        <v>439</v>
      </c>
      <c r="J298" s="76">
        <f t="shared" si="9"/>
        <v>40000</v>
      </c>
      <c r="K298" s="75">
        <f>VLOOKUP($C298,청소코드!$C$4:$J$188,8,FALSE)</f>
        <v>30000</v>
      </c>
      <c r="L298" s="77"/>
      <c r="M298" s="78"/>
      <c r="N298" s="77">
        <v>10000</v>
      </c>
      <c r="O298" s="77"/>
    </row>
    <row r="299" spans="1:15" ht="12.75" customHeight="1">
      <c r="A299" s="74">
        <v>46072</v>
      </c>
      <c r="B299" s="75" t="str">
        <f t="shared" si="8"/>
        <v>목</v>
      </c>
      <c r="C299" s="75" t="s">
        <v>308</v>
      </c>
      <c r="D299" s="75" t="str">
        <f>VLOOKUP($C299,청소코드!$C$4:$J$188,3,FALSE)</f>
        <v>청광1차 709</v>
      </c>
      <c r="E299" s="75">
        <f>VLOOKUP($C299,청소코드!$C$4:$J$188,4,FALSE)</f>
        <v>1</v>
      </c>
      <c r="F299" s="75" t="s">
        <v>401</v>
      </c>
      <c r="G299" s="75"/>
      <c r="H299" s="75"/>
      <c r="I299" s="75" t="s">
        <v>439</v>
      </c>
      <c r="J299" s="76">
        <f t="shared" si="9"/>
        <v>20000</v>
      </c>
      <c r="K299" s="75">
        <f>VLOOKUP($C299,청소코드!$C$4:$J$188,8,FALSE)</f>
        <v>18000</v>
      </c>
      <c r="L299" s="77">
        <v>2000</v>
      </c>
      <c r="M299" s="78"/>
      <c r="N299" s="77"/>
      <c r="O299" s="77"/>
    </row>
    <row r="300" spans="1:15" ht="12.75" customHeight="1">
      <c r="A300" s="74">
        <v>46072</v>
      </c>
      <c r="B300" s="75" t="str">
        <f t="shared" si="8"/>
        <v>목</v>
      </c>
      <c r="C300" s="75" t="s">
        <v>416</v>
      </c>
      <c r="D300" s="75" t="str">
        <f>VLOOKUP($C300,청소코드!$C$4:$J$188,3,FALSE)</f>
        <v>청광1차 207</v>
      </c>
      <c r="E300" s="75">
        <f>VLOOKUP($C300,청소코드!$C$4:$J$188,4,FALSE)</f>
        <v>0</v>
      </c>
      <c r="F300" s="75" t="s">
        <v>426</v>
      </c>
      <c r="G300" s="75"/>
      <c r="H300" s="75"/>
      <c r="I300" s="75" t="s">
        <v>439</v>
      </c>
      <c r="J300" s="76">
        <f t="shared" si="9"/>
        <v>10000</v>
      </c>
      <c r="K300" s="75">
        <f>VLOOKUP($C300,청소코드!$C$4:$J$188,8,FALSE)</f>
        <v>10000</v>
      </c>
      <c r="L300" s="77"/>
      <c r="M300" s="78"/>
      <c r="N300" s="77"/>
      <c r="O300" s="77"/>
    </row>
    <row r="301" spans="1:15" ht="12.75" customHeight="1">
      <c r="A301" s="74">
        <v>46073</v>
      </c>
      <c r="B301" s="75" t="str">
        <f t="shared" si="8"/>
        <v>금</v>
      </c>
      <c r="C301" s="75" t="s">
        <v>334</v>
      </c>
      <c r="D301" s="75" t="str">
        <f>VLOOKUP($C301,청소코드!$C$4:$J$188,3,FALSE)</f>
        <v>센텀 2차 406</v>
      </c>
      <c r="E301" s="75">
        <f>VLOOKUP($C301,청소코드!$C$4:$J$188,4,FALSE)</f>
        <v>1.5</v>
      </c>
      <c r="F301" s="75" t="s">
        <v>437</v>
      </c>
      <c r="G301" s="75"/>
      <c r="H301" s="75"/>
      <c r="I301" s="75" t="s">
        <v>439</v>
      </c>
      <c r="J301" s="76">
        <f t="shared" si="9"/>
        <v>20000</v>
      </c>
      <c r="K301" s="75">
        <f>VLOOKUP($C301,청소코드!$C$4:$J$188,8,FALSE)</f>
        <v>20000</v>
      </c>
      <c r="L301" s="77"/>
      <c r="M301" s="78"/>
      <c r="N301" s="77"/>
      <c r="O301" s="77"/>
    </row>
    <row r="302" spans="1:15" ht="12.75" customHeight="1">
      <c r="A302" s="74">
        <v>46073</v>
      </c>
      <c r="B302" s="75" t="str">
        <f t="shared" si="8"/>
        <v>금</v>
      </c>
      <c r="C302" s="75" t="s">
        <v>339</v>
      </c>
      <c r="D302" s="75" t="str">
        <f>VLOOKUP($C302,청소코드!$C$4:$J$188,3,FALSE)</f>
        <v>센텀 2차 606</v>
      </c>
      <c r="E302" s="75">
        <f>VLOOKUP($C302,청소코드!$C$4:$J$188,4,FALSE)</f>
        <v>1.5</v>
      </c>
      <c r="F302" s="75" t="s">
        <v>437</v>
      </c>
      <c r="G302" s="75"/>
      <c r="H302" s="75"/>
      <c r="I302" s="75" t="s">
        <v>439</v>
      </c>
      <c r="J302" s="76">
        <f t="shared" si="9"/>
        <v>20000</v>
      </c>
      <c r="K302" s="75">
        <f>VLOOKUP($C302,청소코드!$C$4:$J$188,8,FALSE)</f>
        <v>20000</v>
      </c>
      <c r="L302" s="77"/>
      <c r="M302" s="78"/>
      <c r="N302" s="77"/>
      <c r="O302" s="77"/>
    </row>
    <row r="303" spans="1:15" ht="12.75" customHeight="1">
      <c r="A303" s="74">
        <v>46073</v>
      </c>
      <c r="B303" s="75" t="str">
        <f t="shared" si="8"/>
        <v>금</v>
      </c>
      <c r="C303" s="75" t="s">
        <v>379</v>
      </c>
      <c r="D303" s="75" t="str">
        <f>VLOOKUP($C303,청소코드!$C$4:$J$188,3,FALSE)</f>
        <v>si 602</v>
      </c>
      <c r="E303" s="75">
        <f>VLOOKUP($C303,청소코드!$C$4:$J$188,4,FALSE)</f>
        <v>1</v>
      </c>
      <c r="F303" s="75" t="s">
        <v>437</v>
      </c>
      <c r="G303" s="75"/>
      <c r="H303" s="75"/>
      <c r="I303" s="75" t="s">
        <v>439</v>
      </c>
      <c r="J303" s="76">
        <f t="shared" si="9"/>
        <v>22000</v>
      </c>
      <c r="K303" s="75">
        <f>VLOOKUP($C303,청소코드!$C$4:$J$188,8,FALSE)</f>
        <v>20000</v>
      </c>
      <c r="L303" s="77">
        <v>2000</v>
      </c>
      <c r="M303" s="78"/>
      <c r="N303" s="77"/>
      <c r="O303" s="77"/>
    </row>
    <row r="304" spans="1:15" ht="12.75" customHeight="1">
      <c r="A304" s="74">
        <v>46073</v>
      </c>
      <c r="B304" s="75" t="str">
        <f t="shared" si="8"/>
        <v>금</v>
      </c>
      <c r="C304" s="75" t="s">
        <v>393</v>
      </c>
      <c r="D304" s="75" t="str">
        <f>VLOOKUP($C304,청소코드!$C$4:$J$188,3,FALSE)</f>
        <v>대치동 103호</v>
      </c>
      <c r="E304" s="75">
        <f>VLOOKUP($C304,청소코드!$C$4:$J$188,4,FALSE)</f>
        <v>1.5</v>
      </c>
      <c r="F304" s="75" t="s">
        <v>451</v>
      </c>
      <c r="G304" s="75"/>
      <c r="H304" s="75"/>
      <c r="I304" s="75" t="s">
        <v>439</v>
      </c>
      <c r="J304" s="76">
        <f t="shared" si="9"/>
        <v>24000</v>
      </c>
      <c r="K304" s="75">
        <f>VLOOKUP($C304,청소코드!$C$4:$J$188,8,FALSE)</f>
        <v>20000</v>
      </c>
      <c r="L304" s="77"/>
      <c r="M304" s="78"/>
      <c r="N304" s="77">
        <v>4000</v>
      </c>
      <c r="O304" s="77"/>
    </row>
    <row r="305" spans="1:15" ht="12.75" customHeight="1">
      <c r="A305" s="74">
        <v>46073</v>
      </c>
      <c r="B305" s="75" t="str">
        <f t="shared" si="8"/>
        <v>금</v>
      </c>
      <c r="C305" s="75" t="s">
        <v>396</v>
      </c>
      <c r="D305" s="75" t="str">
        <f>VLOOKUP($C305,청소코드!$C$4:$J$188,3,FALSE)</f>
        <v>대치동 101호</v>
      </c>
      <c r="E305" s="75">
        <f>VLOOKUP($C305,청소코드!$C$4:$J$188,4,FALSE)</f>
        <v>2</v>
      </c>
      <c r="F305" s="75" t="s">
        <v>451</v>
      </c>
      <c r="G305" s="75"/>
      <c r="H305" s="75"/>
      <c r="I305" s="75" t="s">
        <v>439</v>
      </c>
      <c r="J305" s="76">
        <f t="shared" si="9"/>
        <v>23000</v>
      </c>
      <c r="K305" s="75">
        <f>VLOOKUP($C305,청소코드!$C$4:$J$188,8,FALSE)</f>
        <v>23000</v>
      </c>
      <c r="L305" s="77"/>
      <c r="M305" s="78"/>
      <c r="N305" s="77"/>
      <c r="O305" s="77"/>
    </row>
    <row r="306" spans="1:15" ht="12.75" customHeight="1">
      <c r="A306" s="74">
        <v>46073</v>
      </c>
      <c r="B306" s="75" t="str">
        <f t="shared" si="8"/>
        <v>금</v>
      </c>
      <c r="C306" s="75" t="s">
        <v>284</v>
      </c>
      <c r="D306" s="75" t="str">
        <f>VLOOKUP($C306,청소코드!$C$4:$J$188,3,FALSE)</f>
        <v>청광1차 1303</v>
      </c>
      <c r="E306" s="75">
        <f>VLOOKUP($C306,청소코드!$C$4:$J$188,4,FALSE)</f>
        <v>1</v>
      </c>
      <c r="F306" s="75" t="s">
        <v>438</v>
      </c>
      <c r="G306" s="75"/>
      <c r="H306" s="75"/>
      <c r="I306" s="75" t="s">
        <v>439</v>
      </c>
      <c r="J306" s="76">
        <f t="shared" si="9"/>
        <v>18000</v>
      </c>
      <c r="K306" s="75">
        <f>VLOOKUP($C306,청소코드!$C$4:$J$188,8,FALSE)</f>
        <v>18000</v>
      </c>
      <c r="L306" s="77"/>
      <c r="M306" s="78"/>
      <c r="N306" s="77"/>
      <c r="O306" s="77"/>
    </row>
    <row r="307" spans="1:15" ht="12.75" customHeight="1">
      <c r="A307" s="74">
        <v>46073</v>
      </c>
      <c r="B307" s="75" t="str">
        <f t="shared" si="8"/>
        <v>금</v>
      </c>
      <c r="C307" s="75" t="s">
        <v>315</v>
      </c>
      <c r="D307" s="75" t="str">
        <f>VLOOKUP($C307,청소코드!$C$4:$J$188,3,FALSE)</f>
        <v>동구햇살 1203</v>
      </c>
      <c r="E307" s="75" t="str">
        <f>VLOOKUP($C307,청소코드!$C$4:$J$188,4,FALSE)</f>
        <v>복</v>
      </c>
      <c r="F307" s="75" t="s">
        <v>438</v>
      </c>
      <c r="G307" s="75"/>
      <c r="H307" s="75"/>
      <c r="I307" s="75" t="s">
        <v>439</v>
      </c>
      <c r="J307" s="76">
        <f t="shared" si="9"/>
        <v>20000</v>
      </c>
      <c r="K307" s="75">
        <f>VLOOKUP($C307,청소코드!$C$4:$J$188,8,FALSE)</f>
        <v>20000</v>
      </c>
      <c r="L307" s="77"/>
      <c r="M307" s="78"/>
      <c r="N307" s="77"/>
      <c r="O307" s="77"/>
    </row>
    <row r="308" spans="1:15" ht="12.75" customHeight="1">
      <c r="A308" s="74">
        <v>46073</v>
      </c>
      <c r="B308" s="75" t="str">
        <f t="shared" si="8"/>
        <v>금</v>
      </c>
      <c r="C308" s="75" t="s">
        <v>354</v>
      </c>
      <c r="D308" s="75" t="str">
        <f>VLOOKUP($C308,청소코드!$C$4:$J$188,3,FALSE)</f>
        <v>예건 202</v>
      </c>
      <c r="E308" s="75">
        <f>VLOOKUP($C308,청소코드!$C$4:$J$188,4,FALSE)</f>
        <v>1</v>
      </c>
      <c r="F308" s="75" t="s">
        <v>429</v>
      </c>
      <c r="G308" s="75"/>
      <c r="H308" s="75"/>
      <c r="I308" s="75" t="s">
        <v>439</v>
      </c>
      <c r="J308" s="76">
        <f t="shared" si="9"/>
        <v>18000</v>
      </c>
      <c r="K308" s="75">
        <f>VLOOKUP($C308,청소코드!$C$4:$J$188,8,FALSE)</f>
        <v>18000</v>
      </c>
      <c r="L308" s="77"/>
      <c r="M308" s="78"/>
      <c r="N308" s="77"/>
      <c r="O308" s="77"/>
    </row>
    <row r="309" spans="1:15" ht="12.75" customHeight="1">
      <c r="A309" s="74">
        <v>46073</v>
      </c>
      <c r="B309" s="75" t="str">
        <f t="shared" si="8"/>
        <v>금</v>
      </c>
      <c r="C309" s="75" t="s">
        <v>330</v>
      </c>
      <c r="D309" s="75" t="str">
        <f>VLOOKUP($C309,청소코드!$C$4:$J$188,3,FALSE)</f>
        <v>예건 204</v>
      </c>
      <c r="E309" s="75">
        <f>VLOOKUP($C309,청소코드!$C$4:$J$188,4,FALSE)</f>
        <v>1</v>
      </c>
      <c r="F309" s="75" t="s">
        <v>429</v>
      </c>
      <c r="G309" s="75"/>
      <c r="H309" s="75"/>
      <c r="I309" s="75" t="s">
        <v>439</v>
      </c>
      <c r="J309" s="76">
        <f t="shared" si="9"/>
        <v>18000</v>
      </c>
      <c r="K309" s="75">
        <f>VLOOKUP($C309,청소코드!$C$4:$J$188,8,FALSE)</f>
        <v>18000</v>
      </c>
      <c r="L309" s="77"/>
      <c r="M309" s="78"/>
      <c r="N309" s="77"/>
      <c r="O309" s="77"/>
    </row>
    <row r="310" spans="1:15" ht="12.75" customHeight="1">
      <c r="A310" s="74">
        <v>46073</v>
      </c>
      <c r="B310" s="75" t="str">
        <f t="shared" si="8"/>
        <v>금</v>
      </c>
      <c r="C310" s="75" t="s">
        <v>360</v>
      </c>
      <c r="D310" s="75" t="str">
        <f>VLOOKUP($C310,청소코드!$C$4:$J$188,3,FALSE)</f>
        <v>더하임 306</v>
      </c>
      <c r="E310" s="75">
        <f>VLOOKUP($C310,청소코드!$C$4:$J$188,4,FALSE)</f>
        <v>1.5</v>
      </c>
      <c r="F310" s="75" t="s">
        <v>401</v>
      </c>
      <c r="G310" s="75"/>
      <c r="H310" s="75"/>
      <c r="I310" s="75" t="s">
        <v>439</v>
      </c>
      <c r="J310" s="76">
        <f t="shared" si="9"/>
        <v>20000</v>
      </c>
      <c r="K310" s="75">
        <f>VLOOKUP($C310,청소코드!$C$4:$J$188,8,FALSE)</f>
        <v>20000</v>
      </c>
      <c r="L310" s="77"/>
      <c r="M310" s="78"/>
      <c r="N310" s="77"/>
      <c r="O310" s="77"/>
    </row>
    <row r="311" spans="1:15" ht="12.75" customHeight="1">
      <c r="A311" s="74">
        <v>46073</v>
      </c>
      <c r="B311" s="75" t="str">
        <f t="shared" si="8"/>
        <v>금</v>
      </c>
      <c r="C311" s="75" t="s">
        <v>390</v>
      </c>
      <c r="D311" s="75" t="str">
        <f>VLOOKUP($C311,청소코드!$C$4:$J$188,3,FALSE)</f>
        <v>더하임 406</v>
      </c>
      <c r="E311" s="75">
        <f>VLOOKUP($C311,청소코드!$C$4:$J$188,4,FALSE)</f>
        <v>1.5</v>
      </c>
      <c r="F311" s="75" t="s">
        <v>401</v>
      </c>
      <c r="G311" s="75"/>
      <c r="H311" s="75"/>
      <c r="I311" s="75" t="s">
        <v>439</v>
      </c>
      <c r="J311" s="76">
        <f t="shared" si="9"/>
        <v>20000</v>
      </c>
      <c r="K311" s="75">
        <f>VLOOKUP($C311,청소코드!$C$4:$J$188,8,FALSE)</f>
        <v>20000</v>
      </c>
      <c r="L311" s="77"/>
      <c r="M311" s="78"/>
      <c r="N311" s="77"/>
      <c r="O311" s="77"/>
    </row>
    <row r="312" spans="1:15" ht="12.75" customHeight="1">
      <c r="A312" s="74">
        <v>46073</v>
      </c>
      <c r="B312" s="75" t="str">
        <f t="shared" si="8"/>
        <v>금</v>
      </c>
      <c r="C312" s="75" t="s">
        <v>361</v>
      </c>
      <c r="D312" s="75" t="str">
        <f>VLOOKUP($C312,청소코드!$C$4:$J$188,3,FALSE)</f>
        <v>더하임 506</v>
      </c>
      <c r="E312" s="75">
        <f>VLOOKUP($C312,청소코드!$C$4:$J$188,4,FALSE)</f>
        <v>1.5</v>
      </c>
      <c r="F312" s="75" t="s">
        <v>401</v>
      </c>
      <c r="G312" s="75"/>
      <c r="H312" s="75"/>
      <c r="I312" s="75" t="s">
        <v>439</v>
      </c>
      <c r="J312" s="76">
        <f t="shared" si="9"/>
        <v>20000</v>
      </c>
      <c r="K312" s="75">
        <f>VLOOKUP($C312,청소코드!$C$4:$J$188,8,FALSE)</f>
        <v>20000</v>
      </c>
      <c r="L312" s="77"/>
      <c r="M312" s="78"/>
      <c r="N312" s="77"/>
      <c r="O312" s="77"/>
    </row>
    <row r="313" spans="1:15" ht="12.75" customHeight="1">
      <c r="A313" s="74">
        <v>46073</v>
      </c>
      <c r="B313" s="75" t="str">
        <f t="shared" si="8"/>
        <v>금</v>
      </c>
      <c r="C313" s="75" t="s">
        <v>387</v>
      </c>
      <c r="D313" s="75" t="str">
        <f>VLOOKUP($C313,청소코드!$C$4:$J$188,3,FALSE)</f>
        <v>더하임 604</v>
      </c>
      <c r="E313" s="75">
        <f>VLOOKUP($C313,청소코드!$C$4:$J$188,4,FALSE)</f>
        <v>1</v>
      </c>
      <c r="F313" s="75" t="s">
        <v>401</v>
      </c>
      <c r="G313" s="75"/>
      <c r="H313" s="75"/>
      <c r="I313" s="75" t="s">
        <v>439</v>
      </c>
      <c r="J313" s="76">
        <f t="shared" si="9"/>
        <v>18000</v>
      </c>
      <c r="K313" s="75">
        <f>VLOOKUP($C313,청소코드!$C$4:$J$188,8,FALSE)</f>
        <v>18000</v>
      </c>
      <c r="L313" s="77"/>
      <c r="M313" s="78"/>
      <c r="N313" s="77"/>
      <c r="O313" s="77"/>
    </row>
    <row r="314" spans="1:15" ht="12.75" customHeight="1">
      <c r="A314" s="74">
        <v>46073</v>
      </c>
      <c r="B314" s="75" t="str">
        <f t="shared" si="8"/>
        <v>금</v>
      </c>
      <c r="C314" s="75" t="s">
        <v>369</v>
      </c>
      <c r="D314" s="75" t="str">
        <f>VLOOKUP($C314,청소코드!$C$4:$J$188,3,FALSE)</f>
        <v>성우 402</v>
      </c>
      <c r="E314" s="75">
        <f>VLOOKUP($C314,청소코드!$C$4:$J$188,4,FALSE)</f>
        <v>3</v>
      </c>
      <c r="F314" s="75" t="s">
        <v>426</v>
      </c>
      <c r="G314" s="75"/>
      <c r="H314" s="75"/>
      <c r="I314" s="75" t="s">
        <v>439</v>
      </c>
      <c r="J314" s="76">
        <f t="shared" si="9"/>
        <v>30000</v>
      </c>
      <c r="K314" s="75">
        <f>VLOOKUP($C314,청소코드!$C$4:$J$188,8,FALSE)</f>
        <v>30000</v>
      </c>
      <c r="L314" s="77"/>
      <c r="M314" s="78"/>
      <c r="N314" s="77"/>
      <c r="O314" s="77"/>
    </row>
    <row r="315" spans="1:15" ht="12.75" customHeight="1">
      <c r="A315" s="74">
        <v>46073</v>
      </c>
      <c r="B315" s="75" t="str">
        <f t="shared" si="8"/>
        <v>금</v>
      </c>
      <c r="C315" s="75" t="s">
        <v>292</v>
      </c>
      <c r="D315" s="75" t="str">
        <f>VLOOKUP($C315,청소코드!$C$4:$J$188,3,FALSE)</f>
        <v>오앤 401</v>
      </c>
      <c r="E315" s="75">
        <f>VLOOKUP($C315,청소코드!$C$4:$J$188,4,FALSE)</f>
        <v>1</v>
      </c>
      <c r="F315" s="75" t="s">
        <v>426</v>
      </c>
      <c r="G315" s="75"/>
      <c r="H315" s="75"/>
      <c r="I315" s="75" t="s">
        <v>439</v>
      </c>
      <c r="J315" s="76">
        <f t="shared" si="9"/>
        <v>18000</v>
      </c>
      <c r="K315" s="75">
        <f>VLOOKUP($C315,청소코드!$C$4:$J$188,8,FALSE)</f>
        <v>18000</v>
      </c>
      <c r="L315" s="77"/>
      <c r="M315" s="78"/>
      <c r="N315" s="77"/>
      <c r="O315" s="77"/>
    </row>
    <row r="316" spans="1:15" ht="12.75" customHeight="1">
      <c r="A316" s="74">
        <v>46073</v>
      </c>
      <c r="B316" s="75" t="str">
        <f t="shared" si="8"/>
        <v>금</v>
      </c>
      <c r="C316" s="75" t="s">
        <v>416</v>
      </c>
      <c r="D316" s="75" t="str">
        <f>VLOOKUP($C316,청소코드!$C$4:$J$188,3,FALSE)</f>
        <v>청광1차 207</v>
      </c>
      <c r="E316" s="75">
        <f>VLOOKUP($C316,청소코드!$C$4:$J$188,4,FALSE)</f>
        <v>0</v>
      </c>
      <c r="F316" s="75" t="s">
        <v>426</v>
      </c>
      <c r="G316" s="75"/>
      <c r="H316" s="75"/>
      <c r="I316" s="75" t="s">
        <v>439</v>
      </c>
      <c r="J316" s="76">
        <f t="shared" si="9"/>
        <v>10000</v>
      </c>
      <c r="K316" s="75">
        <f>VLOOKUP($C316,청소코드!$C$4:$J$188,8,FALSE)</f>
        <v>10000</v>
      </c>
      <c r="L316" s="77"/>
      <c r="M316" s="78"/>
      <c r="N316" s="77"/>
      <c r="O316" s="77"/>
    </row>
    <row r="317" spans="1:15" ht="12.75" customHeight="1">
      <c r="A317" s="74">
        <v>46074</v>
      </c>
      <c r="B317" s="75" t="str">
        <f t="shared" si="8"/>
        <v>토</v>
      </c>
      <c r="C317" s="75" t="s">
        <v>396</v>
      </c>
      <c r="D317" s="75" t="str">
        <f>VLOOKUP($C317,청소코드!$C$4:$J$188,3,FALSE)</f>
        <v>대치동 101호</v>
      </c>
      <c r="E317" s="75">
        <f>VLOOKUP($C317,청소코드!$C$4:$J$188,4,FALSE)</f>
        <v>2</v>
      </c>
      <c r="F317" s="75" t="s">
        <v>451</v>
      </c>
      <c r="G317" s="75"/>
      <c r="H317" s="75"/>
      <c r="I317" s="75" t="s">
        <v>439</v>
      </c>
      <c r="J317" s="76">
        <f t="shared" si="9"/>
        <v>23000</v>
      </c>
      <c r="K317" s="75">
        <f>VLOOKUP($C317,청소코드!$C$4:$J$188,8,FALSE)</f>
        <v>23000</v>
      </c>
      <c r="L317" s="77"/>
      <c r="M317" s="78"/>
      <c r="N317" s="77"/>
      <c r="O317" s="77"/>
    </row>
    <row r="318" spans="1:15" ht="12.75" customHeight="1">
      <c r="A318" s="74">
        <v>46074</v>
      </c>
      <c r="B318" s="75" t="str">
        <f t="shared" si="8"/>
        <v>토</v>
      </c>
      <c r="C318" s="75" t="s">
        <v>397</v>
      </c>
      <c r="D318" s="75" t="str">
        <f>VLOOKUP($C318,청소코드!$C$4:$J$188,3,FALSE)</f>
        <v>대치동 102호</v>
      </c>
      <c r="E318" s="75">
        <f>VLOOKUP($C318,청소코드!$C$4:$J$188,4,FALSE)</f>
        <v>1</v>
      </c>
      <c r="F318" s="75" t="s">
        <v>451</v>
      </c>
      <c r="G318" s="75"/>
      <c r="H318" s="75"/>
      <c r="I318" s="75" t="s">
        <v>439</v>
      </c>
      <c r="J318" s="76">
        <f t="shared" si="9"/>
        <v>22000</v>
      </c>
      <c r="K318" s="75">
        <f>VLOOKUP($C318,청소코드!$C$4:$J$188,8,FALSE)</f>
        <v>18000</v>
      </c>
      <c r="L318" s="77"/>
      <c r="M318" s="78"/>
      <c r="N318" s="77">
        <v>4000</v>
      </c>
      <c r="O318" s="77"/>
    </row>
    <row r="319" spans="1:15" ht="12.75" customHeight="1">
      <c r="A319" s="74">
        <v>46074</v>
      </c>
      <c r="B319" s="75" t="str">
        <f t="shared" si="8"/>
        <v>토</v>
      </c>
      <c r="C319" s="75" t="s">
        <v>302</v>
      </c>
      <c r="D319" s="75" t="str">
        <f>VLOOKUP($C319,청소코드!$C$4:$J$188,3,FALSE)</f>
        <v>하람휴 1102</v>
      </c>
      <c r="E319" s="75">
        <f>VLOOKUP($C319,청소코드!$C$4:$J$188,4,FALSE)</f>
        <v>2</v>
      </c>
      <c r="F319" s="75" t="s">
        <v>408</v>
      </c>
      <c r="G319" s="75"/>
      <c r="H319" s="75"/>
      <c r="I319" s="75" t="s">
        <v>439</v>
      </c>
      <c r="J319" s="76">
        <f t="shared" si="9"/>
        <v>23000</v>
      </c>
      <c r="K319" s="75">
        <f>VLOOKUP($C319,청소코드!$C$4:$J$188,8,FALSE)</f>
        <v>23000</v>
      </c>
      <c r="L319" s="77"/>
      <c r="M319" s="78"/>
      <c r="N319" s="77"/>
      <c r="O319" s="77"/>
    </row>
    <row r="320" spans="1:15" ht="12.75" customHeight="1">
      <c r="A320" s="74">
        <v>46074</v>
      </c>
      <c r="B320" s="75" t="str">
        <f t="shared" si="8"/>
        <v>토</v>
      </c>
      <c r="C320" s="75" t="s">
        <v>334</v>
      </c>
      <c r="D320" s="75" t="str">
        <f>VLOOKUP($C320,청소코드!$C$4:$J$188,3,FALSE)</f>
        <v>센텀 2차 406</v>
      </c>
      <c r="E320" s="75">
        <f>VLOOKUP($C320,청소코드!$C$4:$J$188,4,FALSE)</f>
        <v>1.5</v>
      </c>
      <c r="F320" s="75" t="s">
        <v>438</v>
      </c>
      <c r="G320" s="75"/>
      <c r="H320" s="75"/>
      <c r="I320" s="75" t="s">
        <v>439</v>
      </c>
      <c r="J320" s="76">
        <f t="shared" si="9"/>
        <v>20000</v>
      </c>
      <c r="K320" s="75">
        <f>VLOOKUP($C320,청소코드!$C$4:$J$188,8,FALSE)</f>
        <v>20000</v>
      </c>
      <c r="L320" s="77"/>
      <c r="M320" s="78"/>
      <c r="N320" s="77"/>
      <c r="O320" s="77"/>
    </row>
    <row r="321" spans="1:15" ht="12.75" customHeight="1">
      <c r="A321" s="74">
        <v>46074</v>
      </c>
      <c r="B321" s="75" t="str">
        <f t="shared" si="8"/>
        <v>토</v>
      </c>
      <c r="C321" s="75" t="s">
        <v>339</v>
      </c>
      <c r="D321" s="75" t="str">
        <f>VLOOKUP($C321,청소코드!$C$4:$J$188,3,FALSE)</f>
        <v>센텀 2차 606</v>
      </c>
      <c r="E321" s="75">
        <f>VLOOKUP($C321,청소코드!$C$4:$J$188,4,FALSE)</f>
        <v>1.5</v>
      </c>
      <c r="F321" s="75" t="s">
        <v>491</v>
      </c>
      <c r="G321" s="75"/>
      <c r="H321" s="75"/>
      <c r="I321" s="75" t="s">
        <v>439</v>
      </c>
      <c r="J321" s="76">
        <f t="shared" si="9"/>
        <v>20000</v>
      </c>
      <c r="K321" s="75">
        <f>VLOOKUP($C321,청소코드!$C$4:$J$188,8,FALSE)</f>
        <v>20000</v>
      </c>
      <c r="L321" s="77"/>
      <c r="M321" s="78"/>
      <c r="N321" s="77"/>
      <c r="O321" s="77"/>
    </row>
    <row r="322" spans="1:15" ht="12.75" customHeight="1">
      <c r="A322" s="74">
        <v>46074</v>
      </c>
      <c r="B322" s="75" t="str">
        <f t="shared" si="8"/>
        <v>토</v>
      </c>
      <c r="C322" s="75" t="s">
        <v>369</v>
      </c>
      <c r="D322" s="75" t="str">
        <f>VLOOKUP($C322,청소코드!$C$4:$J$188,3,FALSE)</f>
        <v>성우 402</v>
      </c>
      <c r="E322" s="75">
        <f>VLOOKUP($C322,청소코드!$C$4:$J$188,4,FALSE)</f>
        <v>3</v>
      </c>
      <c r="F322" s="75" t="s">
        <v>437</v>
      </c>
      <c r="G322" s="75"/>
      <c r="H322" s="75"/>
      <c r="I322" s="75" t="s">
        <v>439</v>
      </c>
      <c r="J322" s="76">
        <f t="shared" si="9"/>
        <v>30000</v>
      </c>
      <c r="K322" s="75">
        <f>VLOOKUP($C322,청소코드!$C$4:$J$188,8,FALSE)</f>
        <v>30000</v>
      </c>
      <c r="L322" s="77"/>
      <c r="M322" s="78"/>
      <c r="N322" s="77"/>
      <c r="O322" s="77"/>
    </row>
    <row r="323" spans="1:15" ht="12.75" customHeight="1">
      <c r="A323" s="74">
        <v>46074</v>
      </c>
      <c r="B323" s="75" t="str">
        <f t="shared" ref="B323:B375" si="10">TEXT(A323,"aaa")</f>
        <v>토</v>
      </c>
      <c r="C323" s="75" t="s">
        <v>336</v>
      </c>
      <c r="D323" s="75" t="str">
        <f>VLOOKUP($C323,청소코드!$C$4:$J$188,3,FALSE)</f>
        <v>예건 205</v>
      </c>
      <c r="E323" s="75">
        <f>VLOOKUP($C323,청소코드!$C$4:$J$188,4,FALSE)</f>
        <v>1</v>
      </c>
      <c r="F323" s="75" t="s">
        <v>437</v>
      </c>
      <c r="G323" s="75"/>
      <c r="H323" s="75"/>
      <c r="I323" s="75" t="s">
        <v>439</v>
      </c>
      <c r="J323" s="76">
        <f t="shared" ref="J323:J375" si="11">SUM(K323:O323)</f>
        <v>18000</v>
      </c>
      <c r="K323" s="75">
        <f>VLOOKUP($C323,청소코드!$C$4:$J$188,8,FALSE)</f>
        <v>18000</v>
      </c>
      <c r="L323" s="77"/>
      <c r="M323" s="78"/>
      <c r="N323" s="77"/>
      <c r="O323" s="77"/>
    </row>
    <row r="324" spans="1:15" ht="12.75" customHeight="1">
      <c r="A324" s="74">
        <v>46074</v>
      </c>
      <c r="B324" s="75" t="str">
        <f t="shared" si="10"/>
        <v>토</v>
      </c>
      <c r="C324" s="75" t="s">
        <v>372</v>
      </c>
      <c r="D324" s="75" t="str">
        <f>VLOOKUP($C324,청소코드!$C$4:$J$188,3,FALSE)</f>
        <v>예건 702</v>
      </c>
      <c r="E324" s="75">
        <f>VLOOKUP($C324,청소코드!$C$4:$J$188,4,FALSE)</f>
        <v>1</v>
      </c>
      <c r="F324" s="75" t="s">
        <v>437</v>
      </c>
      <c r="G324" s="75"/>
      <c r="H324" s="75"/>
      <c r="I324" s="75" t="s">
        <v>439</v>
      </c>
      <c r="J324" s="76">
        <f t="shared" si="11"/>
        <v>18000</v>
      </c>
      <c r="K324" s="75">
        <f>VLOOKUP($C324,청소코드!$C$4:$J$188,8,FALSE)</f>
        <v>18000</v>
      </c>
      <c r="L324" s="77"/>
      <c r="M324" s="78"/>
      <c r="N324" s="77"/>
      <c r="O324" s="77"/>
    </row>
    <row r="325" spans="1:15" ht="12.75" customHeight="1">
      <c r="A325" s="74">
        <v>46074</v>
      </c>
      <c r="B325" s="75" t="str">
        <f t="shared" si="10"/>
        <v>토</v>
      </c>
      <c r="C325" s="75" t="s">
        <v>390</v>
      </c>
      <c r="D325" s="75" t="str">
        <f>VLOOKUP($C325,청소코드!$C$4:$J$188,3,FALSE)</f>
        <v>더하임 406</v>
      </c>
      <c r="E325" s="75">
        <f>VLOOKUP($C325,청소코드!$C$4:$J$188,4,FALSE)</f>
        <v>1.5</v>
      </c>
      <c r="F325" s="75" t="s">
        <v>429</v>
      </c>
      <c r="G325" s="75"/>
      <c r="H325" s="75"/>
      <c r="I325" s="75" t="s">
        <v>439</v>
      </c>
      <c r="J325" s="76">
        <f t="shared" si="11"/>
        <v>20000</v>
      </c>
      <c r="K325" s="75">
        <f>VLOOKUP($C325,청소코드!$C$4:$J$188,8,FALSE)</f>
        <v>20000</v>
      </c>
      <c r="L325" s="77"/>
      <c r="M325" s="78"/>
      <c r="N325" s="77"/>
      <c r="O325" s="77"/>
    </row>
    <row r="326" spans="1:15" ht="12.75" customHeight="1">
      <c r="A326" s="74">
        <v>46074</v>
      </c>
      <c r="B326" s="75" t="str">
        <f t="shared" si="10"/>
        <v>토</v>
      </c>
      <c r="C326" s="75" t="s">
        <v>283</v>
      </c>
      <c r="D326" s="75" t="str">
        <f>VLOOKUP($C326,청소코드!$C$4:$J$188,3,FALSE)</f>
        <v>강동QV 1604</v>
      </c>
      <c r="E326" s="75">
        <f>VLOOKUP($C326,청소코드!$C$4:$J$188,4,FALSE)</f>
        <v>1</v>
      </c>
      <c r="F326" s="75" t="s">
        <v>429</v>
      </c>
      <c r="G326" s="75"/>
      <c r="H326" s="75"/>
      <c r="I326" s="75" t="s">
        <v>439</v>
      </c>
      <c r="J326" s="76">
        <f t="shared" si="11"/>
        <v>18000</v>
      </c>
      <c r="K326" s="75">
        <f>VLOOKUP($C326,청소코드!$C$4:$J$188,8,FALSE)</f>
        <v>18000</v>
      </c>
      <c r="L326" s="77"/>
      <c r="M326" s="78"/>
      <c r="N326" s="77"/>
      <c r="O326" s="77"/>
    </row>
    <row r="327" spans="1:15" ht="12.75" customHeight="1">
      <c r="A327" s="74">
        <v>46074</v>
      </c>
      <c r="B327" s="75" t="str">
        <f t="shared" si="10"/>
        <v>토</v>
      </c>
      <c r="C327" s="75" t="s">
        <v>284</v>
      </c>
      <c r="D327" s="75" t="str">
        <f>VLOOKUP($C327,청소코드!$C$4:$J$188,3,FALSE)</f>
        <v>청광1차 1303</v>
      </c>
      <c r="E327" s="75">
        <f>VLOOKUP($C327,청소코드!$C$4:$J$188,4,FALSE)</f>
        <v>1</v>
      </c>
      <c r="F327" s="75" t="s">
        <v>401</v>
      </c>
      <c r="G327" s="75"/>
      <c r="H327" s="75"/>
      <c r="I327" s="75" t="s">
        <v>439</v>
      </c>
      <c r="J327" s="76">
        <f t="shared" si="11"/>
        <v>18000</v>
      </c>
      <c r="K327" s="75">
        <f>VLOOKUP($C327,청소코드!$C$4:$J$188,8,FALSE)</f>
        <v>18000</v>
      </c>
      <c r="L327" s="77"/>
      <c r="M327" s="78"/>
      <c r="N327" s="77"/>
      <c r="O327" s="77"/>
    </row>
    <row r="328" spans="1:15" ht="12.75" customHeight="1">
      <c r="A328" s="74">
        <v>46074</v>
      </c>
      <c r="B328" s="75" t="str">
        <f t="shared" si="10"/>
        <v>토</v>
      </c>
      <c r="C328" s="75" t="s">
        <v>287</v>
      </c>
      <c r="D328" s="75" t="str">
        <f>VLOOKUP($C328,청소코드!$C$4:$J$188,3,FALSE)</f>
        <v>청광3차 1412</v>
      </c>
      <c r="E328" s="75">
        <f>VLOOKUP($C328,청소코드!$C$4:$J$188,4,FALSE)</f>
        <v>1</v>
      </c>
      <c r="F328" s="75" t="s">
        <v>401</v>
      </c>
      <c r="G328" s="75"/>
      <c r="H328" s="75"/>
      <c r="I328" s="75" t="s">
        <v>439</v>
      </c>
      <c r="J328" s="76">
        <f t="shared" si="11"/>
        <v>18000</v>
      </c>
      <c r="K328" s="75">
        <f>VLOOKUP($C328,청소코드!$C$4:$J$188,8,FALSE)</f>
        <v>18000</v>
      </c>
      <c r="L328" s="77"/>
      <c r="M328" s="78"/>
      <c r="N328" s="77"/>
      <c r="O328" s="77"/>
    </row>
    <row r="329" spans="1:15" ht="12.75" customHeight="1">
      <c r="A329" s="74">
        <v>46074</v>
      </c>
      <c r="B329" s="75" t="str">
        <f t="shared" si="10"/>
        <v>토</v>
      </c>
      <c r="C329" s="75" t="s">
        <v>315</v>
      </c>
      <c r="D329" s="75" t="str">
        <f>VLOOKUP($C329,청소코드!$C$4:$J$188,3,FALSE)</f>
        <v>동구햇살 1203</v>
      </c>
      <c r="E329" s="75" t="str">
        <f>VLOOKUP($C329,청소코드!$C$4:$J$188,4,FALSE)</f>
        <v>복</v>
      </c>
      <c r="F329" s="75" t="s">
        <v>426</v>
      </c>
      <c r="G329" s="75"/>
      <c r="H329" s="75"/>
      <c r="I329" s="75" t="s">
        <v>439</v>
      </c>
      <c r="J329" s="76">
        <f t="shared" si="11"/>
        <v>20000</v>
      </c>
      <c r="K329" s="75">
        <f>VLOOKUP($C329,청소코드!$C$4:$J$188,8,FALSE)</f>
        <v>20000</v>
      </c>
      <c r="L329" s="77"/>
      <c r="M329" s="78"/>
      <c r="N329" s="77"/>
      <c r="O329" s="77"/>
    </row>
    <row r="330" spans="1:15" ht="12.75" customHeight="1">
      <c r="A330" s="74">
        <v>46074</v>
      </c>
      <c r="B330" s="75" t="str">
        <f t="shared" si="10"/>
        <v>토</v>
      </c>
      <c r="C330" s="75" t="s">
        <v>292</v>
      </c>
      <c r="D330" s="75" t="str">
        <f>VLOOKUP($C330,청소코드!$C$4:$J$188,3,FALSE)</f>
        <v>오앤 401</v>
      </c>
      <c r="E330" s="75">
        <f>VLOOKUP($C330,청소코드!$C$4:$J$188,4,FALSE)</f>
        <v>1</v>
      </c>
      <c r="F330" s="75" t="s">
        <v>426</v>
      </c>
      <c r="G330" s="75"/>
      <c r="H330" s="75"/>
      <c r="I330" s="75" t="s">
        <v>439</v>
      </c>
      <c r="J330" s="76">
        <f t="shared" si="11"/>
        <v>18000</v>
      </c>
      <c r="K330" s="75">
        <f>VLOOKUP($C330,청소코드!$C$4:$J$188,8,FALSE)</f>
        <v>18000</v>
      </c>
      <c r="L330" s="77"/>
      <c r="M330" s="78"/>
      <c r="N330" s="77"/>
      <c r="O330" s="77"/>
    </row>
    <row r="331" spans="1:15" ht="12.75" customHeight="1">
      <c r="A331" s="74">
        <v>46074</v>
      </c>
      <c r="B331" s="75" t="str">
        <f t="shared" si="10"/>
        <v>토</v>
      </c>
      <c r="C331" s="75" t="s">
        <v>416</v>
      </c>
      <c r="D331" s="75" t="str">
        <f>VLOOKUP($C331,청소코드!$C$4:$J$188,3,FALSE)</f>
        <v>청광1차 207</v>
      </c>
      <c r="E331" s="75">
        <f>VLOOKUP($C331,청소코드!$C$4:$J$188,4,FALSE)</f>
        <v>0</v>
      </c>
      <c r="F331" s="75" t="s">
        <v>426</v>
      </c>
      <c r="G331" s="75"/>
      <c r="H331" s="75"/>
      <c r="I331" s="75" t="s">
        <v>439</v>
      </c>
      <c r="J331" s="76">
        <f t="shared" si="11"/>
        <v>10000</v>
      </c>
      <c r="K331" s="75">
        <f>VLOOKUP($C331,청소코드!$C$4:$J$188,8,FALSE)</f>
        <v>10000</v>
      </c>
      <c r="L331" s="77"/>
      <c r="M331" s="78"/>
      <c r="N331" s="77"/>
      <c r="O331" s="77"/>
    </row>
    <row r="332" spans="1:15" ht="12.75" customHeight="1">
      <c r="A332" s="74">
        <v>46075</v>
      </c>
      <c r="B332" s="75" t="str">
        <f t="shared" si="10"/>
        <v>일</v>
      </c>
      <c r="C332" s="75" t="s">
        <v>334</v>
      </c>
      <c r="D332" s="75" t="str">
        <f>VLOOKUP($C332,청소코드!$C$4:$J$188,3,FALSE)</f>
        <v>센텀 2차 406</v>
      </c>
      <c r="E332" s="75">
        <f>VLOOKUP($C332,청소코드!$C$4:$J$188,4,FALSE)</f>
        <v>1.5</v>
      </c>
      <c r="F332" s="75" t="s">
        <v>437</v>
      </c>
      <c r="G332" s="75"/>
      <c r="H332" s="75"/>
      <c r="I332" s="75" t="s">
        <v>439</v>
      </c>
      <c r="J332" s="76">
        <f t="shared" si="11"/>
        <v>20000</v>
      </c>
      <c r="K332" s="75">
        <f>VLOOKUP($C332,청소코드!$C$4:$J$188,8,FALSE)</f>
        <v>20000</v>
      </c>
      <c r="L332" s="77"/>
      <c r="M332" s="78"/>
      <c r="N332" s="77"/>
      <c r="O332" s="77"/>
    </row>
    <row r="333" spans="1:15" ht="12.75" customHeight="1">
      <c r="A333" s="74">
        <v>46075</v>
      </c>
      <c r="B333" s="75" t="str">
        <f t="shared" si="10"/>
        <v>일</v>
      </c>
      <c r="C333" s="75" t="s">
        <v>339</v>
      </c>
      <c r="D333" s="75" t="str">
        <f>VLOOKUP($C333,청소코드!$C$4:$J$188,3,FALSE)</f>
        <v>센텀 2차 606</v>
      </c>
      <c r="E333" s="75">
        <f>VLOOKUP($C333,청소코드!$C$4:$J$188,4,FALSE)</f>
        <v>1.5</v>
      </c>
      <c r="F333" s="75" t="s">
        <v>437</v>
      </c>
      <c r="G333" s="75"/>
      <c r="H333" s="75"/>
      <c r="I333" s="75" t="s">
        <v>431</v>
      </c>
      <c r="J333" s="76">
        <f t="shared" si="11"/>
        <v>20000</v>
      </c>
      <c r="K333" s="75">
        <f>VLOOKUP($C333,청소코드!$C$4:$J$188,8,FALSE)</f>
        <v>20000</v>
      </c>
      <c r="L333" s="77"/>
      <c r="M333" s="78"/>
      <c r="N333" s="77"/>
      <c r="O333" s="77"/>
    </row>
    <row r="334" spans="1:15" ht="12.75" customHeight="1">
      <c r="A334" s="74">
        <v>46075</v>
      </c>
      <c r="B334" s="75" t="str">
        <f t="shared" si="10"/>
        <v>일</v>
      </c>
      <c r="C334" s="75" t="s">
        <v>284</v>
      </c>
      <c r="D334" s="75" t="str">
        <f>VLOOKUP($C334,청소코드!$C$4:$J$188,3,FALSE)</f>
        <v>청광1차 1303</v>
      </c>
      <c r="E334" s="75">
        <f>VLOOKUP($C334,청소코드!$C$4:$J$188,4,FALSE)</f>
        <v>1</v>
      </c>
      <c r="F334" s="75" t="s">
        <v>437</v>
      </c>
      <c r="G334" s="75"/>
      <c r="H334" s="75"/>
      <c r="I334" s="75" t="s">
        <v>431</v>
      </c>
      <c r="J334" s="76">
        <f t="shared" si="11"/>
        <v>18000</v>
      </c>
      <c r="K334" s="75">
        <f>VLOOKUP($C334,청소코드!$C$4:$J$188,8,FALSE)</f>
        <v>18000</v>
      </c>
      <c r="L334" s="77"/>
      <c r="M334" s="78"/>
      <c r="N334" s="77"/>
      <c r="O334" s="77"/>
    </row>
    <row r="335" spans="1:15" ht="12.75" customHeight="1">
      <c r="A335" s="74">
        <v>46075</v>
      </c>
      <c r="B335" s="75" t="str">
        <f t="shared" si="10"/>
        <v>일</v>
      </c>
      <c r="C335" s="75" t="s">
        <v>396</v>
      </c>
      <c r="D335" s="75" t="str">
        <f>VLOOKUP($C335,청소코드!$C$4:$J$188,3,FALSE)</f>
        <v>대치동 101호</v>
      </c>
      <c r="E335" s="75">
        <f>VLOOKUP($C335,청소코드!$C$4:$J$188,4,FALSE)</f>
        <v>2</v>
      </c>
      <c r="F335" s="75" t="s">
        <v>451</v>
      </c>
      <c r="G335" s="75"/>
      <c r="H335" s="75"/>
      <c r="I335" s="75" t="s">
        <v>439</v>
      </c>
      <c r="J335" s="76">
        <f t="shared" si="11"/>
        <v>27000</v>
      </c>
      <c r="K335" s="75">
        <f>VLOOKUP($C335,청소코드!$C$4:$J$188,8,FALSE)</f>
        <v>23000</v>
      </c>
      <c r="L335" s="77"/>
      <c r="M335" s="78"/>
      <c r="N335" s="77">
        <v>4000</v>
      </c>
      <c r="O335" s="77"/>
    </row>
    <row r="336" spans="1:15" ht="12.75" customHeight="1">
      <c r="A336" s="74">
        <v>46075</v>
      </c>
      <c r="B336" s="75" t="str">
        <f t="shared" si="10"/>
        <v>일</v>
      </c>
      <c r="C336" s="75" t="s">
        <v>397</v>
      </c>
      <c r="D336" s="75" t="str">
        <f>VLOOKUP($C336,청소코드!$C$4:$J$188,3,FALSE)</f>
        <v>대치동 102호</v>
      </c>
      <c r="E336" s="75">
        <f>VLOOKUP($C336,청소코드!$C$4:$J$188,4,FALSE)</f>
        <v>1</v>
      </c>
      <c r="F336" s="75" t="s">
        <v>451</v>
      </c>
      <c r="G336" s="75"/>
      <c r="H336" s="75"/>
      <c r="I336" s="75" t="s">
        <v>431</v>
      </c>
      <c r="J336" s="76">
        <f t="shared" si="11"/>
        <v>18000</v>
      </c>
      <c r="K336" s="75">
        <f>VLOOKUP($C336,청소코드!$C$4:$J$188,8,FALSE)</f>
        <v>18000</v>
      </c>
      <c r="L336" s="77"/>
      <c r="M336" s="78"/>
      <c r="N336" s="77"/>
      <c r="O336" s="77"/>
    </row>
    <row r="337" spans="1:15" ht="12.75" customHeight="1">
      <c r="A337" s="74">
        <v>46075</v>
      </c>
      <c r="B337" s="75" t="str">
        <f t="shared" si="10"/>
        <v>일</v>
      </c>
      <c r="C337" s="75" t="s">
        <v>354</v>
      </c>
      <c r="D337" s="75" t="str">
        <f>VLOOKUP($C337,청소코드!$C$4:$J$188,3,FALSE)</f>
        <v>예건 202</v>
      </c>
      <c r="E337" s="75">
        <f>VLOOKUP($C337,청소코드!$C$4:$J$188,4,FALSE)</f>
        <v>1</v>
      </c>
      <c r="F337" s="75" t="s">
        <v>438</v>
      </c>
      <c r="G337" s="75"/>
      <c r="H337" s="75"/>
      <c r="I337" s="75" t="s">
        <v>431</v>
      </c>
      <c r="J337" s="76">
        <f t="shared" si="11"/>
        <v>18000</v>
      </c>
      <c r="K337" s="75">
        <f>VLOOKUP($C337,청소코드!$C$4:$J$188,8,FALSE)</f>
        <v>18000</v>
      </c>
      <c r="L337" s="77"/>
      <c r="M337" s="78"/>
      <c r="N337" s="77"/>
      <c r="O337" s="77"/>
    </row>
    <row r="338" spans="1:15" ht="12.75" customHeight="1">
      <c r="A338" s="74">
        <v>46075</v>
      </c>
      <c r="B338" s="75" t="str">
        <f t="shared" si="10"/>
        <v>일</v>
      </c>
      <c r="C338" s="75" t="s">
        <v>330</v>
      </c>
      <c r="D338" s="75" t="str">
        <f>VLOOKUP($C338,청소코드!$C$4:$J$188,3,FALSE)</f>
        <v>예건 204</v>
      </c>
      <c r="E338" s="75">
        <f>VLOOKUP($C338,청소코드!$C$4:$J$188,4,FALSE)</f>
        <v>1</v>
      </c>
      <c r="F338" s="75" t="s">
        <v>438</v>
      </c>
      <c r="G338" s="75"/>
      <c r="H338" s="75"/>
      <c r="I338" s="75" t="s">
        <v>431</v>
      </c>
      <c r="J338" s="76">
        <f t="shared" si="11"/>
        <v>18000</v>
      </c>
      <c r="K338" s="75">
        <f>VLOOKUP($C338,청소코드!$C$4:$J$188,8,FALSE)</f>
        <v>18000</v>
      </c>
      <c r="L338" s="77"/>
      <c r="M338" s="78"/>
      <c r="N338" s="77"/>
      <c r="O338" s="77"/>
    </row>
    <row r="339" spans="1:15" ht="12.75" customHeight="1">
      <c r="A339" s="74">
        <v>46075</v>
      </c>
      <c r="B339" s="75" t="str">
        <f t="shared" si="10"/>
        <v>일</v>
      </c>
      <c r="C339" s="75" t="s">
        <v>336</v>
      </c>
      <c r="D339" s="75" t="str">
        <f>VLOOKUP($C339,청소코드!$C$4:$J$188,3,FALSE)</f>
        <v>예건 205</v>
      </c>
      <c r="E339" s="75">
        <f>VLOOKUP($C339,청소코드!$C$4:$J$188,4,FALSE)</f>
        <v>1</v>
      </c>
      <c r="F339" s="75" t="s">
        <v>438</v>
      </c>
      <c r="G339" s="75"/>
      <c r="H339" s="75"/>
      <c r="I339" s="75" t="s">
        <v>431</v>
      </c>
      <c r="J339" s="76">
        <f t="shared" si="11"/>
        <v>18000</v>
      </c>
      <c r="K339" s="75">
        <f>VLOOKUP($C339,청소코드!$C$4:$J$188,8,FALSE)</f>
        <v>18000</v>
      </c>
      <c r="L339" s="77"/>
      <c r="M339" s="78"/>
      <c r="N339" s="77"/>
      <c r="O339" s="77"/>
    </row>
    <row r="340" spans="1:15" ht="12.75" customHeight="1">
      <c r="A340" s="74">
        <v>46075</v>
      </c>
      <c r="B340" s="75" t="str">
        <f t="shared" si="10"/>
        <v>일</v>
      </c>
      <c r="C340" s="75" t="s">
        <v>417</v>
      </c>
      <c r="D340" s="75" t="str">
        <f>VLOOKUP($C340,청소코드!$C$4:$J$188,3,FALSE)</f>
        <v>더하임 504</v>
      </c>
      <c r="E340" s="75">
        <f>VLOOKUP($C340,청소코드!$C$4:$J$188,4,FALSE)</f>
        <v>1</v>
      </c>
      <c r="F340" s="75" t="s">
        <v>426</v>
      </c>
      <c r="G340" s="75"/>
      <c r="H340" s="75"/>
      <c r="I340" s="75" t="s">
        <v>431</v>
      </c>
      <c r="J340" s="76">
        <f t="shared" si="11"/>
        <v>18000</v>
      </c>
      <c r="K340" s="75">
        <f>VLOOKUP($C340,청소코드!$C$4:$J$188,8,FALSE)</f>
        <v>18000</v>
      </c>
      <c r="L340" s="77"/>
      <c r="M340" s="78"/>
      <c r="N340" s="77"/>
      <c r="O340" s="77"/>
    </row>
    <row r="341" spans="1:15" ht="12.75" customHeight="1">
      <c r="A341" s="74">
        <v>46075</v>
      </c>
      <c r="B341" s="75" t="str">
        <f t="shared" si="10"/>
        <v>일</v>
      </c>
      <c r="C341" s="75" t="s">
        <v>361</v>
      </c>
      <c r="D341" s="75" t="str">
        <f>VLOOKUP($C341,청소코드!$C$4:$J$188,3,FALSE)</f>
        <v>더하임 506</v>
      </c>
      <c r="E341" s="75">
        <f>VLOOKUP($C341,청소코드!$C$4:$J$188,4,FALSE)</f>
        <v>1.5</v>
      </c>
      <c r="F341" s="75" t="s">
        <v>426</v>
      </c>
      <c r="G341" s="75"/>
      <c r="H341" s="75"/>
      <c r="I341" s="75" t="s">
        <v>431</v>
      </c>
      <c r="J341" s="76">
        <f t="shared" si="11"/>
        <v>20000</v>
      </c>
      <c r="K341" s="75">
        <f>VLOOKUP($C341,청소코드!$C$4:$J$188,8,FALSE)</f>
        <v>20000</v>
      </c>
      <c r="L341" s="77"/>
      <c r="M341" s="78"/>
      <c r="N341" s="77"/>
      <c r="O341" s="77"/>
    </row>
    <row r="342" spans="1:15" ht="12.75" customHeight="1">
      <c r="A342" s="74">
        <v>46075</v>
      </c>
      <c r="B342" s="75" t="str">
        <f t="shared" si="10"/>
        <v>일</v>
      </c>
      <c r="C342" s="75" t="s">
        <v>387</v>
      </c>
      <c r="D342" s="75" t="str">
        <f>VLOOKUP($C342,청소코드!$C$4:$J$188,3,FALSE)</f>
        <v>더하임 604</v>
      </c>
      <c r="E342" s="75">
        <f>VLOOKUP($C342,청소코드!$C$4:$J$188,4,FALSE)</f>
        <v>1</v>
      </c>
      <c r="F342" s="75" t="s">
        <v>426</v>
      </c>
      <c r="G342" s="75"/>
      <c r="H342" s="75"/>
      <c r="I342" s="75" t="s">
        <v>431</v>
      </c>
      <c r="J342" s="76">
        <f t="shared" si="11"/>
        <v>18000</v>
      </c>
      <c r="K342" s="75">
        <f>VLOOKUP($C342,청소코드!$C$4:$J$188,8,FALSE)</f>
        <v>18000</v>
      </c>
      <c r="L342" s="77"/>
      <c r="M342" s="78"/>
      <c r="N342" s="77"/>
      <c r="O342" s="77"/>
    </row>
    <row r="343" spans="1:15" ht="12.75" customHeight="1">
      <c r="A343" s="74">
        <v>46075</v>
      </c>
      <c r="B343" s="75" t="str">
        <f t="shared" si="10"/>
        <v>일</v>
      </c>
      <c r="C343" s="75" t="s">
        <v>292</v>
      </c>
      <c r="D343" s="75" t="str">
        <f>VLOOKUP($C343,청소코드!$C$4:$J$188,3,FALSE)</f>
        <v>오앤 401</v>
      </c>
      <c r="E343" s="75">
        <f>VLOOKUP($C343,청소코드!$C$4:$J$188,4,FALSE)</f>
        <v>1</v>
      </c>
      <c r="F343" s="75" t="s">
        <v>401</v>
      </c>
      <c r="G343" s="75"/>
      <c r="H343" s="75"/>
      <c r="I343" s="75" t="s">
        <v>431</v>
      </c>
      <c r="J343" s="76">
        <f t="shared" si="11"/>
        <v>18000</v>
      </c>
      <c r="K343" s="75">
        <f>VLOOKUP($C343,청소코드!$C$4:$J$188,8,FALSE)</f>
        <v>18000</v>
      </c>
      <c r="L343" s="77"/>
      <c r="M343" s="78"/>
      <c r="N343" s="77"/>
      <c r="O343" s="77"/>
    </row>
    <row r="344" spans="1:15" ht="12.75" customHeight="1">
      <c r="A344" s="74">
        <v>46075</v>
      </c>
      <c r="B344" s="75" t="str">
        <f t="shared" si="10"/>
        <v>일</v>
      </c>
      <c r="C344" s="75" t="s">
        <v>371</v>
      </c>
      <c r="D344" s="75" t="str">
        <f>VLOOKUP($C344,청소코드!$C$4:$J$188,3,FALSE)</f>
        <v>예건 602</v>
      </c>
      <c r="E344" s="75">
        <f>VLOOKUP($C344,청소코드!$C$4:$J$188,4,FALSE)</f>
        <v>1</v>
      </c>
      <c r="F344" s="75" t="s">
        <v>429</v>
      </c>
      <c r="G344" s="75"/>
      <c r="H344" s="75"/>
      <c r="I344" s="75" t="s">
        <v>431</v>
      </c>
      <c r="J344" s="76">
        <f t="shared" si="11"/>
        <v>18000</v>
      </c>
      <c r="K344" s="75">
        <f>VLOOKUP($C344,청소코드!$C$4:$J$188,8,FALSE)</f>
        <v>18000</v>
      </c>
      <c r="L344" s="77"/>
      <c r="M344" s="78"/>
      <c r="N344" s="77"/>
      <c r="O344" s="77"/>
    </row>
    <row r="345" spans="1:15" ht="12.75" customHeight="1">
      <c r="A345" s="74">
        <v>46075</v>
      </c>
      <c r="B345" s="75" t="str">
        <f t="shared" si="10"/>
        <v>일</v>
      </c>
      <c r="C345" s="75" t="s">
        <v>372</v>
      </c>
      <c r="D345" s="75" t="str">
        <f>VLOOKUP($C345,청소코드!$C$4:$J$188,3,FALSE)</f>
        <v>예건 702</v>
      </c>
      <c r="E345" s="75">
        <f>VLOOKUP($C345,청소코드!$C$4:$J$188,4,FALSE)</f>
        <v>1</v>
      </c>
      <c r="F345" s="75" t="s">
        <v>429</v>
      </c>
      <c r="G345" s="75"/>
      <c r="H345" s="75"/>
      <c r="I345" s="75" t="s">
        <v>431</v>
      </c>
      <c r="J345" s="76">
        <f t="shared" si="11"/>
        <v>18000</v>
      </c>
      <c r="K345" s="75">
        <f>VLOOKUP($C345,청소코드!$C$4:$J$188,8,FALSE)</f>
        <v>18000</v>
      </c>
      <c r="L345" s="77"/>
      <c r="M345" s="78"/>
      <c r="N345" s="77"/>
      <c r="O345" s="77"/>
    </row>
    <row r="346" spans="1:15" ht="12.75" customHeight="1">
      <c r="A346" s="74">
        <v>46075</v>
      </c>
      <c r="B346" s="75" t="str">
        <f t="shared" si="10"/>
        <v>일</v>
      </c>
      <c r="C346" s="75" t="s">
        <v>369</v>
      </c>
      <c r="D346" s="75" t="str">
        <f>VLOOKUP($C346,청소코드!$C$4:$J$188,3,FALSE)</f>
        <v>성우 402</v>
      </c>
      <c r="E346" s="75">
        <f>VLOOKUP($C346,청소코드!$C$4:$J$188,4,FALSE)</f>
        <v>3</v>
      </c>
      <c r="F346" s="75" t="s">
        <v>429</v>
      </c>
      <c r="G346" s="75"/>
      <c r="H346" s="75"/>
      <c r="I346" s="75" t="s">
        <v>431</v>
      </c>
      <c r="J346" s="76">
        <f t="shared" si="11"/>
        <v>30000</v>
      </c>
      <c r="K346" s="75">
        <f>VLOOKUP($C346,청소코드!$C$4:$J$188,8,FALSE)</f>
        <v>30000</v>
      </c>
      <c r="L346" s="77"/>
      <c r="M346" s="78"/>
      <c r="N346" s="77"/>
      <c r="O346" s="77"/>
    </row>
    <row r="347" spans="1:15" ht="12.75" customHeight="1">
      <c r="A347" s="74">
        <v>46075</v>
      </c>
      <c r="B347" s="75" t="str">
        <f t="shared" si="10"/>
        <v>일</v>
      </c>
      <c r="C347" s="75" t="s">
        <v>373</v>
      </c>
      <c r="D347" s="75" t="str">
        <f>VLOOKUP($C347,청소코드!$C$4:$J$188,3,FALSE)</f>
        <v>더하임 204</v>
      </c>
      <c r="E347" s="75">
        <f>VLOOKUP($C347,청소코드!$C$4:$J$188,4,FALSE)</f>
        <v>1</v>
      </c>
      <c r="F347" s="75" t="s">
        <v>426</v>
      </c>
      <c r="G347" s="75"/>
      <c r="H347" s="75"/>
      <c r="I347" s="75" t="s">
        <v>431</v>
      </c>
      <c r="J347" s="76">
        <f t="shared" si="11"/>
        <v>18000</v>
      </c>
      <c r="K347" s="75">
        <f>VLOOKUP($C347,청소코드!$C$4:$J$188,8,FALSE)</f>
        <v>18000</v>
      </c>
      <c r="L347" s="77"/>
      <c r="M347" s="78"/>
      <c r="N347" s="77"/>
      <c r="O347" s="77"/>
    </row>
    <row r="348" spans="1:15" ht="12.75" customHeight="1">
      <c r="A348" s="74">
        <v>46075</v>
      </c>
      <c r="B348" s="75" t="str">
        <f t="shared" si="10"/>
        <v>일</v>
      </c>
      <c r="C348" s="75" t="s">
        <v>360</v>
      </c>
      <c r="D348" s="75" t="str">
        <f>VLOOKUP($C348,청소코드!$C$4:$J$188,3,FALSE)</f>
        <v>더하임 306</v>
      </c>
      <c r="E348" s="75">
        <f>VLOOKUP($C348,청소코드!$C$4:$J$188,4,FALSE)</f>
        <v>1.5</v>
      </c>
      <c r="F348" s="75" t="s">
        <v>426</v>
      </c>
      <c r="G348" s="75"/>
      <c r="H348" s="75"/>
      <c r="I348" s="75" t="s">
        <v>431</v>
      </c>
      <c r="J348" s="76">
        <f t="shared" si="11"/>
        <v>20000</v>
      </c>
      <c r="K348" s="75">
        <f>VLOOKUP($C348,청소코드!$C$4:$J$188,8,FALSE)</f>
        <v>20000</v>
      </c>
      <c r="L348" s="77"/>
      <c r="M348" s="78"/>
      <c r="N348" s="77"/>
      <c r="O348" s="77"/>
    </row>
    <row r="349" spans="1:15" ht="12.75" customHeight="1">
      <c r="A349" s="74">
        <v>46075</v>
      </c>
      <c r="B349" s="75" t="str">
        <f t="shared" si="10"/>
        <v>일</v>
      </c>
      <c r="C349" s="75" t="s">
        <v>297</v>
      </c>
      <c r="D349" s="75" t="str">
        <f>VLOOKUP($C349,청소코드!$C$4:$J$188,3,FALSE)</f>
        <v>태상 501</v>
      </c>
      <c r="E349" s="75">
        <f>VLOOKUP($C349,청소코드!$C$4:$J$188,4,FALSE)</f>
        <v>2</v>
      </c>
      <c r="F349" s="75" t="s">
        <v>401</v>
      </c>
      <c r="G349" s="75"/>
      <c r="H349" s="75"/>
      <c r="I349" s="75" t="s">
        <v>439</v>
      </c>
      <c r="J349" s="76">
        <f t="shared" si="11"/>
        <v>23000</v>
      </c>
      <c r="K349" s="75">
        <f>VLOOKUP($C349,청소코드!$C$4:$J$188,8,FALSE)</f>
        <v>23000</v>
      </c>
      <c r="L349" s="77"/>
      <c r="M349" s="78"/>
      <c r="N349" s="77"/>
      <c r="O349" s="77"/>
    </row>
    <row r="350" spans="1:15" ht="12.75" customHeight="1">
      <c r="A350" s="74">
        <v>46075</v>
      </c>
      <c r="B350" s="75" t="str">
        <f t="shared" si="10"/>
        <v>일</v>
      </c>
      <c r="C350" s="75" t="s">
        <v>331</v>
      </c>
      <c r="D350" s="75" t="str">
        <f>VLOOKUP($C350,청소코드!$C$4:$J$188,3,FALSE)</f>
        <v>si 502</v>
      </c>
      <c r="E350" s="75">
        <f>VLOOKUP($C350,청소코드!$C$4:$J$188,4,FALSE)</f>
        <v>1</v>
      </c>
      <c r="F350" s="75" t="s">
        <v>401</v>
      </c>
      <c r="G350" s="75"/>
      <c r="H350" s="75"/>
      <c r="I350" s="75" t="s">
        <v>439</v>
      </c>
      <c r="J350" s="76">
        <f t="shared" si="11"/>
        <v>27000</v>
      </c>
      <c r="K350" s="75">
        <f>VLOOKUP($C350,청소코드!$C$4:$J$188,8,FALSE)</f>
        <v>20000</v>
      </c>
      <c r="L350" s="77">
        <v>7000</v>
      </c>
      <c r="M350" s="78"/>
      <c r="N350" s="77"/>
      <c r="O350" s="77"/>
    </row>
    <row r="351" spans="1:15" ht="12.75" customHeight="1">
      <c r="A351" s="74">
        <v>46075</v>
      </c>
      <c r="B351" s="75" t="str">
        <f t="shared" si="10"/>
        <v>일</v>
      </c>
      <c r="C351" s="75" t="s">
        <v>379</v>
      </c>
      <c r="D351" s="75" t="str">
        <f>VLOOKUP($C351,청소코드!$C$4:$J$188,3,FALSE)</f>
        <v>si 602</v>
      </c>
      <c r="E351" s="75">
        <f>VLOOKUP($C351,청소코드!$C$4:$J$188,4,FALSE)</f>
        <v>1</v>
      </c>
      <c r="F351" s="75" t="s">
        <v>401</v>
      </c>
      <c r="G351" s="75"/>
      <c r="H351" s="75"/>
      <c r="I351" s="75" t="s">
        <v>439</v>
      </c>
      <c r="J351" s="76">
        <f t="shared" si="11"/>
        <v>22000</v>
      </c>
      <c r="K351" s="75">
        <f>VLOOKUP($C351,청소코드!$C$4:$J$188,8,FALSE)</f>
        <v>20000</v>
      </c>
      <c r="L351" s="79">
        <v>2000</v>
      </c>
      <c r="M351" s="78"/>
      <c r="N351" s="77"/>
      <c r="O351" s="77"/>
    </row>
    <row r="352" spans="1:15" ht="12.75" customHeight="1">
      <c r="A352" s="74">
        <v>46075</v>
      </c>
      <c r="B352" s="75" t="str">
        <f t="shared" si="10"/>
        <v>일</v>
      </c>
      <c r="C352" s="75" t="s">
        <v>287</v>
      </c>
      <c r="D352" s="75" t="str">
        <f>VLOOKUP($C352,청소코드!$C$4:$J$188,3,FALSE)</f>
        <v>청광3차 1412</v>
      </c>
      <c r="E352" s="75">
        <f>VLOOKUP($C352,청소코드!$C$4:$J$188,4,FALSE)</f>
        <v>1</v>
      </c>
      <c r="F352" s="75" t="s">
        <v>449</v>
      </c>
      <c r="G352" s="75"/>
      <c r="H352" s="75"/>
      <c r="I352" s="75" t="s">
        <v>439</v>
      </c>
      <c r="J352" s="76">
        <f t="shared" si="11"/>
        <v>18000</v>
      </c>
      <c r="K352" s="75">
        <f>VLOOKUP($C352,청소코드!$C$4:$J$188,8,FALSE)</f>
        <v>18000</v>
      </c>
      <c r="L352" s="77"/>
      <c r="M352" s="78"/>
      <c r="N352" s="77"/>
      <c r="O352" s="77"/>
    </row>
    <row r="353" spans="1:15" ht="12.75" customHeight="1">
      <c r="A353" s="74">
        <v>46075</v>
      </c>
      <c r="B353" s="75" t="str">
        <f t="shared" si="10"/>
        <v>일</v>
      </c>
      <c r="C353" s="75" t="s">
        <v>283</v>
      </c>
      <c r="D353" s="75" t="str">
        <f>VLOOKUP($C353,청소코드!$C$4:$J$188,3,FALSE)</f>
        <v>강동QV 1604</v>
      </c>
      <c r="E353" s="75">
        <f>VLOOKUP($C353,청소코드!$C$4:$J$188,4,FALSE)</f>
        <v>1</v>
      </c>
      <c r="F353" s="75" t="s">
        <v>449</v>
      </c>
      <c r="G353" s="75"/>
      <c r="H353" s="75"/>
      <c r="I353" s="75" t="s">
        <v>439</v>
      </c>
      <c r="J353" s="76">
        <f t="shared" si="11"/>
        <v>18000</v>
      </c>
      <c r="K353" s="75">
        <f>VLOOKUP($C353,청소코드!$C$4:$J$188,8,FALSE)</f>
        <v>18000</v>
      </c>
      <c r="L353" s="77"/>
      <c r="M353" s="78"/>
      <c r="N353" s="77"/>
      <c r="O353" s="77"/>
    </row>
    <row r="354" spans="1:15" ht="12.75" customHeight="1">
      <c r="A354" s="74">
        <v>46075</v>
      </c>
      <c r="B354" s="75" t="str">
        <f t="shared" si="10"/>
        <v>일</v>
      </c>
      <c r="C354" s="75" t="s">
        <v>295</v>
      </c>
      <c r="D354" s="75" t="str">
        <f>VLOOKUP($C354,청소코드!$C$4:$J$188,3,FALSE)</f>
        <v>르센티 1801</v>
      </c>
      <c r="E354" s="75" t="str">
        <f>VLOOKUP($C354,청소코드!$C$4:$J$188,4,FALSE)</f>
        <v>복</v>
      </c>
      <c r="F354" s="75" t="s">
        <v>449</v>
      </c>
      <c r="G354" s="75"/>
      <c r="H354" s="75"/>
      <c r="I354" s="75" t="s">
        <v>431</v>
      </c>
      <c r="J354" s="76">
        <f t="shared" si="11"/>
        <v>20000</v>
      </c>
      <c r="K354" s="75">
        <f>VLOOKUP($C354,청소코드!$C$4:$J$188,8,FALSE)</f>
        <v>20000</v>
      </c>
      <c r="L354" s="77"/>
      <c r="M354" s="78"/>
      <c r="N354" s="77"/>
      <c r="O354" s="77"/>
    </row>
    <row r="355" spans="1:15" ht="12.75" customHeight="1">
      <c r="A355" s="74">
        <v>46075</v>
      </c>
      <c r="B355" s="75" t="str">
        <f t="shared" si="10"/>
        <v>일</v>
      </c>
      <c r="C355" s="75" t="s">
        <v>380</v>
      </c>
      <c r="D355" s="75" t="str">
        <f>VLOOKUP($C355,청소코드!$C$4:$J$188,3,FALSE)</f>
        <v>오금스타 205</v>
      </c>
      <c r="E355" s="75">
        <f>VLOOKUP($C355,청소코드!$C$4:$J$188,4,FALSE)</f>
        <v>1</v>
      </c>
      <c r="F355" s="75" t="s">
        <v>449</v>
      </c>
      <c r="G355" s="75"/>
      <c r="H355" s="75"/>
      <c r="I355" s="75" t="s">
        <v>431</v>
      </c>
      <c r="J355" s="76">
        <f t="shared" si="11"/>
        <v>18000</v>
      </c>
      <c r="K355" s="75">
        <f>VLOOKUP($C355,청소코드!$C$4:$J$188,8,FALSE)</f>
        <v>18000</v>
      </c>
      <c r="L355" s="77"/>
      <c r="M355" s="78"/>
      <c r="N355" s="77"/>
      <c r="O355" s="77"/>
    </row>
    <row r="356" spans="1:15" ht="12.75" customHeight="1">
      <c r="A356" s="74">
        <v>46075</v>
      </c>
      <c r="B356" s="75" t="str">
        <f t="shared" si="10"/>
        <v>일</v>
      </c>
      <c r="C356" s="75" t="s">
        <v>298</v>
      </c>
      <c r="D356" s="75" t="str">
        <f>VLOOKUP($C356,청소코드!$C$4:$J$188,3,FALSE)</f>
        <v>선일 101</v>
      </c>
      <c r="E356" s="75">
        <f>VLOOKUP($C356,청소코드!$C$4:$J$188,4,FALSE)</f>
        <v>2</v>
      </c>
      <c r="F356" s="75" t="s">
        <v>461</v>
      </c>
      <c r="G356" s="75"/>
      <c r="H356" s="75"/>
      <c r="I356" s="75" t="s">
        <v>431</v>
      </c>
      <c r="J356" s="76">
        <f t="shared" si="11"/>
        <v>27000</v>
      </c>
      <c r="K356" s="75">
        <f>VLOOKUP($C356,청소코드!$C$4:$J$188,8,FALSE)</f>
        <v>23000</v>
      </c>
      <c r="L356" s="77"/>
      <c r="M356" s="78"/>
      <c r="N356" s="77">
        <v>4000</v>
      </c>
      <c r="O356" s="77"/>
    </row>
    <row r="357" spans="1:15" ht="12.75" customHeight="1">
      <c r="A357" s="74">
        <v>46075</v>
      </c>
      <c r="B357" s="75" t="str">
        <f t="shared" si="10"/>
        <v>일</v>
      </c>
      <c r="C357" s="75" t="s">
        <v>286</v>
      </c>
      <c r="D357" s="75" t="str">
        <f>VLOOKUP($C357,청소코드!$C$4:$J$188,3,FALSE)</f>
        <v>청광3차 1416</v>
      </c>
      <c r="E357" s="75">
        <f>VLOOKUP($C357,청소코드!$C$4:$J$188,4,FALSE)</f>
        <v>1</v>
      </c>
      <c r="F357" s="75" t="s">
        <v>429</v>
      </c>
      <c r="G357" s="75"/>
      <c r="H357" s="75"/>
      <c r="I357" s="75" t="s">
        <v>431</v>
      </c>
      <c r="J357" s="76">
        <f t="shared" si="11"/>
        <v>18000</v>
      </c>
      <c r="K357" s="75">
        <f>VLOOKUP($C357,청소코드!$C$4:$J$188,8,FALSE)</f>
        <v>18000</v>
      </c>
      <c r="L357" s="77"/>
      <c r="M357" s="78"/>
      <c r="N357" s="77"/>
      <c r="O357" s="77"/>
    </row>
    <row r="358" spans="1:15" ht="12.75" customHeight="1">
      <c r="A358" s="74">
        <v>46075</v>
      </c>
      <c r="B358" s="75" t="str">
        <f t="shared" si="10"/>
        <v>일</v>
      </c>
      <c r="C358" s="75" t="s">
        <v>416</v>
      </c>
      <c r="D358" s="75" t="str">
        <f>VLOOKUP($C358,청소코드!$C$4:$J$188,3,FALSE)</f>
        <v>청광1차 207</v>
      </c>
      <c r="E358" s="75">
        <f>VLOOKUP($C358,청소코드!$C$4:$J$188,4,FALSE)</f>
        <v>0</v>
      </c>
      <c r="F358" s="75" t="s">
        <v>426</v>
      </c>
      <c r="G358" s="75"/>
      <c r="H358" s="75"/>
      <c r="I358" s="75" t="s">
        <v>439</v>
      </c>
      <c r="J358" s="76">
        <f t="shared" si="11"/>
        <v>10000</v>
      </c>
      <c r="K358" s="75">
        <f>VLOOKUP($C358,청소코드!$C$4:$J$188,8,FALSE)</f>
        <v>10000</v>
      </c>
      <c r="L358" s="77"/>
      <c r="M358" s="78"/>
      <c r="N358" s="77"/>
      <c r="O358" s="77"/>
    </row>
    <row r="359" spans="1:15" ht="12.75" customHeight="1">
      <c r="A359" s="74">
        <v>46075</v>
      </c>
      <c r="B359" s="75" t="str">
        <f t="shared" si="10"/>
        <v>일</v>
      </c>
      <c r="C359" s="75" t="s">
        <v>385</v>
      </c>
      <c r="D359" s="75" t="str">
        <f>VLOOKUP($C359,청소코드!$C$4:$J$188,3,FALSE)</f>
        <v>하람휴 1001</v>
      </c>
      <c r="E359" s="75">
        <f>VLOOKUP($C359,청소코드!$C$4:$J$188,4,FALSE)</f>
        <v>2</v>
      </c>
      <c r="F359" s="75" t="s">
        <v>408</v>
      </c>
      <c r="G359" s="75"/>
      <c r="H359" s="75"/>
      <c r="I359" s="75"/>
      <c r="J359" s="76">
        <f t="shared" si="11"/>
        <v>23000</v>
      </c>
      <c r="K359" s="75">
        <f>VLOOKUP($C359,청소코드!$C$4:$J$188,8,FALSE)</f>
        <v>23000</v>
      </c>
      <c r="L359" s="77"/>
      <c r="M359" s="78"/>
      <c r="N359" s="77"/>
      <c r="O359" s="77"/>
    </row>
    <row r="360" spans="1:15" ht="12.75" customHeight="1">
      <c r="A360" s="74">
        <v>46076</v>
      </c>
      <c r="B360" s="75" t="str">
        <f t="shared" si="10"/>
        <v>월</v>
      </c>
      <c r="C360" s="75" t="s">
        <v>334</v>
      </c>
      <c r="D360" s="75" t="str">
        <f>VLOOKUP($C360,청소코드!$C$4:$J$188,3,FALSE)</f>
        <v>센텀 2차 406</v>
      </c>
      <c r="E360" s="75">
        <f>VLOOKUP($C360,청소코드!$C$4:$J$188,4,FALSE)</f>
        <v>1.5</v>
      </c>
      <c r="F360" s="75" t="s">
        <v>438</v>
      </c>
      <c r="G360" s="75"/>
      <c r="H360" s="75"/>
      <c r="I360" s="75" t="s">
        <v>439</v>
      </c>
      <c r="J360" s="76">
        <f t="shared" si="11"/>
        <v>20000</v>
      </c>
      <c r="K360" s="75">
        <f>VLOOKUP($C360,청소코드!$C$4:$J$188,8,FALSE)</f>
        <v>20000</v>
      </c>
      <c r="L360" s="77"/>
      <c r="M360" s="78"/>
      <c r="N360" s="77"/>
      <c r="O360" s="77"/>
    </row>
    <row r="361" spans="1:15" ht="12.75" customHeight="1">
      <c r="A361" s="74">
        <v>46076</v>
      </c>
      <c r="B361" s="75" t="str">
        <f t="shared" si="10"/>
        <v>월</v>
      </c>
      <c r="C361" s="75" t="s">
        <v>339</v>
      </c>
      <c r="D361" s="75" t="str">
        <f>VLOOKUP($C361,청소코드!$C$4:$J$188,3,FALSE)</f>
        <v>센텀 2차 606</v>
      </c>
      <c r="E361" s="75">
        <f>VLOOKUP($C361,청소코드!$C$4:$J$188,4,FALSE)</f>
        <v>1.5</v>
      </c>
      <c r="F361" s="75" t="s">
        <v>438</v>
      </c>
      <c r="G361" s="75"/>
      <c r="H361" s="75"/>
      <c r="I361" s="75" t="s">
        <v>431</v>
      </c>
      <c r="J361" s="76">
        <f t="shared" si="11"/>
        <v>20000</v>
      </c>
      <c r="K361" s="75">
        <f>VLOOKUP($C361,청소코드!$C$4:$J$188,8,FALSE)</f>
        <v>20000</v>
      </c>
      <c r="L361" s="77"/>
      <c r="M361" s="78"/>
      <c r="N361" s="77"/>
      <c r="O361" s="77"/>
    </row>
    <row r="362" spans="1:15" ht="12.75" customHeight="1">
      <c r="A362" s="74">
        <v>46076</v>
      </c>
      <c r="B362" s="75" t="str">
        <f t="shared" si="10"/>
        <v>월</v>
      </c>
      <c r="C362" s="75" t="s">
        <v>351</v>
      </c>
      <c r="D362" s="75" t="str">
        <f>VLOOKUP($C362,청소코드!$C$4:$J$188,3,FALSE)</f>
        <v>성우 304</v>
      </c>
      <c r="E362" s="75">
        <f>VLOOKUP($C362,청소코드!$C$4:$J$188,4,FALSE)</f>
        <v>2</v>
      </c>
      <c r="F362" s="75" t="s">
        <v>429</v>
      </c>
      <c r="G362" s="75"/>
      <c r="H362" s="75"/>
      <c r="I362" s="75" t="s">
        <v>431</v>
      </c>
      <c r="J362" s="76">
        <f t="shared" si="11"/>
        <v>23000</v>
      </c>
      <c r="K362" s="75">
        <f>VLOOKUP($C362,청소코드!$C$4:$J$188,8,FALSE)</f>
        <v>23000</v>
      </c>
      <c r="L362" s="77"/>
      <c r="M362" s="78"/>
      <c r="N362" s="77"/>
      <c r="O362" s="77"/>
    </row>
    <row r="363" spans="1:15" ht="12.75" customHeight="1">
      <c r="A363" s="74">
        <v>46076</v>
      </c>
      <c r="B363" s="75" t="str">
        <f t="shared" si="10"/>
        <v>월</v>
      </c>
      <c r="C363" s="75" t="s">
        <v>356</v>
      </c>
      <c r="D363" s="75" t="str">
        <f>VLOOKUP($C363,청소코드!$C$4:$J$188,3,FALSE)</f>
        <v>성우 803</v>
      </c>
      <c r="E363" s="75">
        <f>VLOOKUP($C363,청소코드!$C$4:$J$188,4,FALSE)</f>
        <v>3</v>
      </c>
      <c r="F363" s="75" t="s">
        <v>429</v>
      </c>
      <c r="G363" s="75"/>
      <c r="H363" s="75"/>
      <c r="I363" s="75" t="s">
        <v>431</v>
      </c>
      <c r="J363" s="76">
        <f t="shared" si="11"/>
        <v>30000</v>
      </c>
      <c r="K363" s="75">
        <f>VLOOKUP($C363,청소코드!$C$4:$J$188,8,FALSE)</f>
        <v>30000</v>
      </c>
      <c r="L363" s="77"/>
      <c r="M363" s="78"/>
      <c r="N363" s="77"/>
      <c r="O363" s="77"/>
    </row>
    <row r="364" spans="1:15" ht="12.75" customHeight="1">
      <c r="A364" s="74">
        <v>46076</v>
      </c>
      <c r="B364" s="75" t="str">
        <f t="shared" si="10"/>
        <v>월</v>
      </c>
      <c r="C364" s="75" t="s">
        <v>332</v>
      </c>
      <c r="D364" s="75" t="str">
        <f>VLOOKUP($C364,청소코드!$C$4:$J$188,3,FALSE)</f>
        <v>오금스타 201</v>
      </c>
      <c r="E364" s="75">
        <f>VLOOKUP($C364,청소코드!$C$4:$J$188,4,FALSE)</f>
        <v>1</v>
      </c>
      <c r="F364" s="75" t="s">
        <v>449</v>
      </c>
      <c r="G364" s="75"/>
      <c r="H364" s="75"/>
      <c r="I364" s="75" t="s">
        <v>431</v>
      </c>
      <c r="J364" s="76">
        <f t="shared" si="11"/>
        <v>18000</v>
      </c>
      <c r="K364" s="75">
        <f>VLOOKUP($C364,청소코드!$C$4:$J$188,8,FALSE)</f>
        <v>18000</v>
      </c>
      <c r="L364" s="77"/>
      <c r="M364" s="78"/>
      <c r="N364" s="77"/>
      <c r="O364" s="77"/>
    </row>
    <row r="365" spans="1:15" ht="12.75" customHeight="1">
      <c r="A365" s="74">
        <v>46076</v>
      </c>
      <c r="B365" s="75" t="str">
        <f t="shared" si="10"/>
        <v>월</v>
      </c>
      <c r="C365" s="75" t="s">
        <v>390</v>
      </c>
      <c r="D365" s="75" t="str">
        <f>VLOOKUP($C365,청소코드!$C$4:$J$188,3,FALSE)</f>
        <v>더하임 406</v>
      </c>
      <c r="E365" s="75">
        <f>VLOOKUP($C365,청소코드!$C$4:$J$188,4,FALSE)</f>
        <v>1.5</v>
      </c>
      <c r="F365" s="75" t="s">
        <v>426</v>
      </c>
      <c r="G365" s="75"/>
      <c r="H365" s="75"/>
      <c r="I365" s="75" t="s">
        <v>431</v>
      </c>
      <c r="J365" s="76">
        <f t="shared" si="11"/>
        <v>20000</v>
      </c>
      <c r="K365" s="75">
        <f>VLOOKUP($C365,청소코드!$C$4:$J$188,8,FALSE)</f>
        <v>20000</v>
      </c>
      <c r="L365" s="77"/>
      <c r="M365" s="78"/>
      <c r="N365" s="77"/>
      <c r="O365" s="77"/>
    </row>
    <row r="366" spans="1:15" ht="12.75" customHeight="1">
      <c r="A366" s="74">
        <v>46076</v>
      </c>
      <c r="B366" s="75" t="str">
        <f t="shared" si="10"/>
        <v>월</v>
      </c>
      <c r="C366" s="75" t="s">
        <v>361</v>
      </c>
      <c r="D366" s="75" t="str">
        <f>VLOOKUP($C366,청소코드!$C$4:$J$188,3,FALSE)</f>
        <v>더하임 506</v>
      </c>
      <c r="E366" s="75">
        <f>VLOOKUP($C366,청소코드!$C$4:$J$188,4,FALSE)</f>
        <v>1.5</v>
      </c>
      <c r="F366" s="75" t="s">
        <v>426</v>
      </c>
      <c r="G366" s="75"/>
      <c r="H366" s="75"/>
      <c r="I366" s="75" t="s">
        <v>431</v>
      </c>
      <c r="J366" s="76">
        <f t="shared" si="11"/>
        <v>20000</v>
      </c>
      <c r="K366" s="75">
        <f>VLOOKUP($C366,청소코드!$C$4:$J$188,8,FALSE)</f>
        <v>20000</v>
      </c>
      <c r="L366" s="77"/>
      <c r="M366" s="78"/>
      <c r="N366" s="77"/>
      <c r="O366" s="77"/>
    </row>
    <row r="367" spans="1:15" ht="12.75" customHeight="1">
      <c r="A367" s="74">
        <v>46076</v>
      </c>
      <c r="B367" s="75" t="str">
        <f t="shared" si="10"/>
        <v>월</v>
      </c>
      <c r="C367" s="75" t="s">
        <v>286</v>
      </c>
      <c r="D367" s="75" t="str">
        <f>VLOOKUP($C367,청소코드!$C$4:$J$188,3,FALSE)</f>
        <v>청광3차 1416</v>
      </c>
      <c r="E367" s="75">
        <f>VLOOKUP($C367,청소코드!$C$4:$J$188,4,FALSE)</f>
        <v>1</v>
      </c>
      <c r="F367" s="75" t="s">
        <v>449</v>
      </c>
      <c r="G367" s="75"/>
      <c r="H367" s="75"/>
      <c r="I367" s="75" t="s">
        <v>439</v>
      </c>
      <c r="J367" s="76">
        <f t="shared" si="11"/>
        <v>18000</v>
      </c>
      <c r="K367" s="75">
        <f>VLOOKUP($C367,청소코드!$C$4:$J$188,8,FALSE)</f>
        <v>18000</v>
      </c>
      <c r="L367" s="77"/>
      <c r="M367" s="78"/>
      <c r="N367" s="77"/>
      <c r="O367" s="77"/>
    </row>
    <row r="368" spans="1:15" ht="12.75" customHeight="1">
      <c r="A368" s="74">
        <v>46076</v>
      </c>
      <c r="B368" s="75" t="str">
        <f t="shared" si="10"/>
        <v>월</v>
      </c>
      <c r="C368" s="75" t="s">
        <v>287</v>
      </c>
      <c r="D368" s="75" t="str">
        <f>VLOOKUP($C368,청소코드!$C$4:$J$188,3,FALSE)</f>
        <v>청광3차 1412</v>
      </c>
      <c r="E368" s="75">
        <f>VLOOKUP($C368,청소코드!$C$4:$J$188,4,FALSE)</f>
        <v>1</v>
      </c>
      <c r="F368" s="75" t="s">
        <v>449</v>
      </c>
      <c r="G368" s="75"/>
      <c r="H368" s="75"/>
      <c r="I368" s="75" t="s">
        <v>439</v>
      </c>
      <c r="J368" s="76">
        <f t="shared" si="11"/>
        <v>18000</v>
      </c>
      <c r="K368" s="75">
        <f>VLOOKUP($C368,청소코드!$C$4:$J$188,8,FALSE)</f>
        <v>18000</v>
      </c>
      <c r="L368" s="77"/>
      <c r="M368" s="78"/>
      <c r="N368" s="77"/>
      <c r="O368" s="77"/>
    </row>
    <row r="369" spans="1:15" ht="12.75" customHeight="1">
      <c r="A369" s="74">
        <v>46076</v>
      </c>
      <c r="B369" s="75" t="str">
        <f t="shared" si="10"/>
        <v>월</v>
      </c>
      <c r="C369" s="75" t="s">
        <v>295</v>
      </c>
      <c r="D369" s="75" t="str">
        <f>VLOOKUP($C369,청소코드!$C$4:$J$188,3,FALSE)</f>
        <v>르센티 1801</v>
      </c>
      <c r="E369" s="75" t="str">
        <f>VLOOKUP($C369,청소코드!$C$4:$J$188,4,FALSE)</f>
        <v>복</v>
      </c>
      <c r="F369" s="75" t="s">
        <v>401</v>
      </c>
      <c r="G369" s="75"/>
      <c r="H369" s="75"/>
      <c r="I369" s="75" t="s">
        <v>431</v>
      </c>
      <c r="J369" s="76">
        <f t="shared" si="11"/>
        <v>20000</v>
      </c>
      <c r="K369" s="75">
        <f>VLOOKUP($C369,청소코드!$C$4:$J$188,8,FALSE)</f>
        <v>20000</v>
      </c>
      <c r="L369" s="77"/>
      <c r="M369" s="78"/>
      <c r="N369" s="77"/>
      <c r="O369" s="77"/>
    </row>
    <row r="370" spans="1:15" ht="12.75" customHeight="1">
      <c r="A370" s="74">
        <v>46076</v>
      </c>
      <c r="B370" s="75" t="str">
        <f t="shared" si="10"/>
        <v>월</v>
      </c>
      <c r="C370" s="75" t="s">
        <v>315</v>
      </c>
      <c r="D370" s="75" t="str">
        <f>VLOOKUP($C370,청소코드!$C$4:$J$188,3,FALSE)</f>
        <v>동구햇살 1203</v>
      </c>
      <c r="E370" s="75" t="str">
        <f>VLOOKUP($C370,청소코드!$C$4:$J$188,4,FALSE)</f>
        <v>복</v>
      </c>
      <c r="F370" s="75" t="s">
        <v>401</v>
      </c>
      <c r="G370" s="75"/>
      <c r="H370" s="75"/>
      <c r="I370" s="75" t="s">
        <v>431</v>
      </c>
      <c r="J370" s="76">
        <f t="shared" si="11"/>
        <v>20000</v>
      </c>
      <c r="K370" s="75">
        <f>VLOOKUP($C370,청소코드!$C$4:$J$188,8,FALSE)</f>
        <v>20000</v>
      </c>
      <c r="L370" s="77"/>
      <c r="M370" s="78"/>
      <c r="N370" s="77"/>
      <c r="O370" s="77"/>
    </row>
    <row r="371" spans="1:15" ht="12.75" customHeight="1">
      <c r="A371" s="74">
        <v>46076</v>
      </c>
      <c r="B371" s="75" t="str">
        <f t="shared" si="10"/>
        <v>월</v>
      </c>
      <c r="C371" s="75" t="s">
        <v>292</v>
      </c>
      <c r="D371" s="75" t="str">
        <f>VLOOKUP($C371,청소코드!$C$4:$J$188,3,FALSE)</f>
        <v>오앤 401</v>
      </c>
      <c r="E371" s="75">
        <f>VLOOKUP($C371,청소코드!$C$4:$J$188,4,FALSE)</f>
        <v>1</v>
      </c>
      <c r="F371" s="75" t="s">
        <v>401</v>
      </c>
      <c r="G371" s="75"/>
      <c r="H371" s="75"/>
      <c r="I371" s="75" t="s">
        <v>431</v>
      </c>
      <c r="J371" s="76">
        <f t="shared" si="11"/>
        <v>18000</v>
      </c>
      <c r="K371" s="75">
        <f>VLOOKUP($C371,청소코드!$C$4:$J$188,8,FALSE)</f>
        <v>18000</v>
      </c>
      <c r="L371" s="77"/>
      <c r="M371" s="78"/>
      <c r="N371" s="77"/>
      <c r="O371" s="77"/>
    </row>
    <row r="372" spans="1:15" ht="12.75" customHeight="1">
      <c r="A372" s="74">
        <v>46076</v>
      </c>
      <c r="B372" s="75" t="str">
        <f t="shared" si="10"/>
        <v>월</v>
      </c>
      <c r="C372" s="75" t="s">
        <v>297</v>
      </c>
      <c r="D372" s="75" t="str">
        <f>VLOOKUP($C372,청소코드!$C$4:$J$188,3,FALSE)</f>
        <v>태상 501</v>
      </c>
      <c r="E372" s="75">
        <f>VLOOKUP($C372,청소코드!$C$4:$J$188,4,FALSE)</f>
        <v>2</v>
      </c>
      <c r="F372" s="75" t="s">
        <v>437</v>
      </c>
      <c r="G372" s="75"/>
      <c r="H372" s="75"/>
      <c r="I372" s="75" t="s">
        <v>431</v>
      </c>
      <c r="J372" s="76">
        <f t="shared" si="11"/>
        <v>23000</v>
      </c>
      <c r="K372" s="75">
        <f>VLOOKUP($C372,청소코드!$C$4:$J$188,8,FALSE)</f>
        <v>23000</v>
      </c>
      <c r="L372" s="77"/>
      <c r="M372" s="78"/>
      <c r="N372" s="77"/>
      <c r="O372" s="77"/>
    </row>
    <row r="373" spans="1:15" ht="12.75" customHeight="1">
      <c r="A373" s="74">
        <v>46076</v>
      </c>
      <c r="B373" s="75" t="str">
        <f t="shared" si="10"/>
        <v>월</v>
      </c>
      <c r="C373" s="75" t="s">
        <v>331</v>
      </c>
      <c r="D373" s="75" t="str">
        <f>VLOOKUP($C373,청소코드!$C$4:$J$188,3,FALSE)</f>
        <v>si 502</v>
      </c>
      <c r="E373" s="75">
        <f>VLOOKUP($C373,청소코드!$C$4:$J$188,4,FALSE)</f>
        <v>1</v>
      </c>
      <c r="F373" s="75" t="s">
        <v>437</v>
      </c>
      <c r="G373" s="75"/>
      <c r="H373" s="75"/>
      <c r="I373" s="75" t="s">
        <v>439</v>
      </c>
      <c r="J373" s="76">
        <f t="shared" si="11"/>
        <v>22000</v>
      </c>
      <c r="K373" s="75">
        <f>VLOOKUP($C373,청소코드!$C$4:$J$188,8,FALSE)</f>
        <v>20000</v>
      </c>
      <c r="L373" s="77">
        <v>2000</v>
      </c>
      <c r="M373" s="78"/>
      <c r="N373" s="77"/>
      <c r="O373" s="77"/>
    </row>
    <row r="374" spans="1:15" ht="12.75" customHeight="1">
      <c r="A374" s="74">
        <v>46076</v>
      </c>
      <c r="B374" s="75" t="str">
        <f t="shared" si="10"/>
        <v>월</v>
      </c>
      <c r="C374" s="75" t="s">
        <v>385</v>
      </c>
      <c r="D374" s="75" t="str">
        <f>VLOOKUP($C374,청소코드!$C$4:$J$188,3,FALSE)</f>
        <v>하람휴 1001</v>
      </c>
      <c r="E374" s="75">
        <f>VLOOKUP($C374,청소코드!$C$4:$J$188,4,FALSE)</f>
        <v>2</v>
      </c>
      <c r="F374" s="75" t="s">
        <v>408</v>
      </c>
      <c r="G374" s="75"/>
      <c r="H374" s="75"/>
      <c r="I374" s="75" t="s">
        <v>439</v>
      </c>
      <c r="J374" s="76">
        <f t="shared" si="11"/>
        <v>23000</v>
      </c>
      <c r="K374" s="75">
        <f>VLOOKUP($C374,청소코드!$C$4:$J$188,8,FALSE)</f>
        <v>23000</v>
      </c>
      <c r="L374" s="77"/>
      <c r="M374" s="78"/>
      <c r="N374" s="77"/>
      <c r="O374" s="77"/>
    </row>
    <row r="375" spans="1:15" ht="12.75" customHeight="1">
      <c r="A375" s="74">
        <v>46076</v>
      </c>
      <c r="B375" s="75" t="str">
        <f t="shared" si="10"/>
        <v>월</v>
      </c>
      <c r="C375" s="75" t="s">
        <v>416</v>
      </c>
      <c r="D375" s="75" t="str">
        <f>VLOOKUP($C375,청소코드!$C$4:$J$188,3,FALSE)</f>
        <v>청광1차 207</v>
      </c>
      <c r="E375" s="75">
        <f>VLOOKUP($C375,청소코드!$C$4:$J$188,4,FALSE)</f>
        <v>0</v>
      </c>
      <c r="F375" s="75" t="s">
        <v>426</v>
      </c>
      <c r="G375" s="75"/>
      <c r="H375" s="75"/>
      <c r="I375" s="75" t="s">
        <v>431</v>
      </c>
      <c r="J375" s="76">
        <f t="shared" si="11"/>
        <v>10000</v>
      </c>
      <c r="K375" s="75">
        <f>VLOOKUP($C375,청소코드!$C$4:$J$188,8,FALSE)</f>
        <v>10000</v>
      </c>
      <c r="L375" s="77"/>
      <c r="M375" s="78"/>
      <c r="N375" s="77"/>
      <c r="O375" s="77"/>
    </row>
    <row r="376" spans="1:15" ht="12.75" customHeight="1">
      <c r="A376" s="49">
        <v>46077</v>
      </c>
      <c r="B376" s="50" t="str">
        <f t="shared" ref="B376:B407" si="12">TEXT(A376,"aaa")</f>
        <v>화</v>
      </c>
      <c r="C376" s="29" t="s">
        <v>339</v>
      </c>
      <c r="D376" s="29" t="str">
        <f>VLOOKUP($C376,청소코드!$C$4:$J$188,3,FALSE)</f>
        <v>센텀 2차 606</v>
      </c>
      <c r="E376" s="29">
        <f>VLOOKUP($C376,청소코드!$C$4:$J$188,4,FALSE)</f>
        <v>1.5</v>
      </c>
      <c r="F376" s="29" t="s">
        <v>437</v>
      </c>
      <c r="G376" s="29"/>
      <c r="H376" s="29"/>
      <c r="I376" s="29" t="s">
        <v>439</v>
      </c>
      <c r="J376" s="47">
        <f t="shared" ref="J376:J382" si="13">SUM(K376:O376)</f>
        <v>20000</v>
      </c>
      <c r="K376" s="29">
        <f>VLOOKUP($C376,청소코드!$C$4:$J$188,8,FALSE)</f>
        <v>20000</v>
      </c>
      <c r="L376" s="32"/>
      <c r="M376" s="31"/>
      <c r="N376" s="32"/>
      <c r="O376" s="32"/>
    </row>
    <row r="377" spans="1:15" ht="12.75" customHeight="1">
      <c r="A377" s="30">
        <v>46077</v>
      </c>
      <c r="B377" s="29" t="str">
        <f t="shared" si="12"/>
        <v>화</v>
      </c>
      <c r="C377" s="29" t="s">
        <v>341</v>
      </c>
      <c r="D377" s="29" t="str">
        <f>VLOOKUP($C377,청소코드!$C$4:$J$188,3,FALSE)</f>
        <v>예건 303</v>
      </c>
      <c r="E377" s="29">
        <f>VLOOKUP($C377,청소코드!$C$4:$J$188,4,FALSE)</f>
        <v>2</v>
      </c>
      <c r="F377" s="29" t="s">
        <v>438</v>
      </c>
      <c r="G377" s="29"/>
      <c r="H377" s="29"/>
      <c r="I377" s="29" t="s">
        <v>431</v>
      </c>
      <c r="J377" s="47">
        <f t="shared" si="13"/>
        <v>23000</v>
      </c>
      <c r="K377" s="29">
        <f>VLOOKUP($C377,청소코드!$C$4:$J$188,8,FALSE)</f>
        <v>23000</v>
      </c>
      <c r="L377" s="32"/>
      <c r="M377" s="31"/>
      <c r="N377" s="32"/>
      <c r="O377" s="32"/>
    </row>
    <row r="378" spans="1:15" ht="12.75" customHeight="1">
      <c r="A378" s="30">
        <v>46077</v>
      </c>
      <c r="B378" s="29" t="str">
        <f t="shared" si="12"/>
        <v>화</v>
      </c>
      <c r="C378" s="29" t="s">
        <v>286</v>
      </c>
      <c r="D378" s="29" t="str">
        <f>VLOOKUP($C378,청소코드!$C$4:$J$188,3,FALSE)</f>
        <v>청광3차 1416</v>
      </c>
      <c r="E378" s="29">
        <f>VLOOKUP($C378,청소코드!$C$4:$J$188,4,FALSE)</f>
        <v>1</v>
      </c>
      <c r="F378" s="29" t="s">
        <v>401</v>
      </c>
      <c r="G378" s="29"/>
      <c r="H378" s="29"/>
      <c r="I378" s="29" t="s">
        <v>431</v>
      </c>
      <c r="J378" s="47">
        <f t="shared" si="13"/>
        <v>23000</v>
      </c>
      <c r="K378" s="29">
        <f>VLOOKUP($C378,청소코드!$C$4:$J$188,8,FALSE)</f>
        <v>18000</v>
      </c>
      <c r="L378" s="32">
        <v>5000</v>
      </c>
      <c r="M378" s="31"/>
      <c r="N378" s="32"/>
      <c r="O378" s="32"/>
    </row>
    <row r="379" spans="1:15" ht="12.75" customHeight="1">
      <c r="A379" s="30">
        <v>46077</v>
      </c>
      <c r="B379" s="29" t="str">
        <f t="shared" si="12"/>
        <v>화</v>
      </c>
      <c r="C379" s="29" t="s">
        <v>315</v>
      </c>
      <c r="D379" s="29" t="str">
        <f>VLOOKUP($C379,청소코드!$C$4:$J$188,3,FALSE)</f>
        <v>동구햇살 1203</v>
      </c>
      <c r="E379" s="29" t="str">
        <f>VLOOKUP($C379,청소코드!$C$4:$J$188,4,FALSE)</f>
        <v>복</v>
      </c>
      <c r="F379" s="29" t="s">
        <v>429</v>
      </c>
      <c r="G379" s="29"/>
      <c r="H379" s="29"/>
      <c r="I379" s="29" t="s">
        <v>431</v>
      </c>
      <c r="J379" s="47">
        <f t="shared" si="13"/>
        <v>20000</v>
      </c>
      <c r="K379" s="29">
        <f>VLOOKUP($C379,청소코드!$C$4:$J$188,8,FALSE)</f>
        <v>20000</v>
      </c>
      <c r="L379" s="32"/>
      <c r="M379" s="31"/>
      <c r="N379" s="32"/>
      <c r="O379" s="32"/>
    </row>
    <row r="380" spans="1:15" ht="12.75" customHeight="1">
      <c r="A380" s="30">
        <v>46077</v>
      </c>
      <c r="B380" s="29" t="str">
        <f t="shared" si="12"/>
        <v>화</v>
      </c>
      <c r="C380" s="29" t="s">
        <v>387</v>
      </c>
      <c r="D380" s="29" t="str">
        <f>VLOOKUP($C380,청소코드!$C$4:$J$188,3,FALSE)</f>
        <v>더하임 604</v>
      </c>
      <c r="E380" s="29">
        <f>VLOOKUP($C380,청소코드!$C$4:$J$188,4,FALSE)</f>
        <v>1</v>
      </c>
      <c r="F380" s="29" t="s">
        <v>426</v>
      </c>
      <c r="G380" s="29"/>
      <c r="H380" s="29"/>
      <c r="I380" s="29" t="s">
        <v>431</v>
      </c>
      <c r="J380" s="47">
        <f t="shared" si="13"/>
        <v>18000</v>
      </c>
      <c r="K380" s="29">
        <f>VLOOKUP($C380,청소코드!$C$4:$J$188,8,FALSE)</f>
        <v>18000</v>
      </c>
      <c r="L380" s="32"/>
      <c r="M380" s="31"/>
      <c r="N380" s="32"/>
      <c r="O380" s="32"/>
    </row>
    <row r="381" spans="1:15" ht="12.75" customHeight="1">
      <c r="A381" s="30">
        <v>46077</v>
      </c>
      <c r="B381" s="29" t="str">
        <f t="shared" si="12"/>
        <v>화</v>
      </c>
      <c r="C381" s="29" t="s">
        <v>292</v>
      </c>
      <c r="D381" s="29" t="str">
        <f>VLOOKUP($C381,청소코드!$C$4:$J$188,3,FALSE)</f>
        <v>오앤 401</v>
      </c>
      <c r="E381" s="29">
        <f>VLOOKUP($C381,청소코드!$C$4:$J$188,4,FALSE)</f>
        <v>1</v>
      </c>
      <c r="F381" s="29" t="s">
        <v>426</v>
      </c>
      <c r="G381" s="29"/>
      <c r="H381" s="29"/>
      <c r="I381" s="29" t="s">
        <v>431</v>
      </c>
      <c r="J381" s="47">
        <f t="shared" si="13"/>
        <v>18000</v>
      </c>
      <c r="K381" s="29">
        <f>VLOOKUP($C381,청소코드!$C$4:$J$188,8,FALSE)</f>
        <v>18000</v>
      </c>
      <c r="L381" s="32"/>
      <c r="M381" s="31"/>
      <c r="N381" s="32"/>
      <c r="O381" s="32"/>
    </row>
    <row r="382" spans="1:15" ht="12.75" customHeight="1">
      <c r="A382" s="30">
        <v>46077</v>
      </c>
      <c r="B382" s="29" t="str">
        <f t="shared" si="12"/>
        <v>화</v>
      </c>
      <c r="C382" s="29" t="s">
        <v>416</v>
      </c>
      <c r="D382" s="29" t="str">
        <f>VLOOKUP($C382,청소코드!$C$4:$J$188,3,FALSE)</f>
        <v>청광1차 207</v>
      </c>
      <c r="E382" s="29">
        <f>VLOOKUP($C382,청소코드!$C$4:$J$188,4,FALSE)</f>
        <v>0</v>
      </c>
      <c r="F382" s="29" t="s">
        <v>426</v>
      </c>
      <c r="G382" s="29"/>
      <c r="H382" s="29"/>
      <c r="I382" s="29" t="s">
        <v>439</v>
      </c>
      <c r="J382" s="47">
        <f t="shared" si="13"/>
        <v>10000</v>
      </c>
      <c r="K382" s="29">
        <f>VLOOKUP($C382,청소코드!$C$4:$J$188,8,FALSE)</f>
        <v>10000</v>
      </c>
      <c r="L382" s="32"/>
      <c r="M382" s="31"/>
      <c r="N382" s="32"/>
      <c r="O382" s="32"/>
    </row>
    <row r="383" spans="1:15" ht="12.75" customHeight="1">
      <c r="A383" s="30">
        <v>46077</v>
      </c>
      <c r="B383" s="29" t="str">
        <f t="shared" si="12"/>
        <v>화</v>
      </c>
      <c r="C383" s="29"/>
      <c r="D383" s="29" t="s">
        <v>492</v>
      </c>
      <c r="E383" s="29" t="e">
        <f>VLOOKUP($C383,청소코드!$C$4:$J$188,4,FALSE)</f>
        <v>#N/A</v>
      </c>
      <c r="F383" s="29" t="s">
        <v>426</v>
      </c>
      <c r="G383" s="29" t="s">
        <v>495</v>
      </c>
      <c r="H383" s="29"/>
      <c r="I383" s="29" t="s">
        <v>439</v>
      </c>
      <c r="J383" s="47">
        <v>30000</v>
      </c>
      <c r="K383" s="29" t="e">
        <f>VLOOKUP($C383,청소코드!$C$4:$J$188,8,FALSE)</f>
        <v>#N/A</v>
      </c>
      <c r="L383" s="32"/>
      <c r="M383" s="31"/>
      <c r="N383" s="32"/>
      <c r="O383" s="32"/>
    </row>
    <row r="384" spans="1:15" ht="12.75" customHeight="1">
      <c r="A384" s="30">
        <v>46077</v>
      </c>
      <c r="B384" s="29" t="str">
        <f t="shared" si="12"/>
        <v>화</v>
      </c>
      <c r="C384" s="29"/>
      <c r="D384" s="29" t="s">
        <v>492</v>
      </c>
      <c r="E384" s="29" t="e">
        <f>VLOOKUP($C384,청소코드!$C$4:$J$188,4,FALSE)</f>
        <v>#N/A</v>
      </c>
      <c r="F384" s="29" t="s">
        <v>429</v>
      </c>
      <c r="G384" s="29" t="s">
        <v>495</v>
      </c>
      <c r="H384" s="29"/>
      <c r="I384" s="29" t="s">
        <v>439</v>
      </c>
      <c r="J384" s="47">
        <v>30000</v>
      </c>
      <c r="K384" s="29" t="e">
        <f>VLOOKUP($C384,청소코드!$C$4:$J$188,8,FALSE)</f>
        <v>#N/A</v>
      </c>
      <c r="L384" s="32"/>
      <c r="M384" s="31"/>
      <c r="N384" s="32"/>
      <c r="O384" s="32"/>
    </row>
    <row r="385" spans="1:15" ht="12.75" customHeight="1">
      <c r="A385" s="30">
        <v>46077</v>
      </c>
      <c r="B385" s="29" t="str">
        <f t="shared" si="12"/>
        <v>화</v>
      </c>
      <c r="C385" s="29"/>
      <c r="D385" s="29" t="s">
        <v>493</v>
      </c>
      <c r="E385" s="29" t="e">
        <f>VLOOKUP($C385,청소코드!$C$4:$J$188,4,FALSE)</f>
        <v>#N/A</v>
      </c>
      <c r="F385" s="29" t="s">
        <v>426</v>
      </c>
      <c r="G385" s="29" t="s">
        <v>495</v>
      </c>
      <c r="H385" s="29"/>
      <c r="I385" s="29" t="s">
        <v>439</v>
      </c>
      <c r="J385" s="47">
        <v>30000</v>
      </c>
      <c r="K385" s="29" t="e">
        <f>VLOOKUP($C385,청소코드!$C$4:$J$188,8,FALSE)</f>
        <v>#N/A</v>
      </c>
      <c r="L385" s="32"/>
      <c r="M385" s="31"/>
      <c r="N385" s="32"/>
      <c r="O385" s="32"/>
    </row>
    <row r="386" spans="1:15" ht="12.75" customHeight="1">
      <c r="A386" s="30">
        <v>46077</v>
      </c>
      <c r="B386" s="29" t="str">
        <f t="shared" si="12"/>
        <v>화</v>
      </c>
      <c r="C386" s="29"/>
      <c r="D386" s="29" t="s">
        <v>493</v>
      </c>
      <c r="E386" s="29" t="e">
        <f>VLOOKUP($C386,청소코드!$C$4:$J$188,4,FALSE)</f>
        <v>#N/A</v>
      </c>
      <c r="F386" s="29" t="s">
        <v>429</v>
      </c>
      <c r="G386" s="29" t="s">
        <v>495</v>
      </c>
      <c r="H386" s="29"/>
      <c r="I386" s="29" t="s">
        <v>439</v>
      </c>
      <c r="J386" s="47">
        <v>30000</v>
      </c>
      <c r="K386" s="29" t="e">
        <f>VLOOKUP($C386,청소코드!$C$4:$J$188,8,FALSE)</f>
        <v>#N/A</v>
      </c>
      <c r="L386" s="32"/>
      <c r="M386" s="31"/>
      <c r="N386" s="32"/>
      <c r="O386" s="32"/>
    </row>
    <row r="387" spans="1:15" ht="12.75" customHeight="1">
      <c r="A387" s="30">
        <v>46077</v>
      </c>
      <c r="B387" s="29" t="str">
        <f t="shared" si="12"/>
        <v>화</v>
      </c>
      <c r="C387" s="29"/>
      <c r="D387" s="29" t="s">
        <v>494</v>
      </c>
      <c r="E387" s="29" t="e">
        <f>VLOOKUP($C387,청소코드!$C$4:$J$188,4,FALSE)</f>
        <v>#N/A</v>
      </c>
      <c r="F387" s="29" t="s">
        <v>426</v>
      </c>
      <c r="G387" s="29" t="s">
        <v>495</v>
      </c>
      <c r="H387" s="29"/>
      <c r="I387" s="29" t="s">
        <v>439</v>
      </c>
      <c r="J387" s="47">
        <v>30000</v>
      </c>
      <c r="K387" s="29" t="e">
        <f>VLOOKUP($C387,청소코드!$C$4:$J$188,8,FALSE)</f>
        <v>#N/A</v>
      </c>
      <c r="L387" s="32"/>
      <c r="M387" s="31"/>
      <c r="N387" s="32"/>
      <c r="O387" s="32"/>
    </row>
    <row r="388" spans="1:15" ht="12.75" customHeight="1">
      <c r="A388" s="30">
        <v>46077</v>
      </c>
      <c r="B388" s="29" t="str">
        <f t="shared" si="12"/>
        <v>화</v>
      </c>
      <c r="C388" s="29"/>
      <c r="D388" s="29" t="s">
        <v>494</v>
      </c>
      <c r="E388" s="29" t="e">
        <f>VLOOKUP($C388,청소코드!$C$4:$J$188,4,FALSE)</f>
        <v>#N/A</v>
      </c>
      <c r="F388" s="29" t="s">
        <v>429</v>
      </c>
      <c r="G388" s="29" t="s">
        <v>495</v>
      </c>
      <c r="H388" s="29"/>
      <c r="I388" s="29" t="s">
        <v>439</v>
      </c>
      <c r="J388" s="47">
        <v>30000</v>
      </c>
      <c r="K388" s="29" t="e">
        <f>VLOOKUP($C388,청소코드!$C$4:$J$188,8,FALSE)</f>
        <v>#N/A</v>
      </c>
      <c r="L388" s="32"/>
      <c r="M388" s="31"/>
      <c r="N388" s="32"/>
      <c r="O388" s="32"/>
    </row>
    <row r="389" spans="1:15" ht="12.75" customHeight="1">
      <c r="A389" s="49">
        <v>46078</v>
      </c>
      <c r="B389" s="50" t="str">
        <f t="shared" si="12"/>
        <v>수</v>
      </c>
      <c r="C389" s="29" t="s">
        <v>360</v>
      </c>
      <c r="D389" s="29" t="str">
        <f>VLOOKUP($C389,청소코드!$C$4:$J$188,3,FALSE)</f>
        <v>더하임 306</v>
      </c>
      <c r="E389" s="29">
        <f>VLOOKUP($C389,청소코드!$C$4:$J$188,4,FALSE)</f>
        <v>1.5</v>
      </c>
      <c r="F389" s="29" t="s">
        <v>401</v>
      </c>
      <c r="G389" s="29"/>
      <c r="H389" s="29"/>
      <c r="I389" s="29" t="s">
        <v>439</v>
      </c>
      <c r="J389" s="47">
        <f t="shared" ref="J389:J400" si="14">SUM(K389:O389)</f>
        <v>20000</v>
      </c>
      <c r="K389" s="29">
        <f>VLOOKUP($C389,청소코드!$C$4:$J$188,8,FALSE)</f>
        <v>20000</v>
      </c>
      <c r="L389" s="32"/>
      <c r="M389" s="31"/>
      <c r="N389" s="32"/>
      <c r="O389" s="32"/>
    </row>
    <row r="390" spans="1:15" ht="12.75" customHeight="1">
      <c r="A390" s="30">
        <v>46078</v>
      </c>
      <c r="B390" s="29" t="str">
        <f t="shared" si="12"/>
        <v>수</v>
      </c>
      <c r="C390" s="29" t="s">
        <v>387</v>
      </c>
      <c r="D390" s="29" t="str">
        <f>VLOOKUP($C390,청소코드!$C$4:$J$188,3,FALSE)</f>
        <v>더하임 604</v>
      </c>
      <c r="E390" s="29">
        <f>VLOOKUP($C390,청소코드!$C$4:$J$188,4,FALSE)</f>
        <v>1</v>
      </c>
      <c r="F390" s="29" t="s">
        <v>401</v>
      </c>
      <c r="G390" s="29"/>
      <c r="H390" s="29"/>
      <c r="I390" s="29" t="s">
        <v>431</v>
      </c>
      <c r="J390" s="47">
        <f t="shared" si="14"/>
        <v>18000</v>
      </c>
      <c r="K390" s="29">
        <f>VLOOKUP($C390,청소코드!$C$4:$J$188,8,FALSE)</f>
        <v>18000</v>
      </c>
      <c r="L390" s="32"/>
      <c r="M390" s="31"/>
      <c r="N390" s="32"/>
      <c r="O390" s="32"/>
    </row>
    <row r="391" spans="1:15" ht="12.75" customHeight="1">
      <c r="A391" s="30">
        <v>46078</v>
      </c>
      <c r="B391" s="29" t="str">
        <f t="shared" si="12"/>
        <v>수</v>
      </c>
      <c r="C391" s="29" t="s">
        <v>286</v>
      </c>
      <c r="D391" s="29" t="str">
        <f>VLOOKUP($C391,청소코드!$C$4:$J$188,3,FALSE)</f>
        <v>청광3차 1416</v>
      </c>
      <c r="E391" s="29">
        <f>VLOOKUP($C391,청소코드!$C$4:$J$188,4,FALSE)</f>
        <v>1</v>
      </c>
      <c r="F391" s="29" t="s">
        <v>438</v>
      </c>
      <c r="G391" s="29"/>
      <c r="H391" s="29"/>
      <c r="I391" s="29" t="s">
        <v>431</v>
      </c>
      <c r="J391" s="47">
        <f t="shared" si="14"/>
        <v>18000</v>
      </c>
      <c r="K391" s="29">
        <f>VLOOKUP($C391,청소코드!$C$4:$J$188,8,FALSE)</f>
        <v>18000</v>
      </c>
      <c r="L391" s="32"/>
      <c r="M391" s="31"/>
      <c r="N391" s="32"/>
      <c r="O391" s="32"/>
    </row>
    <row r="392" spans="1:15" ht="12.75" customHeight="1">
      <c r="A392" s="30">
        <v>46078</v>
      </c>
      <c r="B392" s="29" t="str">
        <f t="shared" si="12"/>
        <v>수</v>
      </c>
      <c r="C392" s="29" t="s">
        <v>295</v>
      </c>
      <c r="D392" s="29" t="str">
        <f>VLOOKUP($C392,청소코드!$C$4:$J$188,3,FALSE)</f>
        <v>르센티 1801</v>
      </c>
      <c r="E392" s="29" t="str">
        <f>VLOOKUP($C392,청소코드!$C$4:$J$188,4,FALSE)</f>
        <v>복</v>
      </c>
      <c r="F392" s="29" t="s">
        <v>438</v>
      </c>
      <c r="G392" s="29"/>
      <c r="H392" s="29"/>
      <c r="I392" s="29" t="s">
        <v>431</v>
      </c>
      <c r="J392" s="47">
        <f t="shared" si="14"/>
        <v>20000</v>
      </c>
      <c r="K392" s="29">
        <f>VLOOKUP($C392,청소코드!$C$4:$J$188,8,FALSE)</f>
        <v>20000</v>
      </c>
      <c r="L392" s="32"/>
      <c r="M392" s="31"/>
      <c r="N392" s="32"/>
      <c r="O392" s="32"/>
    </row>
    <row r="393" spans="1:15" ht="12.75" customHeight="1">
      <c r="A393" s="30">
        <v>46078</v>
      </c>
      <c r="B393" s="29" t="str">
        <f t="shared" si="12"/>
        <v>수</v>
      </c>
      <c r="C393" s="29" t="s">
        <v>339</v>
      </c>
      <c r="D393" s="29" t="str">
        <f>VLOOKUP($C393,청소코드!$C$4:$J$188,3,FALSE)</f>
        <v>센텀 2차 606</v>
      </c>
      <c r="E393" s="29">
        <f>VLOOKUP($C393,청소코드!$C$4:$J$188,4,FALSE)</f>
        <v>1.5</v>
      </c>
      <c r="F393" s="29" t="s">
        <v>429</v>
      </c>
      <c r="G393" s="29"/>
      <c r="H393" s="29"/>
      <c r="I393" s="29" t="s">
        <v>431</v>
      </c>
      <c r="J393" s="47">
        <f t="shared" si="14"/>
        <v>20000</v>
      </c>
      <c r="K393" s="29">
        <f>VLOOKUP($C393,청소코드!$C$4:$J$188,8,FALSE)</f>
        <v>20000</v>
      </c>
      <c r="L393" s="32"/>
      <c r="M393" s="31"/>
      <c r="N393" s="32"/>
      <c r="O393" s="32"/>
    </row>
    <row r="394" spans="1:15" ht="12.75" customHeight="1">
      <c r="A394" s="30">
        <v>46078</v>
      </c>
      <c r="B394" s="29" t="str">
        <f t="shared" si="12"/>
        <v>수</v>
      </c>
      <c r="C394" s="29" t="s">
        <v>315</v>
      </c>
      <c r="D394" s="29" t="str">
        <f>VLOOKUP($C394,청소코드!$C$4:$J$188,3,FALSE)</f>
        <v>동구햇살 1203</v>
      </c>
      <c r="E394" s="29" t="str">
        <f>VLOOKUP($C394,청소코드!$C$4:$J$188,4,FALSE)</f>
        <v>복</v>
      </c>
      <c r="F394" s="29" t="s">
        <v>426</v>
      </c>
      <c r="G394" s="29"/>
      <c r="H394" s="29"/>
      <c r="I394" s="29" t="s">
        <v>431</v>
      </c>
      <c r="J394" s="47">
        <f t="shared" si="14"/>
        <v>20000</v>
      </c>
      <c r="K394" s="29">
        <f>VLOOKUP($C394,청소코드!$C$4:$J$188,8,FALSE)</f>
        <v>20000</v>
      </c>
      <c r="L394" s="32"/>
      <c r="M394" s="31"/>
      <c r="N394" s="32"/>
      <c r="O394" s="32"/>
    </row>
    <row r="395" spans="1:15" ht="12.75" customHeight="1">
      <c r="A395" s="30">
        <v>46078</v>
      </c>
      <c r="B395" s="29" t="str">
        <f t="shared" si="12"/>
        <v>수</v>
      </c>
      <c r="C395" s="29" t="s">
        <v>344</v>
      </c>
      <c r="D395" s="29" t="str">
        <f>VLOOKUP($C395,청소코드!$C$4:$J$188,3,FALSE)</f>
        <v>오금스타 402</v>
      </c>
      <c r="E395" s="29">
        <f>VLOOKUP($C395,청소코드!$C$4:$J$188,4,FALSE)</f>
        <v>1</v>
      </c>
      <c r="F395" s="29" t="s">
        <v>449</v>
      </c>
      <c r="G395" s="29"/>
      <c r="H395" s="29"/>
      <c r="I395" s="29" t="s">
        <v>431</v>
      </c>
      <c r="J395" s="47">
        <f t="shared" si="14"/>
        <v>18000</v>
      </c>
      <c r="K395" s="29">
        <f>VLOOKUP($C395,청소코드!$C$4:$J$188,8,FALSE)</f>
        <v>18000</v>
      </c>
      <c r="L395" s="32"/>
      <c r="M395" s="31"/>
      <c r="N395" s="32"/>
      <c r="O395" s="32"/>
    </row>
    <row r="396" spans="1:15" ht="12.75" customHeight="1">
      <c r="A396" s="30">
        <v>46078</v>
      </c>
      <c r="B396" s="29" t="str">
        <f t="shared" si="12"/>
        <v>수</v>
      </c>
      <c r="C396" s="29" t="s">
        <v>376</v>
      </c>
      <c r="D396" s="29" t="str">
        <f>VLOOKUP($C396,청소코드!$C$4:$J$188,3,FALSE)</f>
        <v>은성 603</v>
      </c>
      <c r="E396" s="29">
        <f>VLOOKUP($C396,청소코드!$C$4:$J$188,4,FALSE)</f>
        <v>1</v>
      </c>
      <c r="F396" s="29" t="s">
        <v>426</v>
      </c>
      <c r="G396" s="29"/>
      <c r="H396" s="29"/>
      <c r="I396" s="29" t="s">
        <v>431</v>
      </c>
      <c r="J396" s="47">
        <f t="shared" si="14"/>
        <v>18000</v>
      </c>
      <c r="K396" s="29">
        <f>VLOOKUP($C396,청소코드!$C$4:$J$188,8,FALSE)</f>
        <v>18000</v>
      </c>
      <c r="L396" s="32"/>
      <c r="M396" s="31"/>
      <c r="N396" s="32"/>
      <c r="O396" s="32"/>
    </row>
    <row r="397" spans="1:15" ht="12.75" customHeight="1">
      <c r="A397" s="30">
        <v>46078</v>
      </c>
      <c r="B397" s="29" t="str">
        <f t="shared" si="12"/>
        <v>수</v>
      </c>
      <c r="C397" s="29" t="s">
        <v>292</v>
      </c>
      <c r="D397" s="29" t="str">
        <f>VLOOKUP($C397,청소코드!$C$4:$J$188,3,FALSE)</f>
        <v>오앤 401</v>
      </c>
      <c r="E397" s="29">
        <f>VLOOKUP($C397,청소코드!$C$4:$J$188,4,FALSE)</f>
        <v>1</v>
      </c>
      <c r="F397" s="29" t="s">
        <v>426</v>
      </c>
      <c r="G397" s="29" t="s">
        <v>599</v>
      </c>
      <c r="H397" s="29"/>
      <c r="I397" s="29" t="s">
        <v>431</v>
      </c>
      <c r="J397" s="47">
        <f t="shared" si="14"/>
        <v>23000</v>
      </c>
      <c r="K397" s="29">
        <f>VLOOKUP($C397,청소코드!$C$4:$J$188,8,FALSE)</f>
        <v>18000</v>
      </c>
      <c r="L397" s="32">
        <v>5000</v>
      </c>
      <c r="M397" s="31"/>
      <c r="N397" s="32"/>
      <c r="O397" s="32"/>
    </row>
    <row r="398" spans="1:15" ht="12.75" customHeight="1">
      <c r="A398" s="30">
        <v>46078</v>
      </c>
      <c r="B398" s="29" t="str">
        <f t="shared" si="12"/>
        <v>수</v>
      </c>
      <c r="C398" s="29" t="s">
        <v>333</v>
      </c>
      <c r="D398" s="29" t="str">
        <f>VLOOKUP($C398,청소코드!$C$4:$J$188,3,FALSE)</f>
        <v>성우 904</v>
      </c>
      <c r="E398" s="29">
        <f>VLOOKUP($C398,청소코드!$C$4:$J$188,4,FALSE)</f>
        <v>2</v>
      </c>
      <c r="F398" s="29" t="s">
        <v>429</v>
      </c>
      <c r="G398" s="29"/>
      <c r="H398" s="29"/>
      <c r="I398" s="29" t="s">
        <v>431</v>
      </c>
      <c r="J398" s="47">
        <f t="shared" si="14"/>
        <v>23000</v>
      </c>
      <c r="K398" s="29">
        <f>VLOOKUP($C398,청소코드!$C$4:$J$188,8,FALSE)</f>
        <v>23000</v>
      </c>
      <c r="L398" s="32"/>
      <c r="M398" s="31"/>
      <c r="N398" s="32"/>
      <c r="O398" s="32"/>
    </row>
    <row r="399" spans="1:15" ht="12.75" customHeight="1">
      <c r="A399" s="30">
        <v>46078</v>
      </c>
      <c r="B399" s="29" t="str">
        <f t="shared" si="12"/>
        <v>수</v>
      </c>
      <c r="C399" s="29" t="s">
        <v>335</v>
      </c>
      <c r="D399" s="29" t="str">
        <f>VLOOKUP($C399,청소코드!$C$4:$J$188,3,FALSE)</f>
        <v>성우 301</v>
      </c>
      <c r="E399" s="29">
        <f>VLOOKUP($C399,청소코드!$C$4:$J$188,4,FALSE)</f>
        <v>2</v>
      </c>
      <c r="F399" s="29" t="s">
        <v>429</v>
      </c>
      <c r="G399" s="29"/>
      <c r="H399" s="29"/>
      <c r="I399" s="29" t="s">
        <v>431</v>
      </c>
      <c r="J399" s="47">
        <f t="shared" si="14"/>
        <v>23000</v>
      </c>
      <c r="K399" s="29">
        <f>VLOOKUP($C399,청소코드!$C$4:$J$188,8,FALSE)</f>
        <v>23000</v>
      </c>
      <c r="L399" s="32"/>
      <c r="M399" s="31"/>
      <c r="N399" s="32"/>
      <c r="O399" s="32"/>
    </row>
    <row r="400" spans="1:15" ht="12.75" customHeight="1">
      <c r="A400" s="30">
        <v>46078</v>
      </c>
      <c r="B400" s="29" t="str">
        <f t="shared" si="12"/>
        <v>수</v>
      </c>
      <c r="C400" s="29" t="s">
        <v>416</v>
      </c>
      <c r="D400" s="29" t="str">
        <f>VLOOKUP($C400,청소코드!$C$4:$J$188,3,FALSE)</f>
        <v>청광1차 207</v>
      </c>
      <c r="E400" s="29">
        <f>VLOOKUP($C400,청소코드!$C$4:$J$188,4,FALSE)</f>
        <v>0</v>
      </c>
      <c r="F400" s="29" t="s">
        <v>426</v>
      </c>
      <c r="G400" s="29"/>
      <c r="H400" s="29"/>
      <c r="I400" s="29" t="s">
        <v>431</v>
      </c>
      <c r="J400" s="47">
        <f t="shared" si="14"/>
        <v>10000</v>
      </c>
      <c r="K400" s="29">
        <f>VLOOKUP($C400,청소코드!$C$4:$J$188,8,FALSE)</f>
        <v>10000</v>
      </c>
      <c r="L400" s="32"/>
      <c r="M400" s="31"/>
      <c r="N400" s="32"/>
      <c r="O400" s="32"/>
    </row>
    <row r="401" spans="1:15" ht="12.75" customHeight="1">
      <c r="A401" s="30">
        <v>46077</v>
      </c>
      <c r="B401" s="29" t="str">
        <f t="shared" si="12"/>
        <v>화</v>
      </c>
      <c r="C401" s="29" t="s">
        <v>601</v>
      </c>
      <c r="D401" s="29" t="str">
        <f>VLOOKUP($C401,청소코드!$C$4:$J$188,3,FALSE)</f>
        <v>대치동 103호</v>
      </c>
      <c r="E401" s="29">
        <f>VLOOKUP($C401,청소코드!$C$4:$J$188,4,FALSE)</f>
        <v>1.5</v>
      </c>
      <c r="F401" s="29" t="s">
        <v>499</v>
      </c>
      <c r="G401" s="29" t="s">
        <v>500</v>
      </c>
      <c r="H401" s="29"/>
      <c r="I401" s="29" t="s">
        <v>431</v>
      </c>
      <c r="J401" s="47">
        <f t="shared" ref="J401:J433" si="15">SUM(K401:O401)</f>
        <v>20000</v>
      </c>
      <c r="K401" s="29">
        <f>VLOOKUP($C401,청소코드!$C$4:$J$188,8,FALSE)</f>
        <v>20000</v>
      </c>
      <c r="L401" s="32"/>
      <c r="M401" s="31"/>
      <c r="N401" s="32"/>
      <c r="O401" s="32"/>
    </row>
    <row r="402" spans="1:15" ht="12.75" customHeight="1">
      <c r="A402" s="49">
        <v>46079</v>
      </c>
      <c r="B402" s="50" t="str">
        <f t="shared" si="12"/>
        <v>목</v>
      </c>
      <c r="C402" s="29" t="s">
        <v>503</v>
      </c>
      <c r="D402" s="29" t="str">
        <f>VLOOKUP($C402,청소코드!$C$4:$J$188,3,FALSE)</f>
        <v>센텀 2차 406</v>
      </c>
      <c r="E402" s="29">
        <f>VLOOKUP($C402,청소코드!$C$4:$J$188,4,FALSE)</f>
        <v>1.5</v>
      </c>
      <c r="F402" s="29" t="s">
        <v>509</v>
      </c>
      <c r="G402" s="29" t="s">
        <v>512</v>
      </c>
      <c r="H402" s="29"/>
      <c r="I402" s="29" t="s">
        <v>514</v>
      </c>
      <c r="J402" s="47">
        <f t="shared" si="15"/>
        <v>30000</v>
      </c>
      <c r="K402" s="29">
        <f>VLOOKUP($C402,청소코드!$C$4:$J$188,8,FALSE)</f>
        <v>20000</v>
      </c>
      <c r="L402" s="32">
        <v>10000</v>
      </c>
      <c r="M402" s="31"/>
      <c r="N402" s="32"/>
      <c r="O402" s="32"/>
    </row>
    <row r="403" spans="1:15" ht="12.75" customHeight="1">
      <c r="A403" s="30">
        <v>46079</v>
      </c>
      <c r="B403" s="29" t="str">
        <f t="shared" si="12"/>
        <v>목</v>
      </c>
      <c r="C403" s="29" t="s">
        <v>504</v>
      </c>
      <c r="D403" s="29" t="str">
        <f>VLOOKUP($C403,청소코드!$C$4:$J$188,3,FALSE)</f>
        <v>오앤 401</v>
      </c>
      <c r="E403" s="29">
        <f>VLOOKUP($C403,청소코드!$C$4:$J$188,4,FALSE)</f>
        <v>1</v>
      </c>
      <c r="F403" s="29" t="s">
        <v>426</v>
      </c>
      <c r="G403" s="29"/>
      <c r="H403" s="29"/>
      <c r="I403" s="29" t="s">
        <v>431</v>
      </c>
      <c r="J403" s="47">
        <f t="shared" si="15"/>
        <v>18000</v>
      </c>
      <c r="K403" s="29">
        <f>VLOOKUP($C403,청소코드!$C$4:$J$188,8,FALSE)</f>
        <v>18000</v>
      </c>
      <c r="L403" s="32"/>
      <c r="M403" s="31"/>
      <c r="N403" s="32"/>
      <c r="O403" s="32"/>
    </row>
    <row r="404" spans="1:15" ht="12.75" customHeight="1">
      <c r="A404" s="30">
        <v>46079</v>
      </c>
      <c r="B404" s="29" t="str">
        <f t="shared" si="12"/>
        <v>목</v>
      </c>
      <c r="C404" s="29" t="s">
        <v>505</v>
      </c>
      <c r="D404" s="29" t="str">
        <f>VLOOKUP($C404,청소코드!$C$4:$J$188,3,FALSE)</f>
        <v>성우 402</v>
      </c>
      <c r="E404" s="29">
        <f>VLOOKUP($C404,청소코드!$C$4:$J$188,4,FALSE)</f>
        <v>3</v>
      </c>
      <c r="F404" s="29" t="s">
        <v>510</v>
      </c>
      <c r="G404" s="29"/>
      <c r="H404" s="29"/>
      <c r="I404" s="29" t="s">
        <v>431</v>
      </c>
      <c r="J404" s="47">
        <f t="shared" si="15"/>
        <v>30000</v>
      </c>
      <c r="K404" s="29">
        <f>VLOOKUP($C404,청소코드!$C$4:$J$188,8,FALSE)</f>
        <v>30000</v>
      </c>
      <c r="L404" s="32"/>
      <c r="M404" s="31"/>
      <c r="N404" s="32"/>
      <c r="O404" s="32"/>
    </row>
    <row r="405" spans="1:15" ht="12.75" customHeight="1">
      <c r="A405" s="30">
        <v>46079</v>
      </c>
      <c r="B405" s="29" t="str">
        <f t="shared" si="12"/>
        <v>목</v>
      </c>
      <c r="C405" s="29" t="s">
        <v>506</v>
      </c>
      <c r="D405" s="29" t="str">
        <f>VLOOKUP($C405,청소코드!$C$4:$J$188,3,FALSE)</f>
        <v>예건 303</v>
      </c>
      <c r="E405" s="29">
        <f>VLOOKUP($C405,청소코드!$C$4:$J$188,4,FALSE)</f>
        <v>2</v>
      </c>
      <c r="F405" s="29" t="s">
        <v>510</v>
      </c>
      <c r="G405" s="29"/>
      <c r="H405" s="29"/>
      <c r="I405" s="29" t="s">
        <v>431</v>
      </c>
      <c r="J405" s="47">
        <f t="shared" si="15"/>
        <v>23000</v>
      </c>
      <c r="K405" s="29">
        <f>VLOOKUP($C405,청소코드!$C$4:$J$188,8,FALSE)</f>
        <v>23000</v>
      </c>
      <c r="L405" s="32"/>
      <c r="M405" s="31"/>
      <c r="N405" s="32"/>
      <c r="O405" s="32"/>
    </row>
    <row r="406" spans="1:15" ht="12.75" customHeight="1">
      <c r="A406" s="30">
        <v>46079</v>
      </c>
      <c r="B406" s="29" t="str">
        <f t="shared" si="12"/>
        <v>목</v>
      </c>
      <c r="C406" s="29" t="s">
        <v>507</v>
      </c>
      <c r="D406" s="29" t="str">
        <f>VLOOKUP($C406,청소코드!$C$4:$J$188,3,FALSE)</f>
        <v>더하임 305</v>
      </c>
      <c r="E406" s="29">
        <f>VLOOKUP($C406,청소코드!$C$4:$J$188,4,FALSE)</f>
        <v>1</v>
      </c>
      <c r="F406" s="29" t="s">
        <v>437</v>
      </c>
      <c r="G406" s="29"/>
      <c r="H406" s="29"/>
      <c r="I406" s="29" t="s">
        <v>431</v>
      </c>
      <c r="J406" s="47">
        <f t="shared" si="15"/>
        <v>18000</v>
      </c>
      <c r="K406" s="29">
        <f>VLOOKUP($C406,청소코드!$C$4:$J$188,8,FALSE)</f>
        <v>18000</v>
      </c>
      <c r="L406" s="32"/>
      <c r="M406" s="31"/>
      <c r="N406" s="32"/>
      <c r="O406" s="32"/>
    </row>
    <row r="407" spans="1:15" ht="12.75" customHeight="1">
      <c r="A407" s="30">
        <v>46079</v>
      </c>
      <c r="B407" s="29" t="str">
        <f t="shared" si="12"/>
        <v>목</v>
      </c>
      <c r="C407" s="29" t="s">
        <v>501</v>
      </c>
      <c r="D407" s="29" t="str">
        <f>VLOOKUP($C407,청소코드!$C$4:$J$188,3,FALSE)</f>
        <v>르센티 1801</v>
      </c>
      <c r="E407" s="29" t="str">
        <f>VLOOKUP($C407,청소코드!$C$4:$J$188,4,FALSE)</f>
        <v>복</v>
      </c>
      <c r="F407" s="29" t="s">
        <v>437</v>
      </c>
      <c r="G407" s="29"/>
      <c r="H407" s="29"/>
      <c r="I407" s="29" t="s">
        <v>431</v>
      </c>
      <c r="J407" s="47">
        <f t="shared" si="15"/>
        <v>20000</v>
      </c>
      <c r="K407" s="29">
        <f>VLOOKUP($C407,청소코드!$C$4:$J$188,8,FALSE)</f>
        <v>20000</v>
      </c>
      <c r="L407" s="32"/>
      <c r="M407" s="31"/>
      <c r="N407" s="32"/>
      <c r="O407" s="32"/>
    </row>
    <row r="408" spans="1:15" ht="12.75" customHeight="1">
      <c r="A408" s="30">
        <v>46079</v>
      </c>
      <c r="B408" s="29" t="str">
        <f t="shared" ref="B408:B439" si="16">TEXT(A408,"aaa")</f>
        <v>목</v>
      </c>
      <c r="C408" s="29" t="s">
        <v>502</v>
      </c>
      <c r="D408" s="29" t="str">
        <f>VLOOKUP($C408,청소코드!$C$4:$J$188,3,FALSE)</f>
        <v>동구햇살 1203</v>
      </c>
      <c r="E408" s="29" t="str">
        <f>VLOOKUP($C408,청소코드!$C$4:$J$188,4,FALSE)</f>
        <v>복</v>
      </c>
      <c r="F408" s="29" t="s">
        <v>401</v>
      </c>
      <c r="G408" s="29"/>
      <c r="H408" s="29"/>
      <c r="I408" s="29" t="s">
        <v>431</v>
      </c>
      <c r="J408" s="47">
        <f t="shared" si="15"/>
        <v>20000</v>
      </c>
      <c r="K408" s="29">
        <f>VLOOKUP($C408,청소코드!$C$4:$J$188,8,FALSE)</f>
        <v>20000</v>
      </c>
      <c r="L408" s="32"/>
      <c r="M408" s="31"/>
      <c r="N408" s="32"/>
      <c r="O408" s="32"/>
    </row>
    <row r="409" spans="1:15" ht="12.75" customHeight="1">
      <c r="A409" s="30">
        <v>46079</v>
      </c>
      <c r="B409" s="29" t="str">
        <f t="shared" si="16"/>
        <v>목</v>
      </c>
      <c r="C409" s="29" t="s">
        <v>508</v>
      </c>
      <c r="D409" s="29" t="str">
        <f>VLOOKUP($C409,청소코드!$C$4:$J$188,3,FALSE)</f>
        <v>은성 603</v>
      </c>
      <c r="E409" s="29">
        <f>VLOOKUP($C409,청소코드!$C$4:$J$188,4,FALSE)</f>
        <v>1</v>
      </c>
      <c r="F409" s="29" t="s">
        <v>511</v>
      </c>
      <c r="G409" s="29"/>
      <c r="H409" s="29"/>
      <c r="I409" s="29" t="s">
        <v>431</v>
      </c>
      <c r="J409" s="47">
        <f t="shared" si="15"/>
        <v>18000</v>
      </c>
      <c r="K409" s="29">
        <f>VLOOKUP($C409,청소코드!$C$4:$J$188,8,FALSE)</f>
        <v>18000</v>
      </c>
      <c r="L409" s="32"/>
      <c r="M409" s="31"/>
      <c r="N409" s="32"/>
      <c r="O409" s="32"/>
    </row>
    <row r="410" spans="1:15" ht="12.75" customHeight="1">
      <c r="A410" s="30">
        <v>46079</v>
      </c>
      <c r="B410" s="29" t="str">
        <f t="shared" si="16"/>
        <v>목</v>
      </c>
      <c r="C410" s="29" t="s">
        <v>513</v>
      </c>
      <c r="D410" s="29" t="str">
        <f>VLOOKUP($C410,청소코드!$C$4:$J$188,3,FALSE)</f>
        <v>청광1차 207</v>
      </c>
      <c r="E410" s="29">
        <f>VLOOKUP($C410,청소코드!$C$4:$J$188,4,FALSE)</f>
        <v>0</v>
      </c>
      <c r="F410" s="29" t="s">
        <v>426</v>
      </c>
      <c r="G410" s="29"/>
      <c r="H410" s="29"/>
      <c r="I410" s="29" t="s">
        <v>431</v>
      </c>
      <c r="J410" s="47">
        <f t="shared" si="15"/>
        <v>10000</v>
      </c>
      <c r="K410" s="29">
        <f>VLOOKUP($C410,청소코드!$C$4:$J$188,8,FALSE)</f>
        <v>10000</v>
      </c>
      <c r="L410" s="32"/>
      <c r="M410" s="31"/>
      <c r="N410" s="32"/>
      <c r="O410" s="32"/>
    </row>
    <row r="411" spans="1:15" ht="12.75" customHeight="1">
      <c r="A411" s="49">
        <v>46080</v>
      </c>
      <c r="B411" s="50" t="str">
        <f t="shared" si="16"/>
        <v>금</v>
      </c>
      <c r="C411" s="29" t="s">
        <v>515</v>
      </c>
      <c r="D411" s="29" t="str">
        <f>VLOOKUP($C411,청소코드!$C$4:$J$188,3,FALSE)</f>
        <v>센텀 2차 406</v>
      </c>
      <c r="E411" s="29">
        <f>VLOOKUP($C411,청소코드!$C$4:$J$188,4,FALSE)</f>
        <v>1.5</v>
      </c>
      <c r="F411" s="29" t="s">
        <v>523</v>
      </c>
      <c r="G411" s="29"/>
      <c r="H411" s="29"/>
      <c r="I411" s="29" t="s">
        <v>553</v>
      </c>
      <c r="J411" s="47">
        <f t="shared" si="15"/>
        <v>20000</v>
      </c>
      <c r="K411" s="29">
        <f>VLOOKUP($C411,청소코드!$C$4:$J$188,8,FALSE)</f>
        <v>20000</v>
      </c>
      <c r="L411" s="32"/>
      <c r="M411" s="31"/>
      <c r="N411" s="32"/>
      <c r="O411" s="32"/>
    </row>
    <row r="412" spans="1:15" ht="12.75" customHeight="1">
      <c r="A412" s="30">
        <v>46080</v>
      </c>
      <c r="B412" s="29" t="str">
        <f t="shared" si="16"/>
        <v>금</v>
      </c>
      <c r="C412" s="29" t="s">
        <v>516</v>
      </c>
      <c r="D412" s="29" t="str">
        <f>VLOOKUP($C412,청소코드!$C$4:$J$188,3,FALSE)</f>
        <v>si 602</v>
      </c>
      <c r="E412" s="29">
        <f>VLOOKUP($C412,청소코드!$C$4:$J$188,4,FALSE)</f>
        <v>1</v>
      </c>
      <c r="F412" s="29" t="s">
        <v>523</v>
      </c>
      <c r="G412" s="29"/>
      <c r="H412" s="29"/>
      <c r="I412" s="29" t="s">
        <v>431</v>
      </c>
      <c r="J412" s="47">
        <f t="shared" si="15"/>
        <v>20000</v>
      </c>
      <c r="K412" s="29">
        <f>VLOOKUP($C412,청소코드!$C$4:$J$188,8,FALSE)</f>
        <v>20000</v>
      </c>
      <c r="L412" s="32"/>
      <c r="M412" s="31"/>
      <c r="N412" s="32"/>
      <c r="O412" s="32"/>
    </row>
    <row r="413" spans="1:15" ht="12.75" customHeight="1">
      <c r="A413" s="30">
        <v>46080</v>
      </c>
      <c r="B413" s="29" t="str">
        <f t="shared" si="16"/>
        <v>금</v>
      </c>
      <c r="C413" s="29" t="s">
        <v>517</v>
      </c>
      <c r="D413" s="29" t="str">
        <f>VLOOKUP($C413,청소코드!$C$4:$J$188,3,FALSE)</f>
        <v>오앤 401</v>
      </c>
      <c r="E413" s="29">
        <f>VLOOKUP($C413,청소코드!$C$4:$J$188,4,FALSE)</f>
        <v>1</v>
      </c>
      <c r="F413" s="29" t="s">
        <v>426</v>
      </c>
      <c r="G413" s="29"/>
      <c r="H413" s="29"/>
      <c r="I413" s="29" t="s">
        <v>431</v>
      </c>
      <c r="J413" s="47">
        <f t="shared" si="15"/>
        <v>18000</v>
      </c>
      <c r="K413" s="29">
        <f>VLOOKUP($C413,청소코드!$C$4:$J$188,8,FALSE)</f>
        <v>18000</v>
      </c>
      <c r="L413" s="32"/>
      <c r="M413" s="31"/>
      <c r="N413" s="32"/>
      <c r="O413" s="32"/>
    </row>
    <row r="414" spans="1:15" ht="12.75" customHeight="1">
      <c r="A414" s="30">
        <v>46080</v>
      </c>
      <c r="B414" s="29" t="str">
        <f t="shared" si="16"/>
        <v>금</v>
      </c>
      <c r="C414" s="29" t="s">
        <v>518</v>
      </c>
      <c r="D414" s="29" t="str">
        <f>VLOOKUP($C414,청소코드!$C$4:$J$188,3,FALSE)</f>
        <v>성우 803</v>
      </c>
      <c r="E414" s="29">
        <f>VLOOKUP($C414,청소코드!$C$4:$J$188,4,FALSE)</f>
        <v>3</v>
      </c>
      <c r="F414" s="29" t="s">
        <v>524</v>
      </c>
      <c r="G414" s="29"/>
      <c r="H414" s="29"/>
      <c r="I414" s="29" t="s">
        <v>431</v>
      </c>
      <c r="J414" s="47">
        <f t="shared" si="15"/>
        <v>30000</v>
      </c>
      <c r="K414" s="29">
        <f>VLOOKUP($C414,청소코드!$C$4:$J$188,8,FALSE)</f>
        <v>30000</v>
      </c>
      <c r="L414" s="32"/>
      <c r="M414" s="31"/>
      <c r="N414" s="32"/>
      <c r="O414" s="32"/>
    </row>
    <row r="415" spans="1:15" ht="12.75" customHeight="1">
      <c r="A415" s="30">
        <v>46080</v>
      </c>
      <c r="B415" s="29" t="str">
        <f t="shared" si="16"/>
        <v>금</v>
      </c>
      <c r="C415" s="29" t="s">
        <v>397</v>
      </c>
      <c r="D415" s="29" t="str">
        <f>VLOOKUP($C415,청소코드!$C$4:$J$188,3,FALSE)</f>
        <v>대치동 102호</v>
      </c>
      <c r="E415" s="29">
        <f>VLOOKUP($C415,청소코드!$C$4:$J$188,4,FALSE)</f>
        <v>1</v>
      </c>
      <c r="F415" s="29" t="s">
        <v>525</v>
      </c>
      <c r="G415" s="29"/>
      <c r="H415" s="29"/>
      <c r="I415" s="29" t="s">
        <v>431</v>
      </c>
      <c r="J415" s="47">
        <f t="shared" si="15"/>
        <v>29800</v>
      </c>
      <c r="K415" s="29">
        <f>VLOOKUP($C415,청소코드!$C$4:$J$188,8,FALSE)</f>
        <v>18000</v>
      </c>
      <c r="L415" s="32">
        <v>11800</v>
      </c>
      <c r="M415" s="31"/>
      <c r="N415" s="32"/>
      <c r="O415" s="32"/>
    </row>
    <row r="416" spans="1:15" ht="12.75" customHeight="1">
      <c r="A416" s="30">
        <v>46080</v>
      </c>
      <c r="B416" s="29" t="str">
        <f t="shared" si="16"/>
        <v>금</v>
      </c>
      <c r="C416" s="29" t="s">
        <v>519</v>
      </c>
      <c r="D416" s="29" t="str">
        <f>VLOOKUP($C416,청소코드!$C$4:$J$188,3,FALSE)</f>
        <v>더하임 204</v>
      </c>
      <c r="E416" s="29">
        <f>VLOOKUP($C416,청소코드!$C$4:$J$188,4,FALSE)</f>
        <v>1</v>
      </c>
      <c r="F416" s="29" t="s">
        <v>526</v>
      </c>
      <c r="G416" s="29"/>
      <c r="H416" s="29"/>
      <c r="I416" s="29" t="s">
        <v>431</v>
      </c>
      <c r="J416" s="47">
        <f t="shared" si="15"/>
        <v>18000</v>
      </c>
      <c r="K416" s="29">
        <f>VLOOKUP($C416,청소코드!$C$4:$J$188,8,FALSE)</f>
        <v>18000</v>
      </c>
      <c r="L416" s="32"/>
      <c r="M416" s="31"/>
      <c r="N416" s="32"/>
      <c r="O416" s="32"/>
    </row>
    <row r="417" spans="1:15" ht="12.75" customHeight="1">
      <c r="A417" s="30">
        <v>46080</v>
      </c>
      <c r="B417" s="29" t="str">
        <f t="shared" si="16"/>
        <v>금</v>
      </c>
      <c r="C417" s="29" t="s">
        <v>520</v>
      </c>
      <c r="D417" s="29" t="str">
        <f>VLOOKUP($C417,청소코드!$C$4:$J$188,3,FALSE)</f>
        <v>청광3차 1412</v>
      </c>
      <c r="E417" s="29">
        <f>VLOOKUP($C417,청소코드!$C$4:$J$188,4,FALSE)</f>
        <v>1</v>
      </c>
      <c r="F417" s="29" t="s">
        <v>527</v>
      </c>
      <c r="G417" s="29"/>
      <c r="H417" s="29"/>
      <c r="I417" s="29" t="s">
        <v>431</v>
      </c>
      <c r="J417" s="47">
        <f t="shared" si="15"/>
        <v>18000</v>
      </c>
      <c r="K417" s="29">
        <f>VLOOKUP($C417,청소코드!$C$4:$J$188,8,FALSE)</f>
        <v>18000</v>
      </c>
      <c r="L417" s="32"/>
      <c r="M417" s="31"/>
      <c r="N417" s="32"/>
      <c r="O417" s="32"/>
    </row>
    <row r="418" spans="1:15" ht="12.75" customHeight="1">
      <c r="A418" s="30">
        <v>46080</v>
      </c>
      <c r="B418" s="29" t="str">
        <f t="shared" si="16"/>
        <v>금</v>
      </c>
      <c r="C418" s="29" t="s">
        <v>521</v>
      </c>
      <c r="D418" s="29" t="str">
        <f>VLOOKUP($C418,청소코드!$C$4:$J$188,3,FALSE)</f>
        <v>르센티 1801</v>
      </c>
      <c r="E418" s="29" t="str">
        <f>VLOOKUP($C418,청소코드!$C$4:$J$188,4,FALSE)</f>
        <v>복</v>
      </c>
      <c r="F418" s="29" t="s">
        <v>449</v>
      </c>
      <c r="G418" s="29"/>
      <c r="H418" s="29"/>
      <c r="I418" s="29" t="s">
        <v>431</v>
      </c>
      <c r="J418" s="47">
        <f t="shared" si="15"/>
        <v>20000</v>
      </c>
      <c r="K418" s="29">
        <f>VLOOKUP($C418,청소코드!$C$4:$J$188,8,FALSE)</f>
        <v>20000</v>
      </c>
      <c r="L418" s="32"/>
      <c r="M418" s="31"/>
      <c r="N418" s="32"/>
      <c r="O418" s="32"/>
    </row>
    <row r="419" spans="1:15" ht="12.75" customHeight="1">
      <c r="A419" s="30">
        <v>46080</v>
      </c>
      <c r="B419" s="29" t="str">
        <f t="shared" si="16"/>
        <v>금</v>
      </c>
      <c r="C419" s="29" t="s">
        <v>522</v>
      </c>
      <c r="D419" s="29" t="str">
        <f>VLOOKUP($C419,청소코드!$C$4:$J$188,3,FALSE)</f>
        <v>하람휴 1001</v>
      </c>
      <c r="E419" s="29">
        <f>VLOOKUP($C419,청소코드!$C$4:$J$188,4,FALSE)</f>
        <v>2</v>
      </c>
      <c r="F419" s="29" t="s">
        <v>528</v>
      </c>
      <c r="G419" s="29"/>
      <c r="H419" s="29"/>
      <c r="I419" s="29" t="s">
        <v>431</v>
      </c>
      <c r="J419" s="47">
        <f t="shared" si="15"/>
        <v>23000</v>
      </c>
      <c r="K419" s="29">
        <f>VLOOKUP($C419,청소코드!$C$4:$J$188,8,FALSE)</f>
        <v>23000</v>
      </c>
      <c r="L419" s="32"/>
      <c r="M419" s="31"/>
      <c r="N419" s="32"/>
      <c r="O419" s="32"/>
    </row>
    <row r="420" spans="1:15" ht="12.75" customHeight="1">
      <c r="A420" s="30">
        <v>46080</v>
      </c>
      <c r="B420" s="29" t="str">
        <f t="shared" si="16"/>
        <v>금</v>
      </c>
      <c r="C420" s="29" t="s">
        <v>529</v>
      </c>
      <c r="D420" s="29" t="str">
        <f>VLOOKUP($C420,청소코드!$C$4:$J$188,3,FALSE)</f>
        <v>청광1차 207</v>
      </c>
      <c r="E420" s="29">
        <f>VLOOKUP($C420,청소코드!$C$4:$J$188,4,FALSE)</f>
        <v>0</v>
      </c>
      <c r="F420" s="29" t="s">
        <v>530</v>
      </c>
      <c r="G420" s="29" t="s">
        <v>600</v>
      </c>
      <c r="H420" s="29"/>
      <c r="I420" s="29" t="s">
        <v>553</v>
      </c>
      <c r="J420" s="47">
        <f t="shared" si="15"/>
        <v>10000</v>
      </c>
      <c r="K420" s="29">
        <f>VLOOKUP($C420,청소코드!$C$4:$J$188,8,FALSE)</f>
        <v>10000</v>
      </c>
      <c r="L420" s="32"/>
      <c r="M420" s="31"/>
      <c r="N420" s="32"/>
      <c r="O420" s="32"/>
    </row>
    <row r="421" spans="1:15" ht="12.75" customHeight="1">
      <c r="A421" s="49">
        <v>46081</v>
      </c>
      <c r="B421" s="50" t="str">
        <f t="shared" si="16"/>
        <v>토</v>
      </c>
      <c r="C421" s="29" t="s">
        <v>515</v>
      </c>
      <c r="D421" s="29" t="str">
        <f>VLOOKUP($C421,청소코드!$C$4:$J$188,3,FALSE)</f>
        <v>센텀 2차 406</v>
      </c>
      <c r="E421" s="29">
        <f>VLOOKUP($C421,청소코드!$C$4:$J$188,4,FALSE)</f>
        <v>1.5</v>
      </c>
      <c r="F421" s="29" t="s">
        <v>526</v>
      </c>
      <c r="G421" s="29"/>
      <c r="H421" s="29"/>
      <c r="I421" s="29" t="s">
        <v>431</v>
      </c>
      <c r="J421" s="47">
        <f t="shared" si="15"/>
        <v>20000</v>
      </c>
      <c r="K421" s="29">
        <f>VLOOKUP($C421,청소코드!$C$4:$J$188,8,FALSE)</f>
        <v>20000</v>
      </c>
      <c r="L421" s="32"/>
      <c r="M421" s="31"/>
      <c r="N421" s="32"/>
      <c r="O421" s="32"/>
    </row>
    <row r="422" spans="1:15" ht="12.75" customHeight="1">
      <c r="A422" s="30">
        <v>46081</v>
      </c>
      <c r="B422" s="29" t="str">
        <f t="shared" si="16"/>
        <v>토</v>
      </c>
      <c r="C422" s="29" t="s">
        <v>531</v>
      </c>
      <c r="D422" s="29" t="str">
        <f>VLOOKUP($C422,청소코드!$C$4:$J$188,3,FALSE)</f>
        <v>센텀 2차 501</v>
      </c>
      <c r="E422" s="29">
        <f>VLOOKUP($C422,청소코드!$C$4:$J$188,4,FALSE)</f>
        <v>1.5</v>
      </c>
      <c r="F422" s="29" t="s">
        <v>526</v>
      </c>
      <c r="G422" s="29"/>
      <c r="H422" s="29"/>
      <c r="I422" s="29" t="s">
        <v>431</v>
      </c>
      <c r="J422" s="47">
        <f t="shared" si="15"/>
        <v>20000</v>
      </c>
      <c r="K422" s="29">
        <f>VLOOKUP($C422,청소코드!$C$4:$J$188,8,FALSE)</f>
        <v>20000</v>
      </c>
      <c r="L422" s="32"/>
      <c r="M422" s="31"/>
      <c r="N422" s="32"/>
      <c r="O422" s="32"/>
    </row>
    <row r="423" spans="1:15" ht="12.75" customHeight="1">
      <c r="A423" s="30">
        <v>46081</v>
      </c>
      <c r="B423" s="29" t="str">
        <f t="shared" si="16"/>
        <v>토</v>
      </c>
      <c r="C423" s="29" t="s">
        <v>532</v>
      </c>
      <c r="D423" s="29" t="str">
        <f>VLOOKUP($C423,청소코드!$C$4:$J$188,3,FALSE)</f>
        <v>센텀 2차 606</v>
      </c>
      <c r="E423" s="29">
        <f>VLOOKUP($C423,청소코드!$C$4:$J$188,4,FALSE)</f>
        <v>1.5</v>
      </c>
      <c r="F423" s="29" t="s">
        <v>526</v>
      </c>
      <c r="G423" s="29"/>
      <c r="H423" s="29"/>
      <c r="I423" s="29" t="s">
        <v>431</v>
      </c>
      <c r="J423" s="47">
        <f t="shared" si="15"/>
        <v>20000</v>
      </c>
      <c r="K423" s="29">
        <f>VLOOKUP($C423,청소코드!$C$4:$J$188,8,FALSE)</f>
        <v>20000</v>
      </c>
      <c r="L423" s="32"/>
      <c r="M423" s="31"/>
      <c r="N423" s="32"/>
      <c r="O423" s="32"/>
    </row>
    <row r="424" spans="1:15" ht="12.75" customHeight="1">
      <c r="A424" s="30">
        <v>46081</v>
      </c>
      <c r="B424" s="29" t="str">
        <f t="shared" si="16"/>
        <v>토</v>
      </c>
      <c r="C424" s="29" t="s">
        <v>533</v>
      </c>
      <c r="D424" s="29" t="str">
        <f>VLOOKUP($C424,청소코드!$C$4:$J$188,3,FALSE)</f>
        <v>한양립스 503</v>
      </c>
      <c r="E424" s="29">
        <f>VLOOKUP($C424,청소코드!$C$4:$J$188,4,FALSE)</f>
        <v>1</v>
      </c>
      <c r="F424" s="29" t="s">
        <v>401</v>
      </c>
      <c r="G424" s="29"/>
      <c r="H424" s="29"/>
      <c r="I424" s="29" t="s">
        <v>431</v>
      </c>
      <c r="J424" s="47">
        <f t="shared" si="15"/>
        <v>18000</v>
      </c>
      <c r="K424" s="29">
        <f>VLOOKUP($C424,청소코드!$C$4:$J$188,8,FALSE)</f>
        <v>18000</v>
      </c>
      <c r="L424" s="32"/>
      <c r="M424" s="31"/>
      <c r="N424" s="32"/>
      <c r="O424" s="32"/>
    </row>
    <row r="425" spans="1:15" ht="12.75" customHeight="1">
      <c r="A425" s="30">
        <v>46081</v>
      </c>
      <c r="B425" s="29" t="str">
        <f t="shared" si="16"/>
        <v>토</v>
      </c>
      <c r="C425" s="29" t="s">
        <v>521</v>
      </c>
      <c r="D425" s="29" t="str">
        <f>VLOOKUP($C425,청소코드!$C$4:$J$188,3,FALSE)</f>
        <v>르센티 1801</v>
      </c>
      <c r="E425" s="29" t="str">
        <f>VLOOKUP($C425,청소코드!$C$4:$J$188,4,FALSE)</f>
        <v>복</v>
      </c>
      <c r="F425" s="29" t="s">
        <v>401</v>
      </c>
      <c r="G425" s="29"/>
      <c r="H425" s="29"/>
      <c r="I425" s="29" t="s">
        <v>431</v>
      </c>
      <c r="J425" s="47">
        <f t="shared" si="15"/>
        <v>20000</v>
      </c>
      <c r="K425" s="29">
        <f>VLOOKUP($C425,청소코드!$C$4:$J$188,8,FALSE)</f>
        <v>20000</v>
      </c>
      <c r="L425" s="32"/>
      <c r="M425" s="31"/>
      <c r="N425" s="32"/>
      <c r="O425" s="32"/>
    </row>
    <row r="426" spans="1:15" ht="12.75" customHeight="1">
      <c r="A426" s="30">
        <v>46081</v>
      </c>
      <c r="B426" s="29" t="str">
        <f t="shared" si="16"/>
        <v>토</v>
      </c>
      <c r="C426" s="29" t="s">
        <v>534</v>
      </c>
      <c r="D426" s="29" t="str">
        <f>VLOOKUP($C426,청소코드!$C$4:$J$188,3,FALSE)</f>
        <v>더하임 1004</v>
      </c>
      <c r="E426" s="29">
        <f>VLOOKUP($C426,청소코드!$C$4:$J$188,4,FALSE)</f>
        <v>1</v>
      </c>
      <c r="F426" s="29" t="s">
        <v>523</v>
      </c>
      <c r="G426" s="29"/>
      <c r="H426" s="29"/>
      <c r="I426" s="29" t="s">
        <v>431</v>
      </c>
      <c r="J426" s="47">
        <f t="shared" si="15"/>
        <v>18000</v>
      </c>
      <c r="K426" s="29">
        <f>VLOOKUP($C426,청소코드!$C$4:$J$188,8,FALSE)</f>
        <v>18000</v>
      </c>
      <c r="L426" s="32"/>
      <c r="M426" s="31"/>
      <c r="N426" s="32"/>
      <c r="O426" s="32"/>
    </row>
    <row r="427" spans="1:15" ht="12.75" customHeight="1">
      <c r="A427" s="30">
        <v>46081</v>
      </c>
      <c r="B427" s="29" t="str">
        <f t="shared" si="16"/>
        <v>토</v>
      </c>
      <c r="C427" s="29" t="s">
        <v>538</v>
      </c>
      <c r="D427" s="29" t="str">
        <f>VLOOKUP($C427,청소코드!$C$4:$J$188,3,FALSE)</f>
        <v>더하임 306</v>
      </c>
      <c r="E427" s="29">
        <f>VLOOKUP($C427,청소코드!$C$4:$J$188,4,FALSE)</f>
        <v>1.5</v>
      </c>
      <c r="F427" s="29" t="s">
        <v>523</v>
      </c>
      <c r="G427" s="29"/>
      <c r="H427" s="29"/>
      <c r="I427" s="29" t="s">
        <v>431</v>
      </c>
      <c r="J427" s="47">
        <f t="shared" si="15"/>
        <v>20000</v>
      </c>
      <c r="K427" s="29">
        <f>VLOOKUP($C427,청소코드!$C$4:$J$188,8,FALSE)</f>
        <v>20000</v>
      </c>
      <c r="L427" s="32"/>
      <c r="M427" s="31"/>
      <c r="N427" s="32"/>
      <c r="O427" s="32"/>
    </row>
    <row r="428" spans="1:15" ht="12.75" customHeight="1">
      <c r="A428" s="30">
        <v>46081</v>
      </c>
      <c r="B428" s="29" t="str">
        <f t="shared" si="16"/>
        <v>토</v>
      </c>
      <c r="C428" s="29" t="s">
        <v>539</v>
      </c>
      <c r="D428" s="29" t="str">
        <f>VLOOKUP($C428,청소코드!$C$4:$J$188,3,FALSE)</f>
        <v>예건 202</v>
      </c>
      <c r="E428" s="29">
        <f>VLOOKUP($C428,청소코드!$C$4:$J$188,4,FALSE)</f>
        <v>1</v>
      </c>
      <c r="F428" s="29" t="s">
        <v>524</v>
      </c>
      <c r="G428" s="29" t="s">
        <v>546</v>
      </c>
      <c r="H428" s="29"/>
      <c r="I428" s="29" t="s">
        <v>431</v>
      </c>
      <c r="J428" s="47">
        <f t="shared" si="15"/>
        <v>18000</v>
      </c>
      <c r="K428" s="29">
        <f>VLOOKUP($C428,청소코드!$C$4:$J$188,8,FALSE)</f>
        <v>18000</v>
      </c>
      <c r="L428" s="32"/>
      <c r="M428" s="31"/>
      <c r="N428" s="32"/>
      <c r="O428" s="32"/>
    </row>
    <row r="429" spans="1:15" ht="12.75" customHeight="1">
      <c r="A429" s="30">
        <v>46081</v>
      </c>
      <c r="B429" s="29" t="str">
        <f t="shared" si="16"/>
        <v>토</v>
      </c>
      <c r="C429" s="29" t="s">
        <v>540</v>
      </c>
      <c r="D429" s="29" t="str">
        <f>VLOOKUP($C429,청소코드!$C$4:$J$188,3,FALSE)</f>
        <v>예건 205</v>
      </c>
      <c r="E429" s="29">
        <f>VLOOKUP($C429,청소코드!$C$4:$J$188,4,FALSE)</f>
        <v>1</v>
      </c>
      <c r="F429" s="29" t="s">
        <v>524</v>
      </c>
      <c r="G429" s="29"/>
      <c r="H429" s="29"/>
      <c r="I429" s="29" t="s">
        <v>431</v>
      </c>
      <c r="J429" s="47">
        <f t="shared" si="15"/>
        <v>18000</v>
      </c>
      <c r="K429" s="29">
        <f>VLOOKUP($C429,청소코드!$C$4:$J$188,8,FALSE)</f>
        <v>18000</v>
      </c>
      <c r="L429" s="32"/>
      <c r="M429" s="31"/>
      <c r="N429" s="32"/>
      <c r="O429" s="32"/>
    </row>
    <row r="430" spans="1:15" ht="12.75" customHeight="1">
      <c r="A430" s="30">
        <v>46081</v>
      </c>
      <c r="B430" s="29" t="str">
        <f t="shared" si="16"/>
        <v>토</v>
      </c>
      <c r="C430" s="29" t="s">
        <v>541</v>
      </c>
      <c r="D430" s="29" t="str">
        <f>VLOOKUP($C430,청소코드!$C$4:$J$188,3,FALSE)</f>
        <v>청광1차 1303</v>
      </c>
      <c r="E430" s="29">
        <f>VLOOKUP($C430,청소코드!$C$4:$J$188,4,FALSE)</f>
        <v>1</v>
      </c>
      <c r="F430" s="29" t="s">
        <v>530</v>
      </c>
      <c r="G430" s="29"/>
      <c r="H430" s="29"/>
      <c r="I430" s="29" t="s">
        <v>431</v>
      </c>
      <c r="J430" s="47">
        <f t="shared" si="15"/>
        <v>18000</v>
      </c>
      <c r="K430" s="29">
        <f>VLOOKUP($C430,청소코드!$C$4:$J$188,8,FALSE)</f>
        <v>18000</v>
      </c>
      <c r="L430" s="32"/>
      <c r="M430" s="31"/>
      <c r="N430" s="32"/>
      <c r="O430" s="32"/>
    </row>
    <row r="431" spans="1:15" ht="12.75" customHeight="1">
      <c r="A431" s="30">
        <v>46081</v>
      </c>
      <c r="B431" s="29" t="str">
        <f t="shared" si="16"/>
        <v>토</v>
      </c>
      <c r="C431" s="29" t="s">
        <v>542</v>
      </c>
      <c r="D431" s="29" t="str">
        <f>VLOOKUP($C431,청소코드!$C$4:$J$188,3,FALSE)</f>
        <v>청광3차 806</v>
      </c>
      <c r="E431" s="29">
        <f>VLOOKUP($C431,청소코드!$C$4:$J$188,4,FALSE)</f>
        <v>1</v>
      </c>
      <c r="F431" s="29" t="s">
        <v>527</v>
      </c>
      <c r="G431" s="29"/>
      <c r="H431" s="29"/>
      <c r="I431" s="29" t="s">
        <v>431</v>
      </c>
      <c r="J431" s="47">
        <f t="shared" si="15"/>
        <v>18000</v>
      </c>
      <c r="K431" s="29">
        <f>VLOOKUP($C431,청소코드!$C$4:$J$188,8,FALSE)</f>
        <v>18000</v>
      </c>
      <c r="L431" s="32"/>
      <c r="M431" s="31"/>
      <c r="N431" s="32"/>
      <c r="O431" s="32"/>
    </row>
    <row r="432" spans="1:15" ht="12.75" customHeight="1">
      <c r="A432" s="30">
        <v>46081</v>
      </c>
      <c r="B432" s="29" t="str">
        <f t="shared" si="16"/>
        <v>토</v>
      </c>
      <c r="C432" s="29" t="s">
        <v>543</v>
      </c>
      <c r="D432" s="29" t="str">
        <f>VLOOKUP($C432,청소코드!$C$4:$J$188,3,FALSE)</f>
        <v>강동QV 1604</v>
      </c>
      <c r="E432" s="29">
        <f>VLOOKUP($C432,청소코드!$C$4:$J$188,4,FALSE)</f>
        <v>1</v>
      </c>
      <c r="F432" s="29" t="s">
        <v>527</v>
      </c>
      <c r="G432" s="29"/>
      <c r="H432" s="29"/>
      <c r="I432" s="29" t="s">
        <v>431</v>
      </c>
      <c r="J432" s="47">
        <f t="shared" si="15"/>
        <v>18000</v>
      </c>
      <c r="K432" s="29">
        <f>VLOOKUP($C432,청소코드!$C$4:$J$188,8,FALSE)</f>
        <v>18000</v>
      </c>
      <c r="L432" s="32"/>
      <c r="M432" s="31"/>
      <c r="N432" s="32"/>
      <c r="O432" s="32"/>
    </row>
    <row r="433" spans="1:15" ht="12.75" customHeight="1">
      <c r="A433" s="30">
        <v>46081</v>
      </c>
      <c r="B433" s="29" t="str">
        <f t="shared" si="16"/>
        <v>토</v>
      </c>
      <c r="C433" s="29" t="s">
        <v>544</v>
      </c>
      <c r="D433" s="29" t="str">
        <f>VLOOKUP($C433,청소코드!$C$4:$J$188,3,FALSE)</f>
        <v>si 502</v>
      </c>
      <c r="E433" s="29">
        <f>VLOOKUP($C433,청소코드!$C$4:$J$188,4,FALSE)</f>
        <v>1</v>
      </c>
      <c r="F433" s="29" t="s">
        <v>545</v>
      </c>
      <c r="G433" s="29"/>
      <c r="H433" s="29"/>
      <c r="I433" s="29" t="s">
        <v>431</v>
      </c>
      <c r="J433" s="47">
        <f t="shared" si="15"/>
        <v>20000</v>
      </c>
      <c r="K433" s="29">
        <f>VLOOKUP($C433,청소코드!$C$4:$J$188,8,FALSE)</f>
        <v>20000</v>
      </c>
      <c r="L433" s="32"/>
      <c r="M433" s="31"/>
      <c r="N433" s="32"/>
      <c r="O433" s="32"/>
    </row>
    <row r="434" spans="1:15" ht="12.75" customHeight="1">
      <c r="A434" s="30">
        <v>46081</v>
      </c>
      <c r="B434" s="29" t="str">
        <f t="shared" si="16"/>
        <v>토</v>
      </c>
      <c r="C434" s="29" t="s">
        <v>522</v>
      </c>
      <c r="D434" s="29" t="str">
        <f>VLOOKUP($C434,청소코드!$C$4:$J$188,3,FALSE)</f>
        <v>하람휴 1001</v>
      </c>
      <c r="E434" s="29">
        <f>VLOOKUP($C434,청소코드!$C$4:$J$188,4,FALSE)</f>
        <v>2</v>
      </c>
      <c r="F434" s="29" t="s">
        <v>528</v>
      </c>
      <c r="G434" s="29"/>
      <c r="H434" s="29"/>
      <c r="I434" s="29" t="s">
        <v>431</v>
      </c>
      <c r="J434" s="47">
        <f t="shared" ref="J434:J465" si="17">SUM(K434:O434)</f>
        <v>23000</v>
      </c>
      <c r="K434" s="29">
        <f>VLOOKUP($C434,청소코드!$C$4:$J$188,8,FALSE)</f>
        <v>23000</v>
      </c>
      <c r="L434" s="32"/>
      <c r="M434" s="31"/>
      <c r="N434" s="32"/>
      <c r="O434" s="32"/>
    </row>
    <row r="435" spans="1:15" ht="12.75" customHeight="1">
      <c r="A435" s="30">
        <v>46081</v>
      </c>
      <c r="B435" s="29" t="str">
        <f t="shared" si="16"/>
        <v>토</v>
      </c>
      <c r="C435" s="29" t="s">
        <v>529</v>
      </c>
      <c r="D435" s="29" t="str">
        <f>VLOOKUP($C435,청소코드!$C$4:$J$188,3,FALSE)</f>
        <v>청광1차 207</v>
      </c>
      <c r="E435" s="29">
        <f>VLOOKUP($C435,청소코드!$C$4:$J$188,4,FALSE)</f>
        <v>0</v>
      </c>
      <c r="F435" s="29" t="s">
        <v>528</v>
      </c>
      <c r="G435" s="29"/>
      <c r="H435" s="29"/>
      <c r="I435" s="29" t="s">
        <v>431</v>
      </c>
      <c r="J435" s="47">
        <f t="shared" si="17"/>
        <v>10000</v>
      </c>
      <c r="K435" s="29">
        <f>VLOOKUP($C435,청소코드!$C$4:$J$188,8,FALSE)</f>
        <v>10000</v>
      </c>
      <c r="L435" s="32"/>
      <c r="M435" s="31"/>
      <c r="N435" s="32"/>
      <c r="O435" s="32"/>
    </row>
    <row r="436" spans="1:15" ht="12.75" customHeight="1">
      <c r="A436" s="49">
        <v>46082</v>
      </c>
      <c r="B436" s="50" t="str">
        <f t="shared" si="16"/>
        <v>일</v>
      </c>
      <c r="C436" s="29" t="s">
        <v>540</v>
      </c>
      <c r="D436" s="29" t="str">
        <f>VLOOKUP($C436,청소코드!$C$4:$J$188,3,FALSE)</f>
        <v>예건 205</v>
      </c>
      <c r="E436" s="29">
        <f>VLOOKUP($C436,청소코드!$C$4:$J$188,4,FALSE)</f>
        <v>1</v>
      </c>
      <c r="F436" s="29" t="s">
        <v>524</v>
      </c>
      <c r="G436" s="29"/>
      <c r="H436" s="29"/>
      <c r="I436" s="29" t="s">
        <v>431</v>
      </c>
      <c r="J436" s="47">
        <f t="shared" si="17"/>
        <v>18000</v>
      </c>
      <c r="K436" s="29">
        <f>VLOOKUP($C436,청소코드!$C$4:$J$188,8,FALSE)</f>
        <v>18000</v>
      </c>
      <c r="L436" s="32"/>
      <c r="M436" s="31"/>
      <c r="N436" s="32"/>
      <c r="O436" s="32"/>
    </row>
    <row r="437" spans="1:15" ht="12.75" customHeight="1">
      <c r="A437" s="30">
        <v>46082</v>
      </c>
      <c r="B437" s="29" t="str">
        <f t="shared" si="16"/>
        <v>일</v>
      </c>
      <c r="C437" s="29" t="s">
        <v>543</v>
      </c>
      <c r="D437" s="29" t="str">
        <f>VLOOKUP($C437,청소코드!$C$4:$J$188,3,FALSE)</f>
        <v>강동QV 1604</v>
      </c>
      <c r="E437" s="29">
        <f>VLOOKUP($C437,청소코드!$C$4:$J$188,4,FALSE)</f>
        <v>1</v>
      </c>
      <c r="F437" s="29" t="s">
        <v>524</v>
      </c>
      <c r="G437" s="29"/>
      <c r="H437" s="29"/>
      <c r="I437" s="29" t="s">
        <v>431</v>
      </c>
      <c r="J437" s="47">
        <f t="shared" si="17"/>
        <v>18000</v>
      </c>
      <c r="K437" s="29">
        <f>VLOOKUP($C437,청소코드!$C$4:$J$188,8,FALSE)</f>
        <v>18000</v>
      </c>
      <c r="L437" s="32"/>
      <c r="M437" s="31"/>
      <c r="N437" s="32"/>
      <c r="O437" s="32"/>
    </row>
    <row r="438" spans="1:15" ht="12.75" customHeight="1">
      <c r="A438" s="30">
        <v>46082</v>
      </c>
      <c r="B438" s="29" t="str">
        <f t="shared" si="16"/>
        <v>일</v>
      </c>
      <c r="C438" s="29" t="s">
        <v>515</v>
      </c>
      <c r="D438" s="29" t="str">
        <f>VLOOKUP($C438,청소코드!$C$4:$J$188,3,FALSE)</f>
        <v>센텀 2차 406</v>
      </c>
      <c r="E438" s="29">
        <f>VLOOKUP($C438,청소코드!$C$4:$J$188,4,FALSE)</f>
        <v>1.5</v>
      </c>
      <c r="F438" s="29" t="s">
        <v>526</v>
      </c>
      <c r="G438" s="29"/>
      <c r="H438" s="29"/>
      <c r="I438" s="29" t="s">
        <v>431</v>
      </c>
      <c r="J438" s="47">
        <f t="shared" si="17"/>
        <v>20000</v>
      </c>
      <c r="K438" s="29">
        <f>VLOOKUP($C438,청소코드!$C$4:$J$188,8,FALSE)</f>
        <v>20000</v>
      </c>
      <c r="L438" s="32"/>
      <c r="M438" s="31"/>
      <c r="N438" s="32"/>
      <c r="O438" s="32"/>
    </row>
    <row r="439" spans="1:15" ht="12.75" customHeight="1">
      <c r="A439" s="30">
        <v>46082</v>
      </c>
      <c r="B439" s="29" t="str">
        <f t="shared" si="16"/>
        <v>일</v>
      </c>
      <c r="C439" s="29" t="s">
        <v>547</v>
      </c>
      <c r="D439" s="29" t="str">
        <f>VLOOKUP($C439,청소코드!$C$4:$J$188,3,FALSE)</f>
        <v>더하임 1005</v>
      </c>
      <c r="E439" s="29">
        <f>VLOOKUP($C439,청소코드!$C$4:$J$188,4,FALSE)</f>
        <v>1</v>
      </c>
      <c r="F439" s="29" t="s">
        <v>526</v>
      </c>
      <c r="G439" s="29"/>
      <c r="H439" s="29"/>
      <c r="I439" s="29" t="s">
        <v>431</v>
      </c>
      <c r="J439" s="47">
        <f t="shared" si="17"/>
        <v>18000</v>
      </c>
      <c r="K439" s="29">
        <f>VLOOKUP($C439,청소코드!$C$4:$J$188,8,FALSE)</f>
        <v>18000</v>
      </c>
      <c r="L439" s="32"/>
      <c r="M439" s="31"/>
      <c r="N439" s="32"/>
      <c r="O439" s="32"/>
    </row>
    <row r="440" spans="1:15" ht="12.75" customHeight="1">
      <c r="A440" s="30">
        <v>46082</v>
      </c>
      <c r="B440" s="29" t="str">
        <f t="shared" ref="B440:B471" si="18">TEXT(A440,"aaa")</f>
        <v>일</v>
      </c>
      <c r="C440" s="29" t="s">
        <v>517</v>
      </c>
      <c r="D440" s="29" t="str">
        <f>VLOOKUP($C440,청소코드!$C$4:$J$188,3,FALSE)</f>
        <v>오앤 401</v>
      </c>
      <c r="E440" s="29">
        <f>VLOOKUP($C440,청소코드!$C$4:$J$188,4,FALSE)</f>
        <v>1</v>
      </c>
      <c r="F440" s="29" t="s">
        <v>426</v>
      </c>
      <c r="G440" s="29"/>
      <c r="H440" s="29"/>
      <c r="I440" s="29" t="s">
        <v>553</v>
      </c>
      <c r="J440" s="47">
        <f t="shared" si="17"/>
        <v>18000</v>
      </c>
      <c r="K440" s="29">
        <f>VLOOKUP($C440,청소코드!$C$4:$J$188,8,FALSE)</f>
        <v>18000</v>
      </c>
      <c r="L440" s="32"/>
      <c r="M440" s="31"/>
      <c r="N440" s="32"/>
      <c r="O440" s="32"/>
    </row>
    <row r="441" spans="1:15" ht="12.75" customHeight="1">
      <c r="A441" s="30">
        <v>46082</v>
      </c>
      <c r="B441" s="29" t="str">
        <f t="shared" si="18"/>
        <v>일</v>
      </c>
      <c r="C441" s="29" t="s">
        <v>521</v>
      </c>
      <c r="D441" s="29" t="str">
        <f>VLOOKUP($C441,청소코드!$C$4:$J$188,3,FALSE)</f>
        <v>르센티 1801</v>
      </c>
      <c r="E441" s="29" t="str">
        <f>VLOOKUP($C441,청소코드!$C$4:$J$188,4,FALSE)</f>
        <v>복</v>
      </c>
      <c r="F441" s="29" t="s">
        <v>527</v>
      </c>
      <c r="G441" s="29"/>
      <c r="H441" s="29"/>
      <c r="I441" s="29" t="s">
        <v>431</v>
      </c>
      <c r="J441" s="47">
        <f t="shared" si="17"/>
        <v>20000</v>
      </c>
      <c r="K441" s="29">
        <f>VLOOKUP($C441,청소코드!$C$4:$J$188,8,FALSE)</f>
        <v>20000</v>
      </c>
      <c r="L441" s="32"/>
      <c r="M441" s="31"/>
      <c r="N441" s="32"/>
      <c r="O441" s="32"/>
    </row>
    <row r="442" spans="1:15" ht="12.75" customHeight="1">
      <c r="A442" s="30">
        <v>46082</v>
      </c>
      <c r="B442" s="29" t="str">
        <f t="shared" si="18"/>
        <v>일</v>
      </c>
      <c r="C442" s="29" t="s">
        <v>542</v>
      </c>
      <c r="D442" s="29" t="str">
        <f>VLOOKUP($C442,청소코드!$C$4:$J$188,3,FALSE)</f>
        <v>청광3차 806</v>
      </c>
      <c r="E442" s="29">
        <f>VLOOKUP($C442,청소코드!$C$4:$J$188,4,FALSE)</f>
        <v>1</v>
      </c>
      <c r="F442" s="29" t="s">
        <v>527</v>
      </c>
      <c r="G442" s="29"/>
      <c r="H442" s="29"/>
      <c r="I442" s="29" t="s">
        <v>431</v>
      </c>
      <c r="J442" s="47">
        <f t="shared" si="17"/>
        <v>18000</v>
      </c>
      <c r="K442" s="29">
        <f>VLOOKUP($C442,청소코드!$C$4:$J$188,8,FALSE)</f>
        <v>18000</v>
      </c>
      <c r="L442" s="32"/>
      <c r="M442" s="31"/>
      <c r="N442" s="32"/>
      <c r="O442" s="32"/>
    </row>
    <row r="443" spans="1:15" ht="12.75" customHeight="1">
      <c r="A443" s="30">
        <v>46082</v>
      </c>
      <c r="B443" s="29" t="str">
        <f t="shared" si="18"/>
        <v>일</v>
      </c>
      <c r="C443" s="29" t="s">
        <v>541</v>
      </c>
      <c r="D443" s="29" t="str">
        <f>VLOOKUP($C443,청소코드!$C$4:$J$188,3,FALSE)</f>
        <v>청광1차 1303</v>
      </c>
      <c r="E443" s="29">
        <f>VLOOKUP($C443,청소코드!$C$4:$J$188,4,FALSE)</f>
        <v>1</v>
      </c>
      <c r="F443" s="29" t="s">
        <v>551</v>
      </c>
      <c r="G443" s="29"/>
      <c r="H443" s="29"/>
      <c r="I443" s="29" t="s">
        <v>431</v>
      </c>
      <c r="J443" s="47">
        <f t="shared" si="17"/>
        <v>18000</v>
      </c>
      <c r="K443" s="29">
        <f>VLOOKUP($C443,청소코드!$C$4:$J$188,8,FALSE)</f>
        <v>18000</v>
      </c>
      <c r="L443" s="32"/>
      <c r="M443" s="31"/>
      <c r="N443" s="32"/>
      <c r="O443" s="32"/>
    </row>
    <row r="444" spans="1:15" ht="12.75" customHeight="1">
      <c r="A444" s="30">
        <v>46082</v>
      </c>
      <c r="B444" s="29" t="str">
        <f t="shared" si="18"/>
        <v>일</v>
      </c>
      <c r="C444" s="29" t="s">
        <v>548</v>
      </c>
      <c r="D444" s="29" t="str">
        <f>VLOOKUP($C444,청소코드!$C$4:$J$188,3,FALSE)</f>
        <v>태상 501</v>
      </c>
      <c r="E444" s="29">
        <f>VLOOKUP($C444,청소코드!$C$4:$J$188,4,FALSE)</f>
        <v>2</v>
      </c>
      <c r="F444" s="29" t="s">
        <v>551</v>
      </c>
      <c r="G444" s="29"/>
      <c r="H444" s="29"/>
      <c r="I444" s="29" t="s">
        <v>431</v>
      </c>
      <c r="J444" s="47">
        <f t="shared" si="17"/>
        <v>23000</v>
      </c>
      <c r="K444" s="29">
        <f>VLOOKUP($C444,청소코드!$C$4:$J$188,8,FALSE)</f>
        <v>23000</v>
      </c>
      <c r="L444" s="32"/>
      <c r="M444" s="31"/>
      <c r="N444" s="32"/>
      <c r="O444" s="32"/>
    </row>
    <row r="445" spans="1:15" ht="12.75" customHeight="1">
      <c r="A445" s="30">
        <v>46082</v>
      </c>
      <c r="B445" s="29" t="str">
        <f t="shared" si="18"/>
        <v>일</v>
      </c>
      <c r="C445" s="29" t="s">
        <v>544</v>
      </c>
      <c r="D445" s="29" t="str">
        <f>VLOOKUP($C445,청소코드!$C$4:$J$188,3,FALSE)</f>
        <v>si 502</v>
      </c>
      <c r="E445" s="29">
        <f>VLOOKUP($C445,청소코드!$C$4:$J$188,4,FALSE)</f>
        <v>1</v>
      </c>
      <c r="F445" s="29" t="s">
        <v>545</v>
      </c>
      <c r="G445" s="29"/>
      <c r="H445" s="29"/>
      <c r="I445" s="29" t="s">
        <v>431</v>
      </c>
      <c r="J445" s="47">
        <f t="shared" si="17"/>
        <v>20000</v>
      </c>
      <c r="K445" s="29">
        <f>VLOOKUP($C445,청소코드!$C$4:$J$188,8,FALSE)</f>
        <v>20000</v>
      </c>
      <c r="L445" s="32"/>
      <c r="M445" s="31"/>
      <c r="N445" s="32"/>
      <c r="O445" s="32"/>
    </row>
    <row r="446" spans="1:15" ht="12.75" customHeight="1">
      <c r="A446" s="30">
        <v>46082</v>
      </c>
      <c r="B446" s="29" t="str">
        <f t="shared" si="18"/>
        <v>일</v>
      </c>
      <c r="C446" s="29" t="s">
        <v>516</v>
      </c>
      <c r="D446" s="29" t="str">
        <f>VLOOKUP($C446,청소코드!$C$4:$J$188,3,FALSE)</f>
        <v>si 602</v>
      </c>
      <c r="E446" s="29">
        <f>VLOOKUP($C446,청소코드!$C$4:$J$188,4,FALSE)</f>
        <v>1</v>
      </c>
      <c r="F446" s="29" t="s">
        <v>545</v>
      </c>
      <c r="G446" s="29" t="s">
        <v>552</v>
      </c>
      <c r="H446" s="29"/>
      <c r="I446" s="29" t="s">
        <v>431</v>
      </c>
      <c r="J446" s="47">
        <f t="shared" si="17"/>
        <v>20000</v>
      </c>
      <c r="K446" s="29">
        <f>VLOOKUP($C446,청소코드!$C$4:$J$188,8,FALSE)</f>
        <v>20000</v>
      </c>
      <c r="L446" s="32"/>
      <c r="M446" s="31"/>
      <c r="N446" s="32"/>
      <c r="O446" s="32"/>
    </row>
    <row r="447" spans="1:15" ht="12.75" customHeight="1">
      <c r="A447" s="30">
        <v>46082</v>
      </c>
      <c r="B447" s="29" t="str">
        <f t="shared" si="18"/>
        <v>일</v>
      </c>
      <c r="C447" s="29" t="s">
        <v>522</v>
      </c>
      <c r="D447" s="29" t="str">
        <f>VLOOKUP($C447,청소코드!$C$4:$J$188,3,FALSE)</f>
        <v>하람휴 1001</v>
      </c>
      <c r="E447" s="29">
        <f>VLOOKUP($C447,청소코드!$C$4:$J$188,4,FALSE)</f>
        <v>2</v>
      </c>
      <c r="F447" s="29" t="s">
        <v>528</v>
      </c>
      <c r="G447" s="29"/>
      <c r="H447" s="29"/>
      <c r="I447" s="29" t="s">
        <v>431</v>
      </c>
      <c r="J447" s="47">
        <f t="shared" si="17"/>
        <v>23000</v>
      </c>
      <c r="K447" s="29">
        <f>VLOOKUP($C447,청소코드!$C$4:$J$188,8,FALSE)</f>
        <v>23000</v>
      </c>
      <c r="L447" s="32"/>
      <c r="M447" s="31"/>
      <c r="N447" s="32"/>
      <c r="O447" s="32"/>
    </row>
    <row r="448" spans="1:15" ht="12.75" customHeight="1">
      <c r="A448" s="30">
        <v>46082</v>
      </c>
      <c r="B448" s="29" t="str">
        <f t="shared" si="18"/>
        <v>일</v>
      </c>
      <c r="C448" s="29" t="s">
        <v>549</v>
      </c>
      <c r="D448" s="29" t="str">
        <f>VLOOKUP($C448,청소코드!$C$4:$J$188,3,FALSE)</f>
        <v>대치동 101호</v>
      </c>
      <c r="E448" s="29">
        <f>VLOOKUP($C448,청소코드!$C$4:$J$188,4,FALSE)</f>
        <v>2</v>
      </c>
      <c r="F448" s="29" t="s">
        <v>525</v>
      </c>
      <c r="G448" s="29"/>
      <c r="H448" s="29"/>
      <c r="I448" s="29" t="s">
        <v>431</v>
      </c>
      <c r="J448" s="47">
        <f t="shared" si="17"/>
        <v>23000</v>
      </c>
      <c r="K448" s="29">
        <f>VLOOKUP($C448,청소코드!$C$4:$J$188,8,FALSE)</f>
        <v>23000</v>
      </c>
      <c r="L448" s="32"/>
      <c r="M448" s="31"/>
      <c r="N448" s="32"/>
      <c r="O448" s="32"/>
    </row>
    <row r="449" spans="1:15" ht="12.75" customHeight="1">
      <c r="A449" s="30">
        <v>46082</v>
      </c>
      <c r="B449" s="29" t="str">
        <f t="shared" si="18"/>
        <v>일</v>
      </c>
      <c r="C449" s="29" t="s">
        <v>550</v>
      </c>
      <c r="D449" s="29" t="str">
        <f>VLOOKUP($C449,청소코드!$C$4:$J$188,3,FALSE)</f>
        <v>대치동 102호</v>
      </c>
      <c r="E449" s="29">
        <f>VLOOKUP($C449,청소코드!$C$4:$J$188,4,FALSE)</f>
        <v>1</v>
      </c>
      <c r="F449" s="29" t="s">
        <v>525</v>
      </c>
      <c r="G449" s="29"/>
      <c r="H449" s="29"/>
      <c r="I449" s="29" t="s">
        <v>431</v>
      </c>
      <c r="J449" s="47">
        <f t="shared" si="17"/>
        <v>18000</v>
      </c>
      <c r="K449" s="29">
        <f>VLOOKUP($C449,청소코드!$C$4:$J$188,8,FALSE)</f>
        <v>18000</v>
      </c>
      <c r="L449" s="32"/>
      <c r="M449" s="31"/>
      <c r="N449" s="32"/>
      <c r="O449" s="32"/>
    </row>
    <row r="450" spans="1:15" ht="12.75" customHeight="1">
      <c r="A450" s="30">
        <v>46082</v>
      </c>
      <c r="B450" s="29" t="str">
        <f t="shared" si="18"/>
        <v>일</v>
      </c>
      <c r="C450" s="29" t="s">
        <v>529</v>
      </c>
      <c r="D450" s="29" t="str">
        <f>VLOOKUP($C450,청소코드!$C$4:$J$188,3,FALSE)</f>
        <v>청광1차 207</v>
      </c>
      <c r="E450" s="29">
        <f>VLOOKUP($C450,청소코드!$C$4:$J$188,4,FALSE)</f>
        <v>0</v>
      </c>
      <c r="F450" s="29" t="s">
        <v>530</v>
      </c>
      <c r="G450" s="29"/>
      <c r="H450" s="29"/>
      <c r="I450" s="29" t="s">
        <v>431</v>
      </c>
      <c r="J450" s="47">
        <f t="shared" si="17"/>
        <v>10000</v>
      </c>
      <c r="K450" s="29">
        <f>VLOOKUP($C450,청소코드!$C$4:$J$188,8,FALSE)</f>
        <v>10000</v>
      </c>
      <c r="L450" s="32"/>
      <c r="M450" s="31"/>
      <c r="N450" s="32"/>
      <c r="O450" s="32"/>
    </row>
    <row r="451" spans="1:15" ht="12.75" customHeight="1">
      <c r="A451" s="60">
        <v>46083</v>
      </c>
      <c r="B451" s="61" t="str">
        <f t="shared" si="18"/>
        <v>월</v>
      </c>
      <c r="C451" s="29" t="s">
        <v>554</v>
      </c>
      <c r="D451" s="29" t="str">
        <f>VLOOKUP($C451,청소코드!$C$4:$J$188,3,FALSE)</f>
        <v>센텀 2차 406</v>
      </c>
      <c r="E451" s="29">
        <f>VLOOKUP($C451,청소코드!$C$4:$J$188,4,FALSE)</f>
        <v>1.5</v>
      </c>
      <c r="F451" s="29" t="s">
        <v>576</v>
      </c>
      <c r="G451" s="29"/>
      <c r="H451" s="29"/>
      <c r="I451" s="29" t="s">
        <v>584</v>
      </c>
      <c r="J451" s="47">
        <f t="shared" si="17"/>
        <v>20000</v>
      </c>
      <c r="K451" s="29">
        <f>VLOOKUP($C451,청소코드!$C$4:$J$188,8,FALSE)</f>
        <v>20000</v>
      </c>
      <c r="L451" s="32"/>
      <c r="M451" s="31"/>
      <c r="N451" s="32"/>
      <c r="O451" s="32"/>
    </row>
    <row r="452" spans="1:15" ht="12.75" customHeight="1">
      <c r="A452" s="30">
        <v>46083</v>
      </c>
      <c r="B452" s="29" t="str">
        <f t="shared" si="18"/>
        <v>월</v>
      </c>
      <c r="C452" s="29" t="s">
        <v>555</v>
      </c>
      <c r="D452" s="29" t="str">
        <f>VLOOKUP($C452,청소코드!$C$4:$J$188,3,FALSE)</f>
        <v>센텀 2차 501</v>
      </c>
      <c r="E452" s="29">
        <f>VLOOKUP($C452,청소코드!$C$4:$J$188,4,FALSE)</f>
        <v>1.5</v>
      </c>
      <c r="F452" s="29" t="s">
        <v>576</v>
      </c>
      <c r="G452" s="29"/>
      <c r="H452" s="29"/>
      <c r="I452" s="29" t="s">
        <v>431</v>
      </c>
      <c r="J452" s="47">
        <f t="shared" si="17"/>
        <v>20000</v>
      </c>
      <c r="K452" s="29">
        <f>VLOOKUP($C452,청소코드!$C$4:$J$188,8,FALSE)</f>
        <v>20000</v>
      </c>
      <c r="L452" s="32"/>
      <c r="M452" s="31"/>
      <c r="N452" s="32"/>
      <c r="O452" s="32"/>
    </row>
    <row r="453" spans="1:15" ht="12.75" customHeight="1">
      <c r="A453" s="30">
        <v>46083</v>
      </c>
      <c r="B453" s="29" t="str">
        <f t="shared" si="18"/>
        <v>월</v>
      </c>
      <c r="C453" s="29" t="s">
        <v>556</v>
      </c>
      <c r="D453" s="29" t="str">
        <f>VLOOKUP($C453,청소코드!$C$4:$J$188,3,FALSE)</f>
        <v>센텀 2차 606</v>
      </c>
      <c r="E453" s="29">
        <f>VLOOKUP($C453,청소코드!$C$4:$J$188,4,FALSE)</f>
        <v>1.5</v>
      </c>
      <c r="F453" s="29" t="s">
        <v>576</v>
      </c>
      <c r="G453" s="29"/>
      <c r="H453" s="29"/>
      <c r="I453" s="29" t="s">
        <v>431</v>
      </c>
      <c r="J453" s="47">
        <f t="shared" si="17"/>
        <v>20000</v>
      </c>
      <c r="K453" s="29">
        <f>VLOOKUP($C453,청소코드!$C$4:$J$188,8,FALSE)</f>
        <v>20000</v>
      </c>
      <c r="L453" s="32"/>
      <c r="M453" s="31"/>
      <c r="N453" s="32"/>
      <c r="O453" s="32"/>
    </row>
    <row r="454" spans="1:15" ht="12.75" customHeight="1">
      <c r="A454" s="30">
        <v>46083</v>
      </c>
      <c r="B454" s="29" t="str">
        <f t="shared" si="18"/>
        <v>월</v>
      </c>
      <c r="C454" s="29" t="s">
        <v>557</v>
      </c>
      <c r="D454" s="29" t="str">
        <f>VLOOKUP($C454,청소코드!$C$4:$J$188,3,FALSE)</f>
        <v>청광3차 806</v>
      </c>
      <c r="E454" s="29">
        <f>VLOOKUP($C454,청소코드!$C$4:$J$188,4,FALSE)</f>
        <v>1</v>
      </c>
      <c r="F454" s="29" t="s">
        <v>577</v>
      </c>
      <c r="G454" s="29"/>
      <c r="H454" s="29"/>
      <c r="I454" s="29" t="s">
        <v>431</v>
      </c>
      <c r="J454" s="47">
        <f t="shared" si="17"/>
        <v>18000</v>
      </c>
      <c r="K454" s="29">
        <f>VLOOKUP($C454,청소코드!$C$4:$J$188,8,FALSE)</f>
        <v>18000</v>
      </c>
      <c r="L454" s="32"/>
      <c r="M454" s="31"/>
      <c r="N454" s="32"/>
      <c r="O454" s="32"/>
    </row>
    <row r="455" spans="1:15" ht="12.75" customHeight="1">
      <c r="A455" s="30">
        <v>46083</v>
      </c>
      <c r="B455" s="29" t="str">
        <f t="shared" si="18"/>
        <v>월</v>
      </c>
      <c r="C455" s="29" t="s">
        <v>558</v>
      </c>
      <c r="D455" s="29" t="str">
        <f>VLOOKUP($C455,청소코드!$C$4:$J$188,3,FALSE)</f>
        <v>강동QV 1604</v>
      </c>
      <c r="E455" s="29">
        <f>VLOOKUP($C455,청소코드!$C$4:$J$188,4,FALSE)</f>
        <v>1</v>
      </c>
      <c r="F455" s="29" t="s">
        <v>577</v>
      </c>
      <c r="G455" s="29"/>
      <c r="H455" s="29"/>
      <c r="I455" s="29" t="s">
        <v>431</v>
      </c>
      <c r="J455" s="47">
        <f t="shared" si="17"/>
        <v>18000</v>
      </c>
      <c r="K455" s="29">
        <f>VLOOKUP($C455,청소코드!$C$4:$J$188,8,FALSE)</f>
        <v>18000</v>
      </c>
      <c r="L455" s="32"/>
      <c r="M455" s="31"/>
      <c r="N455" s="32"/>
      <c r="O455" s="32"/>
    </row>
    <row r="456" spans="1:15" ht="12.75" customHeight="1">
      <c r="A456" s="30">
        <v>46083</v>
      </c>
      <c r="B456" s="29" t="str">
        <f t="shared" si="18"/>
        <v>월</v>
      </c>
      <c r="C456" s="29" t="s">
        <v>559</v>
      </c>
      <c r="D456" s="29" t="str">
        <f>VLOOKUP($C456,청소코드!$C$4:$J$188,3,FALSE)</f>
        <v>예건 205</v>
      </c>
      <c r="E456" s="29">
        <f>VLOOKUP($C456,청소코드!$C$4:$J$188,4,FALSE)</f>
        <v>1</v>
      </c>
      <c r="F456" s="29" t="s">
        <v>578</v>
      </c>
      <c r="G456" s="29"/>
      <c r="H456" s="29"/>
      <c r="I456" s="29" t="s">
        <v>431</v>
      </c>
      <c r="J456" s="47">
        <f t="shared" si="17"/>
        <v>18000</v>
      </c>
      <c r="K456" s="29">
        <f>VLOOKUP($C456,청소코드!$C$4:$J$188,8,FALSE)</f>
        <v>18000</v>
      </c>
      <c r="L456" s="32"/>
      <c r="M456" s="31"/>
      <c r="N456" s="32"/>
      <c r="O456" s="32"/>
    </row>
    <row r="457" spans="1:15" ht="12.75" customHeight="1">
      <c r="A457" s="30">
        <v>46083</v>
      </c>
      <c r="B457" s="29" t="str">
        <f t="shared" si="18"/>
        <v>월</v>
      </c>
      <c r="C457" s="29" t="s">
        <v>560</v>
      </c>
      <c r="D457" s="29" t="str">
        <f>VLOOKUP($C457,청소코드!$C$4:$J$188,3,FALSE)</f>
        <v>은성 603</v>
      </c>
      <c r="E457" s="29">
        <f>VLOOKUP($C457,청소코드!$C$4:$J$188,4,FALSE)</f>
        <v>1</v>
      </c>
      <c r="F457" s="29" t="s">
        <v>578</v>
      </c>
      <c r="G457" s="29"/>
      <c r="H457" s="29"/>
      <c r="I457" s="29" t="s">
        <v>431</v>
      </c>
      <c r="J457" s="47">
        <f t="shared" si="17"/>
        <v>18000</v>
      </c>
      <c r="K457" s="29">
        <f>VLOOKUP($C457,청소코드!$C$4:$J$188,8,FALSE)</f>
        <v>18000</v>
      </c>
      <c r="L457" s="32"/>
      <c r="M457" s="31"/>
      <c r="N457" s="32"/>
      <c r="O457" s="32"/>
    </row>
    <row r="458" spans="1:15" ht="12.75" customHeight="1">
      <c r="A458" s="30">
        <v>46083</v>
      </c>
      <c r="B458" s="29" t="str">
        <f t="shared" si="18"/>
        <v>월</v>
      </c>
      <c r="C458" s="29" t="s">
        <v>561</v>
      </c>
      <c r="D458" s="29" t="str">
        <f>VLOOKUP($C458,청소코드!$C$4:$J$188,3,FALSE)</f>
        <v>동구햇살 1203</v>
      </c>
      <c r="E458" s="29" t="str">
        <f>VLOOKUP($C458,청소코드!$C$4:$J$188,4,FALSE)</f>
        <v>복</v>
      </c>
      <c r="F458" s="29" t="s">
        <v>578</v>
      </c>
      <c r="G458" s="29"/>
      <c r="H458" s="29"/>
      <c r="I458" s="29" t="s">
        <v>431</v>
      </c>
      <c r="J458" s="47">
        <f t="shared" si="17"/>
        <v>20000</v>
      </c>
      <c r="K458" s="29">
        <f>VLOOKUP($C458,청소코드!$C$4:$J$188,8,FALSE)</f>
        <v>20000</v>
      </c>
      <c r="L458" s="32"/>
      <c r="M458" s="31"/>
      <c r="N458" s="32"/>
      <c r="O458" s="32"/>
    </row>
    <row r="459" spans="1:15" ht="12.75" customHeight="1">
      <c r="A459" s="30">
        <v>46083</v>
      </c>
      <c r="B459" s="29" t="str">
        <f t="shared" si="18"/>
        <v>월</v>
      </c>
      <c r="C459" s="29" t="s">
        <v>562</v>
      </c>
      <c r="D459" s="29" t="str">
        <f>VLOOKUP($C459,청소코드!$C$4:$J$188,3,FALSE)</f>
        <v>더하임 1004</v>
      </c>
      <c r="E459" s="29">
        <f>VLOOKUP($C459,청소코드!$C$4:$J$188,4,FALSE)</f>
        <v>1</v>
      </c>
      <c r="F459" s="29" t="s">
        <v>579</v>
      </c>
      <c r="G459" s="29"/>
      <c r="H459" s="29"/>
      <c r="I459" s="29" t="s">
        <v>431</v>
      </c>
      <c r="J459" s="47">
        <f t="shared" si="17"/>
        <v>18000</v>
      </c>
      <c r="K459" s="29">
        <f>VLOOKUP($C459,청소코드!$C$4:$J$188,8,FALSE)</f>
        <v>18000</v>
      </c>
      <c r="L459" s="32"/>
      <c r="M459" s="31"/>
      <c r="N459" s="32"/>
      <c r="O459" s="32"/>
    </row>
    <row r="460" spans="1:15" ht="12.75" customHeight="1">
      <c r="A460" s="30">
        <v>46083</v>
      </c>
      <c r="B460" s="29" t="str">
        <f t="shared" si="18"/>
        <v>월</v>
      </c>
      <c r="C460" s="29" t="s">
        <v>563</v>
      </c>
      <c r="D460" s="29" t="str">
        <f>VLOOKUP($C460,청소코드!$C$4:$J$188,3,FALSE)</f>
        <v>더하임 1005</v>
      </c>
      <c r="E460" s="29">
        <f>VLOOKUP($C460,청소코드!$C$4:$J$188,4,FALSE)</f>
        <v>1</v>
      </c>
      <c r="F460" s="29" t="s">
        <v>579</v>
      </c>
      <c r="G460" s="29"/>
      <c r="H460" s="29"/>
      <c r="I460" s="29" t="s">
        <v>431</v>
      </c>
      <c r="J460" s="47">
        <f t="shared" si="17"/>
        <v>18000</v>
      </c>
      <c r="K460" s="29">
        <f>VLOOKUP($C460,청소코드!$C$4:$J$188,8,FALSE)</f>
        <v>18000</v>
      </c>
      <c r="L460" s="32"/>
      <c r="M460" s="31"/>
      <c r="N460" s="32"/>
      <c r="O460" s="32"/>
    </row>
    <row r="461" spans="1:15" ht="12.75" customHeight="1">
      <c r="A461" s="30">
        <v>46083</v>
      </c>
      <c r="B461" s="29" t="str">
        <f t="shared" si="18"/>
        <v>월</v>
      </c>
      <c r="C461" s="29" t="s">
        <v>564</v>
      </c>
      <c r="D461" s="29" t="str">
        <f>VLOOKUP($C461,청소코드!$C$4:$J$188,3,FALSE)</f>
        <v>더하임 204</v>
      </c>
      <c r="E461" s="29">
        <f>VLOOKUP($C461,청소코드!$C$4:$J$188,4,FALSE)</f>
        <v>1</v>
      </c>
      <c r="F461" s="29" t="s">
        <v>579</v>
      </c>
      <c r="G461" s="29"/>
      <c r="H461" s="29"/>
      <c r="I461" s="29" t="s">
        <v>431</v>
      </c>
      <c r="J461" s="47">
        <f t="shared" si="17"/>
        <v>18000</v>
      </c>
      <c r="K461" s="29">
        <f>VLOOKUP($C461,청소코드!$C$4:$J$188,8,FALSE)</f>
        <v>18000</v>
      </c>
      <c r="L461" s="32"/>
      <c r="M461" s="31"/>
      <c r="N461" s="32"/>
      <c r="O461" s="32"/>
    </row>
    <row r="462" spans="1:15" ht="12.75" customHeight="1">
      <c r="A462" s="30">
        <v>46083</v>
      </c>
      <c r="B462" s="29" t="str">
        <f t="shared" si="18"/>
        <v>월</v>
      </c>
      <c r="C462" s="29" t="s">
        <v>565</v>
      </c>
      <c r="D462" s="29" t="str">
        <f>VLOOKUP($C462,청소코드!$C$4:$J$188,3,FALSE)</f>
        <v>더하임 305</v>
      </c>
      <c r="E462" s="29">
        <f>VLOOKUP($C462,청소코드!$C$4:$J$188,4,FALSE)</f>
        <v>1</v>
      </c>
      <c r="F462" s="29" t="s">
        <v>437</v>
      </c>
      <c r="G462" s="29"/>
      <c r="H462" s="29"/>
      <c r="I462" s="29" t="s">
        <v>431</v>
      </c>
      <c r="J462" s="47">
        <f t="shared" si="17"/>
        <v>18000</v>
      </c>
      <c r="K462" s="29">
        <f>VLOOKUP($C462,청소코드!$C$4:$J$188,8,FALSE)</f>
        <v>18000</v>
      </c>
      <c r="L462" s="32"/>
      <c r="M462" s="31"/>
      <c r="N462" s="32"/>
      <c r="O462" s="32"/>
    </row>
    <row r="463" spans="1:15" ht="12.75" customHeight="1">
      <c r="A463" s="30">
        <v>46083</v>
      </c>
      <c r="B463" s="29" t="str">
        <f t="shared" si="18"/>
        <v>월</v>
      </c>
      <c r="C463" s="29" t="s">
        <v>566</v>
      </c>
      <c r="D463" s="29" t="str">
        <f>VLOOKUP($C463,청소코드!$C$4:$J$188,3,FALSE)</f>
        <v>더하임 406</v>
      </c>
      <c r="E463" s="29">
        <f>VLOOKUP($C463,청소코드!$C$4:$J$188,4,FALSE)</f>
        <v>1.5</v>
      </c>
      <c r="F463" s="29" t="s">
        <v>437</v>
      </c>
      <c r="G463" s="29"/>
      <c r="H463" s="29"/>
      <c r="I463" s="29" t="s">
        <v>431</v>
      </c>
      <c r="J463" s="47">
        <f t="shared" si="17"/>
        <v>20000</v>
      </c>
      <c r="K463" s="29">
        <f>VLOOKUP($C463,청소코드!$C$4:$J$188,8,FALSE)</f>
        <v>20000</v>
      </c>
      <c r="L463" s="32"/>
      <c r="M463" s="31"/>
      <c r="N463" s="32"/>
      <c r="O463" s="32"/>
    </row>
    <row r="464" spans="1:15" ht="12.75" customHeight="1">
      <c r="A464" s="30">
        <v>46083</v>
      </c>
      <c r="B464" s="29" t="str">
        <f t="shared" si="18"/>
        <v>월</v>
      </c>
      <c r="C464" s="29" t="s">
        <v>567</v>
      </c>
      <c r="D464" s="29" t="str">
        <f>VLOOKUP($C464,청소코드!$C$4:$J$188,3,FALSE)</f>
        <v>더하임 506</v>
      </c>
      <c r="E464" s="29">
        <f>VLOOKUP($C464,청소코드!$C$4:$J$188,4,FALSE)</f>
        <v>1.5</v>
      </c>
      <c r="F464" s="29" t="s">
        <v>437</v>
      </c>
      <c r="G464" s="29"/>
      <c r="H464" s="29"/>
      <c r="I464" s="29" t="s">
        <v>431</v>
      </c>
      <c r="J464" s="47">
        <f t="shared" si="17"/>
        <v>20000</v>
      </c>
      <c r="K464" s="29">
        <f>VLOOKUP($C464,청소코드!$C$4:$J$188,8,FALSE)</f>
        <v>20000</v>
      </c>
      <c r="L464" s="32"/>
      <c r="M464" s="31"/>
      <c r="N464" s="32"/>
      <c r="O464" s="32"/>
    </row>
    <row r="465" spans="1:15" ht="12.75" customHeight="1">
      <c r="A465" s="30">
        <v>46083</v>
      </c>
      <c r="B465" s="29" t="str">
        <f t="shared" si="18"/>
        <v>월</v>
      </c>
      <c r="C465" s="29" t="s">
        <v>568</v>
      </c>
      <c r="D465" s="29" t="str">
        <f>VLOOKUP($C465,청소코드!$C$4:$J$188,3,FALSE)</f>
        <v>르센티 1801</v>
      </c>
      <c r="E465" s="29" t="str">
        <f>VLOOKUP($C465,청소코드!$C$4:$J$188,4,FALSE)</f>
        <v>복</v>
      </c>
      <c r="F465" s="29" t="s">
        <v>426</v>
      </c>
      <c r="G465" s="29"/>
      <c r="H465" s="29"/>
      <c r="I465" s="29" t="s">
        <v>431</v>
      </c>
      <c r="J465" s="47">
        <f t="shared" si="17"/>
        <v>20000</v>
      </c>
      <c r="K465" s="29">
        <f>VLOOKUP($C465,청소코드!$C$4:$J$188,8,FALSE)</f>
        <v>20000</v>
      </c>
      <c r="L465" s="32"/>
      <c r="M465" s="31"/>
      <c r="N465" s="32"/>
      <c r="O465" s="32"/>
    </row>
    <row r="466" spans="1:15" ht="12.75" customHeight="1">
      <c r="A466" s="30">
        <v>46083</v>
      </c>
      <c r="B466" s="29" t="str">
        <f t="shared" si="18"/>
        <v>월</v>
      </c>
      <c r="C466" s="29" t="s">
        <v>569</v>
      </c>
      <c r="D466" s="29" t="str">
        <f>VLOOKUP($C466,청소코드!$C$4:$J$188,3,FALSE)</f>
        <v>한양립스 503</v>
      </c>
      <c r="E466" s="29">
        <f>VLOOKUP($C466,청소코드!$C$4:$J$188,4,FALSE)</f>
        <v>1</v>
      </c>
      <c r="F466" s="29" t="s">
        <v>426</v>
      </c>
      <c r="G466" s="29"/>
      <c r="H466" s="29"/>
      <c r="I466" s="29" t="s">
        <v>431</v>
      </c>
      <c r="J466" s="47">
        <f t="shared" ref="J466:J473" si="19">SUM(K466:O466)</f>
        <v>18000</v>
      </c>
      <c r="K466" s="29">
        <f>VLOOKUP($C466,청소코드!$C$4:$J$188,8,FALSE)</f>
        <v>18000</v>
      </c>
      <c r="L466" s="32"/>
      <c r="M466" s="31"/>
      <c r="N466" s="32"/>
      <c r="O466" s="32"/>
    </row>
    <row r="467" spans="1:15" ht="12.75" customHeight="1">
      <c r="A467" s="30">
        <v>46083</v>
      </c>
      <c r="B467" s="29" t="str">
        <f t="shared" si="18"/>
        <v>월</v>
      </c>
      <c r="C467" s="29" t="s">
        <v>570</v>
      </c>
      <c r="D467" s="29" t="str">
        <f>VLOOKUP($C467,청소코드!$C$4:$J$188,3,FALSE)</f>
        <v>오앤 401</v>
      </c>
      <c r="E467" s="29">
        <f>VLOOKUP($C467,청소코드!$C$4:$J$188,4,FALSE)</f>
        <v>1</v>
      </c>
      <c r="F467" s="29" t="s">
        <v>426</v>
      </c>
      <c r="G467" s="29"/>
      <c r="H467" s="29"/>
      <c r="I467" s="29" t="s">
        <v>431</v>
      </c>
      <c r="J467" s="47">
        <f t="shared" si="19"/>
        <v>18000</v>
      </c>
      <c r="K467" s="29">
        <f>VLOOKUP($C467,청소코드!$C$4:$J$188,8,FALSE)</f>
        <v>18000</v>
      </c>
      <c r="L467" s="32"/>
      <c r="M467" s="31"/>
      <c r="N467" s="32"/>
      <c r="O467" s="32"/>
    </row>
    <row r="468" spans="1:15" ht="12.75" customHeight="1">
      <c r="A468" s="30">
        <v>46083</v>
      </c>
      <c r="B468" s="29" t="str">
        <f t="shared" si="18"/>
        <v>월</v>
      </c>
      <c r="C468" s="29" t="s">
        <v>571</v>
      </c>
      <c r="D468" s="29" t="str">
        <f>VLOOKUP($C468,청소코드!$C$4:$J$188,3,FALSE)</f>
        <v>si 602</v>
      </c>
      <c r="E468" s="29">
        <f>VLOOKUP($C468,청소코드!$C$4:$J$188,4,FALSE)</f>
        <v>1</v>
      </c>
      <c r="F468" s="29" t="s">
        <v>545</v>
      </c>
      <c r="G468" s="29" t="s">
        <v>707</v>
      </c>
      <c r="H468" s="29"/>
      <c r="I468" s="29" t="s">
        <v>431</v>
      </c>
      <c r="J468" s="47">
        <f t="shared" si="19"/>
        <v>25000</v>
      </c>
      <c r="K468" s="29">
        <f>VLOOKUP($C468,청소코드!$C$4:$J$188,8,FALSE)</f>
        <v>20000</v>
      </c>
      <c r="L468" s="32">
        <v>5000</v>
      </c>
      <c r="M468" s="31"/>
      <c r="N468" s="32"/>
      <c r="O468" s="32"/>
    </row>
    <row r="469" spans="1:15" ht="12.75" customHeight="1">
      <c r="A469" s="30">
        <v>46083</v>
      </c>
      <c r="B469" s="29" t="str">
        <f t="shared" si="18"/>
        <v>월</v>
      </c>
      <c r="C469" s="29" t="s">
        <v>572</v>
      </c>
      <c r="D469" s="29" t="str">
        <f>VLOOKUP($C469,청소코드!$C$4:$J$188,3,FALSE)</f>
        <v>오금스타 205</v>
      </c>
      <c r="E469" s="29">
        <f>VLOOKUP($C469,청소코드!$C$4:$J$188,4,FALSE)</f>
        <v>1</v>
      </c>
      <c r="F469" s="29" t="s">
        <v>545</v>
      </c>
      <c r="G469" s="29"/>
      <c r="H469" s="29"/>
      <c r="I469" s="29" t="s">
        <v>431</v>
      </c>
      <c r="J469" s="47">
        <f t="shared" si="19"/>
        <v>20000</v>
      </c>
      <c r="K469" s="29">
        <f>VLOOKUP($C469,청소코드!$C$4:$J$188,8,FALSE)</f>
        <v>18000</v>
      </c>
      <c r="L469" s="32">
        <v>2000</v>
      </c>
      <c r="M469" s="31"/>
      <c r="N469" s="32"/>
      <c r="O469" s="32"/>
    </row>
    <row r="470" spans="1:15" ht="12.75" customHeight="1">
      <c r="A470" s="30">
        <v>46083</v>
      </c>
      <c r="B470" s="29" t="str">
        <f t="shared" si="18"/>
        <v>월</v>
      </c>
      <c r="C470" s="29" t="s">
        <v>573</v>
      </c>
      <c r="D470" s="29" t="str">
        <f>VLOOKUP($C470,청소코드!$C$4:$J$188,3,FALSE)</f>
        <v>하람휴 902</v>
      </c>
      <c r="E470" s="29">
        <f>VLOOKUP($C470,청소코드!$C$4:$J$188,4,FALSE)</f>
        <v>2</v>
      </c>
      <c r="F470" s="29" t="s">
        <v>408</v>
      </c>
      <c r="G470" s="29"/>
      <c r="H470" s="29"/>
      <c r="I470" s="29" t="s">
        <v>431</v>
      </c>
      <c r="J470" s="47">
        <f t="shared" si="19"/>
        <v>23000</v>
      </c>
      <c r="K470" s="29">
        <f>VLOOKUP($C470,청소코드!$C$4:$J$188,8,FALSE)</f>
        <v>23000</v>
      </c>
      <c r="L470" s="32"/>
      <c r="M470" s="31"/>
      <c r="N470" s="32"/>
      <c r="O470" s="32"/>
    </row>
    <row r="471" spans="1:15" ht="12.75" customHeight="1">
      <c r="A471" s="30">
        <v>46083</v>
      </c>
      <c r="B471" s="29" t="str">
        <f t="shared" si="18"/>
        <v>월</v>
      </c>
      <c r="C471" s="29" t="s">
        <v>574</v>
      </c>
      <c r="D471" s="29" t="str">
        <f>VLOOKUP($C471,청소코드!$C$4:$J$188,3,FALSE)</f>
        <v>하람휴 1001</v>
      </c>
      <c r="E471" s="29">
        <f>VLOOKUP($C471,청소코드!$C$4:$J$188,4,FALSE)</f>
        <v>2</v>
      </c>
      <c r="F471" s="29" t="s">
        <v>408</v>
      </c>
      <c r="G471" s="29"/>
      <c r="H471" s="29"/>
      <c r="I471" s="29" t="s">
        <v>431</v>
      </c>
      <c r="J471" s="47">
        <f t="shared" si="19"/>
        <v>23000</v>
      </c>
      <c r="K471" s="29">
        <f>VLOOKUP($C471,청소코드!$C$4:$J$188,8,FALSE)</f>
        <v>23000</v>
      </c>
      <c r="L471" s="32"/>
      <c r="M471" s="31"/>
      <c r="N471" s="32"/>
      <c r="O471" s="32"/>
    </row>
    <row r="472" spans="1:15" ht="12.75" customHeight="1">
      <c r="A472" s="30">
        <v>46083</v>
      </c>
      <c r="B472" s="29" t="str">
        <f t="shared" ref="B472:B473" si="20">TEXT(A472,"aaa")</f>
        <v>월</v>
      </c>
      <c r="C472" s="29" t="s">
        <v>575</v>
      </c>
      <c r="D472" s="29" t="str">
        <f>VLOOKUP($C472,청소코드!$C$4:$J$188,3,FALSE)</f>
        <v>대치동 103호</v>
      </c>
      <c r="E472" s="29">
        <f>VLOOKUP($C472,청소코드!$C$4:$J$188,4,FALSE)</f>
        <v>1.5</v>
      </c>
      <c r="F472" s="29" t="s">
        <v>581</v>
      </c>
      <c r="G472" s="29"/>
      <c r="H472" s="29"/>
      <c r="I472" s="29" t="s">
        <v>431</v>
      </c>
      <c r="J472" s="47">
        <f t="shared" si="19"/>
        <v>20000</v>
      </c>
      <c r="K472" s="29">
        <f>VLOOKUP($C472,청소코드!$C$4:$J$188,8,FALSE)</f>
        <v>20000</v>
      </c>
      <c r="L472" s="32"/>
      <c r="M472" s="31"/>
      <c r="N472" s="32"/>
      <c r="O472" s="32"/>
    </row>
    <row r="473" spans="1:15" ht="12.75" customHeight="1">
      <c r="A473" s="30">
        <v>46083</v>
      </c>
      <c r="B473" s="29" t="str">
        <f t="shared" si="20"/>
        <v>월</v>
      </c>
      <c r="C473" s="29" t="s">
        <v>582</v>
      </c>
      <c r="D473" s="29" t="str">
        <f>VLOOKUP($C473,청소코드!$C$4:$J$188,3,FALSE)</f>
        <v>청광1차 207</v>
      </c>
      <c r="E473" s="29">
        <f>VLOOKUP($C473,청소코드!$C$4:$J$188,4,FALSE)</f>
        <v>0</v>
      </c>
      <c r="F473" s="29" t="s">
        <v>583</v>
      </c>
      <c r="G473" s="29"/>
      <c r="H473" s="29"/>
      <c r="I473" s="29" t="s">
        <v>431</v>
      </c>
      <c r="J473" s="47">
        <f t="shared" si="19"/>
        <v>10000</v>
      </c>
      <c r="K473" s="29">
        <f>VLOOKUP($C473,청소코드!$C$4:$J$188,8,FALSE)</f>
        <v>10000</v>
      </c>
      <c r="L473" s="32"/>
      <c r="M473" s="31"/>
      <c r="N473" s="32"/>
      <c r="O473" s="32"/>
    </row>
    <row r="474" spans="1:15" customFormat="1" ht="12.75" customHeight="1">
      <c r="A474" s="49">
        <v>46084</v>
      </c>
      <c r="B474" s="50" t="str">
        <f t="shared" ref="B474:B505" si="21">TEXT(A474,"aaa")</f>
        <v>화</v>
      </c>
      <c r="C474" s="29" t="s">
        <v>602</v>
      </c>
      <c r="D474" s="29" t="str">
        <f>VLOOKUP($C474,청소코드!$C$4:$J$188,3,FALSE)</f>
        <v>더하임 305</v>
      </c>
      <c r="E474" s="29">
        <f>VLOOKUP($C474,청소코드!$C$4:$J$188,4,FALSE)</f>
        <v>1</v>
      </c>
      <c r="F474" s="29" t="s">
        <v>608</v>
      </c>
      <c r="G474" s="29"/>
      <c r="H474" s="29"/>
      <c r="I474" s="29" t="s">
        <v>431</v>
      </c>
      <c r="J474" s="47">
        <f t="shared" ref="J474:J505" si="22">SUM(K474:O474)</f>
        <v>18000</v>
      </c>
      <c r="K474" s="29">
        <f>VLOOKUP($C474,청소코드!$C$4:$J$188,8,FALSE)</f>
        <v>18000</v>
      </c>
      <c r="L474" s="32"/>
      <c r="M474" s="31"/>
      <c r="N474" s="32"/>
      <c r="O474" s="32"/>
    </row>
    <row r="475" spans="1:15" customFormat="1" ht="12.75" customHeight="1">
      <c r="A475" s="30">
        <v>46084</v>
      </c>
      <c r="B475" s="29" t="str">
        <f t="shared" si="21"/>
        <v>화</v>
      </c>
      <c r="C475" s="29" t="s">
        <v>604</v>
      </c>
      <c r="D475" s="29" t="str">
        <f>VLOOKUP($C475,청소코드!$C$4:$J$188,3,FALSE)</f>
        <v>청광3차 806</v>
      </c>
      <c r="E475" s="29">
        <f>VLOOKUP($C475,청소코드!$C$4:$J$188,4,FALSE)</f>
        <v>1</v>
      </c>
      <c r="F475" s="29" t="s">
        <v>610</v>
      </c>
      <c r="G475" s="29"/>
      <c r="H475" s="29"/>
      <c r="I475" s="29" t="s">
        <v>635</v>
      </c>
      <c r="J475" s="47">
        <f t="shared" si="22"/>
        <v>18000</v>
      </c>
      <c r="K475" s="29">
        <f>VLOOKUP($C475,청소코드!$C$4:$J$188,8,FALSE)</f>
        <v>18000</v>
      </c>
      <c r="L475" s="32"/>
      <c r="M475" s="31"/>
      <c r="N475" s="32"/>
      <c r="O475" s="32"/>
    </row>
    <row r="476" spans="1:15" customFormat="1" ht="12.75" customHeight="1">
      <c r="A476" s="30">
        <v>46084</v>
      </c>
      <c r="B476" s="29" t="str">
        <f t="shared" si="21"/>
        <v>화</v>
      </c>
      <c r="C476" s="29" t="s">
        <v>605</v>
      </c>
      <c r="D476" s="29" t="str">
        <f>VLOOKUP($C476,청소코드!$C$4:$J$188,3,FALSE)</f>
        <v>은성 603</v>
      </c>
      <c r="E476" s="29">
        <f>VLOOKUP($C476,청소코드!$C$4:$J$188,4,FALSE)</f>
        <v>1</v>
      </c>
      <c r="F476" s="29" t="s">
        <v>611</v>
      </c>
      <c r="G476" s="29"/>
      <c r="H476" s="29"/>
      <c r="I476" s="29" t="s">
        <v>431</v>
      </c>
      <c r="J476" s="47">
        <f>SUM(K476:O476)</f>
        <v>18000</v>
      </c>
      <c r="K476" s="29">
        <f>VLOOKUP($C476,청소코드!$C$4:$J$188,8,FALSE)</f>
        <v>18000</v>
      </c>
      <c r="L476" s="32"/>
      <c r="M476" s="31"/>
      <c r="N476" s="32"/>
      <c r="O476" s="32"/>
    </row>
    <row r="477" spans="1:15" customFormat="1" ht="12.75" customHeight="1">
      <c r="A477" s="30">
        <v>46084</v>
      </c>
      <c r="B477" s="29" t="str">
        <f t="shared" si="21"/>
        <v>화</v>
      </c>
      <c r="C477" s="29" t="s">
        <v>606</v>
      </c>
      <c r="D477" s="29" t="str">
        <f>VLOOKUP($C477,청소코드!$C$4:$J$188,3,FALSE)</f>
        <v>방학 709</v>
      </c>
      <c r="E477" s="29" t="str">
        <f>VLOOKUP($C477,청소코드!$C$4:$J$188,4,FALSE)</f>
        <v>복</v>
      </c>
      <c r="F477" s="29" t="s">
        <v>612</v>
      </c>
      <c r="G477" s="29"/>
      <c r="H477" s="29"/>
      <c r="I477" s="29" t="s">
        <v>431</v>
      </c>
      <c r="J477" s="47">
        <f t="shared" si="22"/>
        <v>35000</v>
      </c>
      <c r="K477" s="29">
        <f>VLOOKUP($C477,청소코드!$C$4:$J$188,8,FALSE)</f>
        <v>25000</v>
      </c>
      <c r="L477" s="32">
        <v>10000</v>
      </c>
      <c r="M477" s="31"/>
      <c r="N477" s="32"/>
      <c r="O477" s="32"/>
    </row>
    <row r="478" spans="1:15" customFormat="1" ht="12.75" customHeight="1">
      <c r="A478" s="30">
        <v>46084</v>
      </c>
      <c r="B478" s="29" t="str">
        <f t="shared" si="21"/>
        <v>화</v>
      </c>
      <c r="C478" s="29" t="s">
        <v>607</v>
      </c>
      <c r="D478" s="29" t="str">
        <f>VLOOKUP($C478,청소코드!$C$4:$J$188,3,FALSE)</f>
        <v>청광1차 207</v>
      </c>
      <c r="E478" s="29">
        <f>VLOOKUP($C478,청소코드!$C$4:$J$188,4,FALSE)</f>
        <v>0</v>
      </c>
      <c r="F478" s="29" t="s">
        <v>611</v>
      </c>
      <c r="G478" s="29"/>
      <c r="H478" s="29"/>
      <c r="I478" s="29" t="s">
        <v>635</v>
      </c>
      <c r="J478" s="47">
        <f t="shared" si="22"/>
        <v>10000</v>
      </c>
      <c r="K478" s="29">
        <f>VLOOKUP($C478,청소코드!$C$4:$J$188,8,FALSE)</f>
        <v>10000</v>
      </c>
      <c r="L478" s="32"/>
      <c r="M478" s="31"/>
      <c r="N478" s="32"/>
      <c r="O478" s="32"/>
    </row>
    <row r="479" spans="1:15" customFormat="1" ht="12.75" customHeight="1">
      <c r="A479" s="30">
        <v>46084</v>
      </c>
      <c r="B479" s="29" t="str">
        <f t="shared" si="21"/>
        <v>화</v>
      </c>
      <c r="C479" s="29" t="s">
        <v>613</v>
      </c>
      <c r="D479" s="29" t="str">
        <f>VLOOKUP($C479,청소코드!$C$4:$J$188,3,FALSE)</f>
        <v>더하임 1001</v>
      </c>
      <c r="E479" s="29">
        <f>VLOOKUP($C479,청소코드!$C$4:$J$188,4,FALSE)</f>
        <v>1</v>
      </c>
      <c r="F479" s="29" t="s">
        <v>611</v>
      </c>
      <c r="G479" s="29" t="s">
        <v>632</v>
      </c>
      <c r="H479" s="29"/>
      <c r="I479" s="29" t="s">
        <v>635</v>
      </c>
      <c r="J479" s="47">
        <f t="shared" si="22"/>
        <v>30000</v>
      </c>
      <c r="K479" s="29">
        <f>VLOOKUP($C479,청소코드!$C$4:$J$188,8,FALSE)</f>
        <v>18000</v>
      </c>
      <c r="L479" s="32">
        <v>12000</v>
      </c>
      <c r="M479" s="31"/>
      <c r="N479" s="32"/>
      <c r="O479" s="32"/>
    </row>
    <row r="480" spans="1:15" customFormat="1" ht="12.75" customHeight="1">
      <c r="A480" s="30">
        <v>46084</v>
      </c>
      <c r="B480" s="29" t="str">
        <f t="shared" si="21"/>
        <v>화</v>
      </c>
      <c r="C480" s="29" t="s">
        <v>614</v>
      </c>
      <c r="D480" s="29" t="str">
        <f>VLOOKUP($C480,청소코드!$C$4:$J$188,3,FALSE)</f>
        <v>더하임 1002</v>
      </c>
      <c r="E480" s="29">
        <f>VLOOKUP($C480,청소코드!$C$4:$J$188,4,FALSE)</f>
        <v>1</v>
      </c>
      <c r="F480" s="29" t="s">
        <v>611</v>
      </c>
      <c r="G480" s="29" t="s">
        <v>632</v>
      </c>
      <c r="H480" s="29"/>
      <c r="I480" s="29" t="s">
        <v>635</v>
      </c>
      <c r="J480" s="47">
        <f t="shared" si="22"/>
        <v>30000</v>
      </c>
      <c r="K480" s="29">
        <f>VLOOKUP($C480,청소코드!$C$4:$J$188,8,FALSE)</f>
        <v>18000</v>
      </c>
      <c r="L480" s="32">
        <v>12000</v>
      </c>
      <c r="M480" s="31"/>
      <c r="N480" s="32"/>
      <c r="O480" s="32"/>
    </row>
    <row r="481" spans="1:15" customFormat="1" ht="12.75" customHeight="1">
      <c r="A481" s="30">
        <v>46084</v>
      </c>
      <c r="B481" s="29" t="str">
        <f t="shared" si="21"/>
        <v>화</v>
      </c>
      <c r="C481" s="29" t="s">
        <v>615</v>
      </c>
      <c r="D481" s="29" t="str">
        <f>VLOOKUP($C481,청소코드!$C$4:$J$188,3,FALSE)</f>
        <v>더하임 1003</v>
      </c>
      <c r="E481" s="29">
        <f>VLOOKUP($C481,청소코드!$C$4:$J$188,4,FALSE)</f>
        <v>1</v>
      </c>
      <c r="F481" s="29" t="s">
        <v>611</v>
      </c>
      <c r="G481" s="29" t="s">
        <v>632</v>
      </c>
      <c r="H481" s="29"/>
      <c r="I481" s="29" t="s">
        <v>635</v>
      </c>
      <c r="J481" s="47">
        <f t="shared" si="22"/>
        <v>30000</v>
      </c>
      <c r="K481" s="29">
        <f>VLOOKUP($C481,청소코드!$C$4:$J$188,8,FALSE)</f>
        <v>18000</v>
      </c>
      <c r="L481" s="32">
        <v>12000</v>
      </c>
      <c r="M481" s="31"/>
      <c r="N481" s="32"/>
      <c r="O481" s="32"/>
    </row>
    <row r="482" spans="1:15" customFormat="1" ht="12.75" customHeight="1">
      <c r="A482" s="30">
        <v>46084</v>
      </c>
      <c r="B482" s="29" t="str">
        <f t="shared" si="21"/>
        <v>화</v>
      </c>
      <c r="C482" s="29" t="s">
        <v>613</v>
      </c>
      <c r="D482" s="29" t="str">
        <f>VLOOKUP($C482,청소코드!$C$4:$J$188,3,FALSE)</f>
        <v>더하임 1001</v>
      </c>
      <c r="E482" s="29">
        <f>VLOOKUP($C482,청소코드!$C$4:$J$188,4,FALSE)</f>
        <v>1</v>
      </c>
      <c r="F482" s="29" t="s">
        <v>609</v>
      </c>
      <c r="G482" s="29" t="s">
        <v>632</v>
      </c>
      <c r="H482" s="29"/>
      <c r="I482" s="29" t="s">
        <v>635</v>
      </c>
      <c r="J482" s="47">
        <f t="shared" si="22"/>
        <v>30000</v>
      </c>
      <c r="K482" s="29">
        <f>VLOOKUP($C482,청소코드!$C$4:$J$188,8,FALSE)</f>
        <v>18000</v>
      </c>
      <c r="L482" s="32">
        <v>12000</v>
      </c>
      <c r="M482" s="31"/>
      <c r="N482" s="32"/>
      <c r="O482" s="32"/>
    </row>
    <row r="483" spans="1:15" customFormat="1" ht="12.75" customHeight="1">
      <c r="A483" s="30">
        <v>46084</v>
      </c>
      <c r="B483" s="29" t="str">
        <f t="shared" si="21"/>
        <v>화</v>
      </c>
      <c r="C483" s="29" t="s">
        <v>614</v>
      </c>
      <c r="D483" s="29" t="str">
        <f>VLOOKUP($C483,청소코드!$C$4:$J$188,3,FALSE)</f>
        <v>더하임 1002</v>
      </c>
      <c r="E483" s="29">
        <f>VLOOKUP($C483,청소코드!$C$4:$J$188,4,FALSE)</f>
        <v>1</v>
      </c>
      <c r="F483" s="29" t="s">
        <v>609</v>
      </c>
      <c r="G483" s="29" t="s">
        <v>632</v>
      </c>
      <c r="H483" s="29"/>
      <c r="I483" s="29" t="s">
        <v>635</v>
      </c>
      <c r="J483" s="47">
        <f t="shared" si="22"/>
        <v>30000</v>
      </c>
      <c r="K483" s="29">
        <f>VLOOKUP($C483,청소코드!$C$4:$J$188,8,FALSE)</f>
        <v>18000</v>
      </c>
      <c r="L483" s="32">
        <v>12000</v>
      </c>
      <c r="M483" s="31"/>
      <c r="N483" s="32"/>
      <c r="O483" s="32"/>
    </row>
    <row r="484" spans="1:15" customFormat="1" ht="12.75" customHeight="1">
      <c r="A484" s="30">
        <v>46084</v>
      </c>
      <c r="B484" s="29" t="str">
        <f t="shared" si="21"/>
        <v>화</v>
      </c>
      <c r="C484" s="29" t="s">
        <v>615</v>
      </c>
      <c r="D484" s="29" t="str">
        <f>VLOOKUP($C484,청소코드!$C$4:$J$188,3,FALSE)</f>
        <v>더하임 1003</v>
      </c>
      <c r="E484" s="29">
        <f>VLOOKUP($C484,청소코드!$C$4:$J$188,4,FALSE)</f>
        <v>1</v>
      </c>
      <c r="F484" s="29" t="s">
        <v>609</v>
      </c>
      <c r="G484" s="29" t="s">
        <v>632</v>
      </c>
      <c r="H484" s="29"/>
      <c r="I484" s="29" t="s">
        <v>635</v>
      </c>
      <c r="J484" s="47">
        <f t="shared" si="22"/>
        <v>30000</v>
      </c>
      <c r="K484" s="29">
        <f>VLOOKUP($C484,청소코드!$C$4:$J$188,8,FALSE)</f>
        <v>18000</v>
      </c>
      <c r="L484" s="32">
        <v>12000</v>
      </c>
      <c r="M484" s="31"/>
      <c r="N484" s="32"/>
      <c r="O484" s="32"/>
    </row>
    <row r="485" spans="1:15" customFormat="1" ht="12.75" customHeight="1">
      <c r="A485" s="49">
        <v>46085</v>
      </c>
      <c r="B485" s="50" t="str">
        <f t="shared" si="21"/>
        <v>수</v>
      </c>
      <c r="C485" s="29" t="s">
        <v>622</v>
      </c>
      <c r="D485" s="29" t="str">
        <f>VLOOKUP($C485,청소코드!$C$4:$J$188,3,FALSE)</f>
        <v>성우 304</v>
      </c>
      <c r="E485" s="29">
        <f>VLOOKUP($C485,청소코드!$C$4:$J$188,4,FALSE)</f>
        <v>2</v>
      </c>
      <c r="F485" s="29" t="s">
        <v>628</v>
      </c>
      <c r="G485" s="29"/>
      <c r="H485" s="29"/>
      <c r="I485" s="29" t="s">
        <v>635</v>
      </c>
      <c r="J485" s="47">
        <f t="shared" si="22"/>
        <v>23000</v>
      </c>
      <c r="K485" s="29">
        <f>VLOOKUP($C485,청소코드!$C$4:$J$188,8,FALSE)</f>
        <v>23000</v>
      </c>
      <c r="L485" s="32"/>
      <c r="M485" s="31"/>
      <c r="N485" s="32"/>
      <c r="O485" s="32"/>
    </row>
    <row r="486" spans="1:15" customFormat="1" ht="12.75" customHeight="1">
      <c r="A486" s="30">
        <v>46085</v>
      </c>
      <c r="B486" s="29" t="str">
        <f t="shared" si="21"/>
        <v>수</v>
      </c>
      <c r="C486" s="29" t="s">
        <v>623</v>
      </c>
      <c r="D486" s="29" t="str">
        <f>VLOOKUP($C486,청소코드!$C$4:$J$188,3,FALSE)</f>
        <v>성우 903</v>
      </c>
      <c r="E486" s="29">
        <f>VLOOKUP($C486,청소코드!$C$4:$J$188,4,FALSE)</f>
        <v>3</v>
      </c>
      <c r="F486" s="29" t="s">
        <v>628</v>
      </c>
      <c r="G486" s="29" t="s">
        <v>633</v>
      </c>
      <c r="H486" s="29"/>
      <c r="I486" s="29" t="s">
        <v>635</v>
      </c>
      <c r="J486" s="47">
        <f t="shared" si="22"/>
        <v>35000</v>
      </c>
      <c r="K486" s="29">
        <f>VLOOKUP($C486,청소코드!$C$4:$J$188,8,FALSE)</f>
        <v>30000</v>
      </c>
      <c r="L486" s="32">
        <v>5000</v>
      </c>
      <c r="M486" s="31"/>
      <c r="N486" s="32"/>
      <c r="O486" s="32"/>
    </row>
    <row r="487" spans="1:15" customFormat="1" ht="12.75" customHeight="1">
      <c r="A487" s="30">
        <v>46085</v>
      </c>
      <c r="B487" s="29" t="str">
        <f t="shared" si="21"/>
        <v>수</v>
      </c>
      <c r="C487" s="29" t="s">
        <v>624</v>
      </c>
      <c r="D487" s="29" t="str">
        <f>VLOOKUP($C487,청소코드!$C$4:$J$188,3,FALSE)</f>
        <v>더하임 1004</v>
      </c>
      <c r="E487" s="29">
        <f>VLOOKUP($C487,청소코드!$C$4:$J$188,4,FALSE)</f>
        <v>1</v>
      </c>
      <c r="F487" s="29" t="s">
        <v>610</v>
      </c>
      <c r="G487" s="29"/>
      <c r="H487" s="29"/>
      <c r="I487" s="29" t="s">
        <v>635</v>
      </c>
      <c r="J487" s="47">
        <f t="shared" si="22"/>
        <v>18000</v>
      </c>
      <c r="K487" s="29">
        <f>VLOOKUP($C487,청소코드!$C$4:$J$188,8,FALSE)</f>
        <v>18000</v>
      </c>
      <c r="L487" s="32"/>
      <c r="M487" s="31"/>
      <c r="N487" s="32"/>
      <c r="O487" s="32"/>
    </row>
    <row r="488" spans="1:15" customFormat="1" ht="12.75" customHeight="1">
      <c r="A488" s="30">
        <v>46085</v>
      </c>
      <c r="B488" s="29" t="str">
        <f t="shared" si="21"/>
        <v>수</v>
      </c>
      <c r="C488" s="29" t="s">
        <v>603</v>
      </c>
      <c r="D488" s="29" t="str">
        <f>VLOOKUP($C488,청소코드!$C$4:$J$188,3,FALSE)</f>
        <v>청광3차 1416</v>
      </c>
      <c r="E488" s="29">
        <f>VLOOKUP($C488,청소코드!$C$4:$J$188,4,FALSE)</f>
        <v>1</v>
      </c>
      <c r="F488" s="29" t="s">
        <v>611</v>
      </c>
      <c r="G488" s="29"/>
      <c r="H488" s="29"/>
      <c r="I488" s="29" t="s">
        <v>431</v>
      </c>
      <c r="J488" s="47">
        <f t="shared" si="22"/>
        <v>18000</v>
      </c>
      <c r="K488" s="29">
        <f>VLOOKUP($C488,청소코드!$C$4:$J$188,8,FALSE)</f>
        <v>18000</v>
      </c>
      <c r="L488" s="32"/>
      <c r="M488" s="31"/>
      <c r="N488" s="32"/>
      <c r="O488" s="32"/>
    </row>
    <row r="489" spans="1:15" customFormat="1" ht="12.75" customHeight="1">
      <c r="A489" s="30">
        <v>46085</v>
      </c>
      <c r="B489" s="29" t="str">
        <f t="shared" si="21"/>
        <v>수</v>
      </c>
      <c r="C489" s="29" t="s">
        <v>625</v>
      </c>
      <c r="D489" s="29" t="str">
        <f>VLOOKUP($C489,청소코드!$C$4:$J$188,3,FALSE)</f>
        <v>르센티 1801</v>
      </c>
      <c r="E489" s="29" t="str">
        <f>VLOOKUP($C489,청소코드!$C$4:$J$188,4,FALSE)</f>
        <v>복</v>
      </c>
      <c r="F489" s="29" t="s">
        <v>609</v>
      </c>
      <c r="G489" s="29"/>
      <c r="H489" s="29"/>
      <c r="I489" s="29" t="s">
        <v>431</v>
      </c>
      <c r="J489" s="47">
        <f t="shared" si="22"/>
        <v>20000</v>
      </c>
      <c r="K489" s="29">
        <f>VLOOKUP($C489,청소코드!$C$4:$J$188,8,FALSE)</f>
        <v>20000</v>
      </c>
      <c r="L489" s="32"/>
      <c r="M489" s="31"/>
      <c r="N489" s="32"/>
      <c r="O489" s="32"/>
    </row>
    <row r="490" spans="1:15" customFormat="1" ht="12.75" customHeight="1">
      <c r="A490" s="30">
        <v>46085</v>
      </c>
      <c r="B490" s="29" t="str">
        <f t="shared" si="21"/>
        <v>수</v>
      </c>
      <c r="C490" s="29" t="s">
        <v>626</v>
      </c>
      <c r="D490" s="29" t="str">
        <f>VLOOKUP($C490,청소코드!$C$4:$J$188,3,FALSE)</f>
        <v>렘브 505</v>
      </c>
      <c r="E490" s="29">
        <f>VLOOKUP($C490,청소코드!$C$4:$J$188,4,FALSE)</f>
        <v>1</v>
      </c>
      <c r="F490" s="29" t="s">
        <v>608</v>
      </c>
      <c r="G490" s="29"/>
      <c r="H490" s="29"/>
      <c r="I490" s="29" t="s">
        <v>431</v>
      </c>
      <c r="J490" s="47">
        <f t="shared" si="22"/>
        <v>18000</v>
      </c>
      <c r="K490" s="29">
        <f>VLOOKUP($C490,청소코드!$C$4:$J$188,8,FALSE)</f>
        <v>18000</v>
      </c>
      <c r="L490" s="32"/>
      <c r="M490" s="31"/>
      <c r="N490" s="32"/>
      <c r="O490" s="32"/>
    </row>
    <row r="491" spans="1:15" customFormat="1" ht="12.75" customHeight="1">
      <c r="A491" s="30">
        <v>46085</v>
      </c>
      <c r="B491" s="29" t="str">
        <f t="shared" si="21"/>
        <v>수</v>
      </c>
      <c r="C491" s="29" t="s">
        <v>627</v>
      </c>
      <c r="D491" s="29" t="str">
        <f>VLOOKUP($C491,청소코드!$C$4:$J$188,3,FALSE)</f>
        <v>하람휴 902</v>
      </c>
      <c r="E491" s="29">
        <f>VLOOKUP($C491,청소코드!$C$4:$J$188,4,FALSE)</f>
        <v>2</v>
      </c>
      <c r="F491" s="29" t="s">
        <v>629</v>
      </c>
      <c r="G491" s="29" t="s">
        <v>634</v>
      </c>
      <c r="H491" s="29"/>
      <c r="I491" s="29" t="s">
        <v>635</v>
      </c>
      <c r="J491" s="47">
        <f t="shared" si="22"/>
        <v>23000</v>
      </c>
      <c r="K491" s="29">
        <f>VLOOKUP($C491,청소코드!$C$4:$J$188,8,FALSE)</f>
        <v>23000</v>
      </c>
      <c r="L491" s="32"/>
      <c r="M491" s="31"/>
      <c r="N491" s="32"/>
      <c r="O491" s="32"/>
    </row>
    <row r="492" spans="1:15" customFormat="1" ht="12.75" customHeight="1">
      <c r="A492" s="30">
        <v>46085</v>
      </c>
      <c r="B492" s="29" t="str">
        <f t="shared" si="21"/>
        <v>수</v>
      </c>
      <c r="C492" s="29" t="s">
        <v>630</v>
      </c>
      <c r="D492" s="29" t="str">
        <f>VLOOKUP($C492,청소코드!$C$4:$J$188,3,FALSE)</f>
        <v>청광1차 709</v>
      </c>
      <c r="E492" s="29">
        <f>VLOOKUP($C492,청소코드!$C$4:$J$188,4,FALSE)</f>
        <v>1</v>
      </c>
      <c r="F492" s="29" t="s">
        <v>611</v>
      </c>
      <c r="G492" s="29" t="s">
        <v>631</v>
      </c>
      <c r="H492" s="29"/>
      <c r="I492" s="29" t="s">
        <v>635</v>
      </c>
      <c r="J492" s="47">
        <f t="shared" si="22"/>
        <v>30000</v>
      </c>
      <c r="K492" s="29">
        <f>VLOOKUP($C492,청소코드!$C$4:$J$188,8,FALSE)</f>
        <v>18000</v>
      </c>
      <c r="L492" s="32">
        <v>12000</v>
      </c>
      <c r="M492" s="31"/>
      <c r="N492" s="32"/>
      <c r="O492" s="32"/>
    </row>
    <row r="493" spans="1:15" customFormat="1" ht="12.75" customHeight="1">
      <c r="A493" s="30">
        <v>46085</v>
      </c>
      <c r="B493" s="29" t="str">
        <f t="shared" si="21"/>
        <v>수</v>
      </c>
      <c r="C493" s="29" t="s">
        <v>630</v>
      </c>
      <c r="D493" s="29" t="str">
        <f>VLOOKUP($C493,청소코드!$C$4:$J$188,3,FALSE)</f>
        <v>청광1차 709</v>
      </c>
      <c r="E493" s="29">
        <f>VLOOKUP($C493,청소코드!$C$4:$J$188,4,FALSE)</f>
        <v>1</v>
      </c>
      <c r="F493" s="29" t="s">
        <v>609</v>
      </c>
      <c r="G493" s="29" t="s">
        <v>631</v>
      </c>
      <c r="H493" s="29"/>
      <c r="I493" s="29" t="s">
        <v>635</v>
      </c>
      <c r="J493" s="47">
        <f t="shared" si="22"/>
        <v>30000</v>
      </c>
      <c r="K493" s="29">
        <f>VLOOKUP($C493,청소코드!$C$4:$J$188,8,FALSE)</f>
        <v>18000</v>
      </c>
      <c r="L493" s="32">
        <v>12000</v>
      </c>
      <c r="M493" s="31"/>
      <c r="N493" s="32"/>
      <c r="O493" s="32"/>
    </row>
    <row r="494" spans="1:15" customFormat="1" ht="12.75" customHeight="1">
      <c r="A494" s="30">
        <v>46085</v>
      </c>
      <c r="B494" s="29" t="str">
        <f t="shared" si="21"/>
        <v>수</v>
      </c>
      <c r="C494" s="29" t="s">
        <v>607</v>
      </c>
      <c r="D494" s="29" t="str">
        <f>VLOOKUP($C494,청소코드!$C$4:$J$188,3,FALSE)</f>
        <v>청광1차 207</v>
      </c>
      <c r="E494" s="29">
        <f>VLOOKUP($C494,청소코드!$C$4:$J$188,4,FALSE)</f>
        <v>0</v>
      </c>
      <c r="F494" s="29" t="s">
        <v>611</v>
      </c>
      <c r="G494" s="29"/>
      <c r="H494" s="29"/>
      <c r="I494" s="29" t="s">
        <v>635</v>
      </c>
      <c r="J494" s="47">
        <f t="shared" si="22"/>
        <v>10000</v>
      </c>
      <c r="K494" s="29">
        <f>VLOOKUP($C494,청소코드!$C$4:$J$188,8,FALSE)</f>
        <v>10000</v>
      </c>
      <c r="L494" s="32"/>
      <c r="M494" s="31"/>
      <c r="N494" s="32"/>
      <c r="O494" s="32"/>
    </row>
    <row r="495" spans="1:15" customFormat="1" ht="12.75" customHeight="1">
      <c r="A495" s="49">
        <v>46086</v>
      </c>
      <c r="B495" s="50" t="str">
        <f t="shared" si="21"/>
        <v>목</v>
      </c>
      <c r="C495" s="29" t="s">
        <v>636</v>
      </c>
      <c r="D495" s="29" t="str">
        <f>VLOOKUP($C495,청소코드!$C$4:$J$188,3,FALSE)</f>
        <v>센텀 2차 406</v>
      </c>
      <c r="E495" s="29">
        <f>VLOOKUP($C495,청소코드!$C$4:$J$188,4,FALSE)</f>
        <v>1.5</v>
      </c>
      <c r="F495" s="29" t="s">
        <v>644</v>
      </c>
      <c r="G495" s="29"/>
      <c r="H495" s="29"/>
      <c r="I495" s="29" t="s">
        <v>652</v>
      </c>
      <c r="J495" s="47">
        <f t="shared" si="22"/>
        <v>20000</v>
      </c>
      <c r="K495" s="29">
        <f>VLOOKUP($C495,청소코드!$C$4:$J$188,8,FALSE)</f>
        <v>20000</v>
      </c>
      <c r="L495" s="32"/>
      <c r="M495" s="31"/>
      <c r="N495" s="32"/>
      <c r="O495" s="32"/>
    </row>
    <row r="496" spans="1:15" customFormat="1" ht="12.75" customHeight="1">
      <c r="A496" s="30">
        <v>46086</v>
      </c>
      <c r="B496" s="29" t="str">
        <f t="shared" si="21"/>
        <v>목</v>
      </c>
      <c r="C496" s="29" t="s">
        <v>637</v>
      </c>
      <c r="D496" s="29" t="str">
        <f>VLOOKUP($C496,청소코드!$C$4:$J$188,3,FALSE)</f>
        <v>더하임 1004</v>
      </c>
      <c r="E496" s="29">
        <f>VLOOKUP($C496,청소코드!$C$4:$J$188,4,FALSE)</f>
        <v>1</v>
      </c>
      <c r="F496" s="29" t="s">
        <v>645</v>
      </c>
      <c r="G496" s="29"/>
      <c r="H496" s="29"/>
      <c r="I496" s="29" t="s">
        <v>431</v>
      </c>
      <c r="J496" s="47">
        <f t="shared" si="22"/>
        <v>18000</v>
      </c>
      <c r="K496" s="29">
        <f>VLOOKUP($C496,청소코드!$C$4:$J$188,8,FALSE)</f>
        <v>18000</v>
      </c>
      <c r="L496" s="32"/>
      <c r="M496" s="31"/>
      <c r="N496" s="32"/>
      <c r="O496" s="32"/>
    </row>
    <row r="497" spans="1:15" customFormat="1" ht="12.75" customHeight="1">
      <c r="A497" s="30">
        <v>46086</v>
      </c>
      <c r="B497" s="29" t="str">
        <f t="shared" si="21"/>
        <v>목</v>
      </c>
      <c r="C497" s="29" t="s">
        <v>638</v>
      </c>
      <c r="D497" s="29" t="str">
        <f>VLOOKUP($C497,청소코드!$C$4:$J$188,3,FALSE)</f>
        <v>더하임 204</v>
      </c>
      <c r="E497" s="29">
        <f>VLOOKUP($C497,청소코드!$C$4:$J$188,4,FALSE)</f>
        <v>1</v>
      </c>
      <c r="F497" s="29" t="s">
        <v>646</v>
      </c>
      <c r="G497" s="29"/>
      <c r="H497" s="29"/>
      <c r="I497" s="29" t="s">
        <v>431</v>
      </c>
      <c r="J497" s="47">
        <f t="shared" si="22"/>
        <v>18000</v>
      </c>
      <c r="K497" s="29">
        <f>VLOOKUP($C497,청소코드!$C$4:$J$188,8,FALSE)</f>
        <v>18000</v>
      </c>
      <c r="L497" s="32"/>
      <c r="M497" s="31"/>
      <c r="N497" s="32"/>
      <c r="O497" s="32"/>
    </row>
    <row r="498" spans="1:15" customFormat="1" ht="12.75" customHeight="1">
      <c r="A498" s="30">
        <v>46086</v>
      </c>
      <c r="B498" s="29" t="str">
        <f t="shared" si="21"/>
        <v>목</v>
      </c>
      <c r="C498" s="29" t="s">
        <v>639</v>
      </c>
      <c r="D498" s="29" t="str">
        <f>VLOOKUP($C498,청소코드!$C$4:$J$188,3,FALSE)</f>
        <v>더하임 306</v>
      </c>
      <c r="E498" s="29">
        <f>VLOOKUP($C498,청소코드!$C$4:$J$188,4,FALSE)</f>
        <v>1.5</v>
      </c>
      <c r="F498" s="29" t="s">
        <v>646</v>
      </c>
      <c r="G498" s="29"/>
      <c r="H498" s="29"/>
      <c r="I498" s="29" t="s">
        <v>431</v>
      </c>
      <c r="J498" s="47">
        <f t="shared" si="22"/>
        <v>20000</v>
      </c>
      <c r="K498" s="29">
        <f>VLOOKUP($C498,청소코드!$C$4:$J$188,8,FALSE)</f>
        <v>20000</v>
      </c>
      <c r="L498" s="32"/>
      <c r="M498" s="31"/>
      <c r="N498" s="32"/>
      <c r="O498" s="32"/>
    </row>
    <row r="499" spans="1:15" customFormat="1" ht="12.75" customHeight="1">
      <c r="A499" s="30">
        <v>46086</v>
      </c>
      <c r="B499" s="29" t="str">
        <f t="shared" si="21"/>
        <v>목</v>
      </c>
      <c r="C499" s="29" t="s">
        <v>640</v>
      </c>
      <c r="D499" s="29" t="str">
        <f>VLOOKUP($C499,청소코드!$C$4:$J$188,3,FALSE)</f>
        <v>대치동 103호</v>
      </c>
      <c r="E499" s="29">
        <f>VLOOKUP($C499,청소코드!$C$4:$J$188,4,FALSE)</f>
        <v>1.5</v>
      </c>
      <c r="F499" s="29" t="s">
        <v>647</v>
      </c>
      <c r="G499" s="29"/>
      <c r="H499" s="29"/>
      <c r="I499" s="29" t="s">
        <v>431</v>
      </c>
      <c r="J499" s="47">
        <f t="shared" si="22"/>
        <v>20000</v>
      </c>
      <c r="K499" s="29">
        <f>VLOOKUP($C499,청소코드!$C$4:$J$188,8,FALSE)</f>
        <v>20000</v>
      </c>
      <c r="L499" s="32"/>
      <c r="M499" s="31"/>
      <c r="N499" s="32"/>
      <c r="O499" s="32"/>
    </row>
    <row r="500" spans="1:15" customFormat="1" ht="12.75" customHeight="1">
      <c r="A500" s="30">
        <v>46086</v>
      </c>
      <c r="B500" s="29" t="str">
        <f t="shared" si="21"/>
        <v>목</v>
      </c>
      <c r="C500" s="29" t="s">
        <v>641</v>
      </c>
      <c r="D500" s="29" t="str">
        <f>VLOOKUP($C500,청소코드!$C$4:$J$188,3,FALSE)</f>
        <v>청광3차 1412</v>
      </c>
      <c r="E500" s="29">
        <f>VLOOKUP($C500,청소코드!$C$4:$J$188,4,FALSE)</f>
        <v>1</v>
      </c>
      <c r="F500" s="29" t="s">
        <v>648</v>
      </c>
      <c r="G500" s="29"/>
      <c r="H500" s="29"/>
      <c r="I500" s="29" t="s">
        <v>431</v>
      </c>
      <c r="J500" s="47">
        <f t="shared" si="22"/>
        <v>18000</v>
      </c>
      <c r="K500" s="29">
        <f>VLOOKUP($C500,청소코드!$C$4:$J$188,8,FALSE)</f>
        <v>18000</v>
      </c>
      <c r="L500" s="32"/>
      <c r="M500" s="31"/>
      <c r="N500" s="32"/>
      <c r="O500" s="32"/>
    </row>
    <row r="501" spans="1:15" customFormat="1" ht="12.75" customHeight="1">
      <c r="A501" s="30">
        <v>46086</v>
      </c>
      <c r="B501" s="29" t="str">
        <f t="shared" si="21"/>
        <v>목</v>
      </c>
      <c r="C501" s="29" t="s">
        <v>642</v>
      </c>
      <c r="D501" s="29" t="str">
        <f>VLOOKUP($C501,청소코드!$C$4:$J$188,3,FALSE)</f>
        <v>르센티 1801</v>
      </c>
      <c r="E501" s="29" t="str">
        <f>VLOOKUP($C501,청소코드!$C$4:$J$188,4,FALSE)</f>
        <v>복</v>
      </c>
      <c r="F501" s="29" t="s">
        <v>648</v>
      </c>
      <c r="G501" s="29"/>
      <c r="H501" s="29"/>
      <c r="I501" s="29" t="s">
        <v>431</v>
      </c>
      <c r="J501" s="47">
        <f t="shared" si="22"/>
        <v>20000</v>
      </c>
      <c r="K501" s="29">
        <f>VLOOKUP($C501,청소코드!$C$4:$J$188,8,FALSE)</f>
        <v>20000</v>
      </c>
      <c r="L501" s="32"/>
      <c r="M501" s="31"/>
      <c r="N501" s="32"/>
      <c r="O501" s="32"/>
    </row>
    <row r="502" spans="1:15" customFormat="1" ht="12.75" customHeight="1">
      <c r="A502" s="30">
        <v>46086</v>
      </c>
      <c r="B502" s="29" t="str">
        <f t="shared" si="21"/>
        <v>목</v>
      </c>
      <c r="C502" s="29" t="s">
        <v>643</v>
      </c>
      <c r="D502" s="29" t="str">
        <f>VLOOKUP($C502,청소코드!$C$4:$J$188,3,FALSE)</f>
        <v>동구햇살 1203</v>
      </c>
      <c r="E502" s="29" t="str">
        <f>VLOOKUP($C502,청소코드!$C$4:$J$188,4,FALSE)</f>
        <v>복</v>
      </c>
      <c r="F502" s="29" t="s">
        <v>649</v>
      </c>
      <c r="G502" s="29"/>
      <c r="H502" s="29"/>
      <c r="I502" s="29" t="s">
        <v>431</v>
      </c>
      <c r="J502" s="47">
        <f t="shared" si="22"/>
        <v>20000</v>
      </c>
      <c r="K502" s="29">
        <f>VLOOKUP($C502,청소코드!$C$4:$J$188,8,FALSE)</f>
        <v>20000</v>
      </c>
      <c r="L502" s="32"/>
      <c r="M502" s="31"/>
      <c r="N502" s="32"/>
      <c r="O502" s="32"/>
    </row>
    <row r="503" spans="1:15" customFormat="1" ht="12.75" customHeight="1">
      <c r="A503" s="30">
        <v>46086</v>
      </c>
      <c r="B503" s="29" t="str">
        <f t="shared" si="21"/>
        <v>목</v>
      </c>
      <c r="C503" s="29" t="s">
        <v>650</v>
      </c>
      <c r="D503" s="29" t="str">
        <f>VLOOKUP($C503,청소코드!$C$4:$J$188,3,FALSE)</f>
        <v>더하임 1005</v>
      </c>
      <c r="E503" s="29">
        <f>VLOOKUP($C503,청소코드!$C$4:$J$188,4,FALSE)</f>
        <v>1</v>
      </c>
      <c r="F503" s="29" t="s">
        <v>645</v>
      </c>
      <c r="G503" s="29"/>
      <c r="H503" s="29"/>
      <c r="I503" s="29" t="s">
        <v>431</v>
      </c>
      <c r="J503" s="47">
        <f t="shared" si="22"/>
        <v>18000</v>
      </c>
      <c r="K503" s="29">
        <f>VLOOKUP($C503,청소코드!$C$4:$J$188,8,FALSE)</f>
        <v>18000</v>
      </c>
      <c r="L503" s="32"/>
      <c r="M503" s="31"/>
      <c r="N503" s="32"/>
      <c r="O503" s="32"/>
    </row>
    <row r="504" spans="1:15" customFormat="1" ht="12.75" customHeight="1">
      <c r="A504" s="30">
        <v>46086</v>
      </c>
      <c r="B504" s="29" t="str">
        <f t="shared" si="21"/>
        <v>목</v>
      </c>
      <c r="C504" s="29" t="s">
        <v>651</v>
      </c>
      <c r="D504" s="29" t="str">
        <f>VLOOKUP($C504,청소코드!$C$4:$J$188,3,FALSE)</f>
        <v>청광1차 207</v>
      </c>
      <c r="E504" s="29">
        <f>VLOOKUP($C504,청소코드!$C$4:$J$188,4,FALSE)</f>
        <v>0</v>
      </c>
      <c r="F504" s="29" t="s">
        <v>645</v>
      </c>
      <c r="G504" s="29"/>
      <c r="H504" s="29"/>
      <c r="I504" s="29" t="s">
        <v>652</v>
      </c>
      <c r="J504" s="47">
        <f t="shared" si="22"/>
        <v>10000</v>
      </c>
      <c r="K504" s="29">
        <f>VLOOKUP($C504,청소코드!$C$4:$J$188,8,FALSE)</f>
        <v>10000</v>
      </c>
      <c r="L504" s="32"/>
      <c r="M504" s="31"/>
      <c r="N504" s="32"/>
      <c r="O504" s="32"/>
    </row>
    <row r="505" spans="1:15" customFormat="1" ht="12.75" customHeight="1">
      <c r="A505" s="49">
        <v>46087</v>
      </c>
      <c r="B505" s="50" t="str">
        <f t="shared" si="21"/>
        <v>금</v>
      </c>
      <c r="C505" s="29" t="s">
        <v>325</v>
      </c>
      <c r="D505" s="29" t="str">
        <f>VLOOKUP($C505,청소코드!$C$4:$J$188,3,FALSE)</f>
        <v>센텀 2차 501</v>
      </c>
      <c r="E505" s="29">
        <f>VLOOKUP($C505,청소코드!$C$4:$J$188,4,FALSE)</f>
        <v>1.5</v>
      </c>
      <c r="F505" s="29" t="s">
        <v>401</v>
      </c>
      <c r="G505" s="29"/>
      <c r="H505" s="29"/>
      <c r="I505" s="29" t="s">
        <v>439</v>
      </c>
      <c r="J505" s="47">
        <f t="shared" si="22"/>
        <v>20000</v>
      </c>
      <c r="K505" s="29">
        <f>VLOOKUP($C505,청소코드!$C$4:$J$188,8,FALSE)</f>
        <v>20000</v>
      </c>
      <c r="L505" s="32"/>
      <c r="M505" s="31"/>
      <c r="N505" s="32"/>
      <c r="O505" s="32"/>
    </row>
    <row r="506" spans="1:15" customFormat="1" ht="12.75" customHeight="1">
      <c r="A506" s="30">
        <v>46087</v>
      </c>
      <c r="B506" s="29" t="str">
        <f t="shared" ref="B506:B537" si="23">TEXT(A506,"aaa")</f>
        <v>금</v>
      </c>
      <c r="C506" s="29" t="s">
        <v>339</v>
      </c>
      <c r="D506" s="29" t="str">
        <f>VLOOKUP($C506,청소코드!$C$4:$J$188,3,FALSE)</f>
        <v>센텀 2차 606</v>
      </c>
      <c r="E506" s="29">
        <f>VLOOKUP($C506,청소코드!$C$4:$J$188,4,FALSE)</f>
        <v>1.5</v>
      </c>
      <c r="F506" s="29" t="s">
        <v>401</v>
      </c>
      <c r="G506" s="29"/>
      <c r="H506" s="29"/>
      <c r="I506" s="29" t="s">
        <v>431</v>
      </c>
      <c r="J506" s="47">
        <f t="shared" ref="J506:J537" si="24">SUM(K506:O506)</f>
        <v>20000</v>
      </c>
      <c r="K506" s="29">
        <f>VLOOKUP($C506,청소코드!$C$4:$J$188,8,FALSE)</f>
        <v>20000</v>
      </c>
      <c r="L506" s="32"/>
      <c r="M506" s="31"/>
      <c r="N506" s="32"/>
      <c r="O506" s="32"/>
    </row>
    <row r="507" spans="1:15" customFormat="1" ht="12.75" customHeight="1">
      <c r="A507" s="30">
        <v>46087</v>
      </c>
      <c r="B507" s="29" t="str">
        <f t="shared" si="23"/>
        <v>금</v>
      </c>
      <c r="C507" s="29" t="s">
        <v>364</v>
      </c>
      <c r="D507" s="29" t="str">
        <f>VLOOKUP($C507,청소코드!$C$4:$J$188,3,FALSE)</f>
        <v>더하임 305</v>
      </c>
      <c r="E507" s="29">
        <f>VLOOKUP($C507,청소코드!$C$4:$J$188,4,FALSE)</f>
        <v>1</v>
      </c>
      <c r="F507" s="29" t="s">
        <v>426</v>
      </c>
      <c r="G507" s="29"/>
      <c r="H507" s="29"/>
      <c r="I507" s="29" t="s">
        <v>431</v>
      </c>
      <c r="J507" s="47">
        <f t="shared" si="24"/>
        <v>18000</v>
      </c>
      <c r="K507" s="29">
        <f>VLOOKUP($C507,청소코드!$C$4:$J$188,8,FALSE)</f>
        <v>18000</v>
      </c>
      <c r="L507" s="32"/>
      <c r="M507" s="31"/>
      <c r="N507" s="32"/>
      <c r="O507" s="32"/>
    </row>
    <row r="508" spans="1:15" customFormat="1" ht="12.75" customHeight="1">
      <c r="A508" s="30">
        <v>46087</v>
      </c>
      <c r="B508" s="29" t="str">
        <f t="shared" si="23"/>
        <v>금</v>
      </c>
      <c r="C508" s="29" t="s">
        <v>287</v>
      </c>
      <c r="D508" s="29" t="str">
        <f>VLOOKUP($C508,청소코드!$C$4:$J$188,3,FALSE)</f>
        <v>청광3차 1412</v>
      </c>
      <c r="E508" s="29">
        <f>VLOOKUP($C508,청소코드!$C$4:$J$188,4,FALSE)</f>
        <v>1</v>
      </c>
      <c r="F508" s="29" t="s">
        <v>429</v>
      </c>
      <c r="G508" s="29"/>
      <c r="H508" s="29"/>
      <c r="I508" s="29" t="s">
        <v>431</v>
      </c>
      <c r="J508" s="47">
        <f t="shared" si="24"/>
        <v>18000</v>
      </c>
      <c r="K508" s="29">
        <f>VLOOKUP($C508,청소코드!$C$4:$J$188,8,FALSE)</f>
        <v>18000</v>
      </c>
      <c r="L508" s="32"/>
      <c r="M508" s="31"/>
      <c r="N508" s="32"/>
      <c r="O508" s="32"/>
    </row>
    <row r="509" spans="1:15" customFormat="1" ht="12.75" customHeight="1">
      <c r="A509" s="30">
        <v>46087</v>
      </c>
      <c r="B509" s="29" t="str">
        <f t="shared" si="23"/>
        <v>금</v>
      </c>
      <c r="C509" s="29" t="s">
        <v>376</v>
      </c>
      <c r="D509" s="29" t="str">
        <f>VLOOKUP($C509,청소코드!$C$4:$J$188,3,FALSE)</f>
        <v>은성 603</v>
      </c>
      <c r="E509" s="29">
        <f>VLOOKUP($C509,청소코드!$C$4:$J$188,4,FALSE)</f>
        <v>1</v>
      </c>
      <c r="F509" s="29" t="s">
        <v>438</v>
      </c>
      <c r="G509" s="29"/>
      <c r="H509" s="29"/>
      <c r="I509" s="29" t="s">
        <v>431</v>
      </c>
      <c r="J509" s="47">
        <f t="shared" si="24"/>
        <v>18000</v>
      </c>
      <c r="K509" s="29">
        <f>VLOOKUP($C509,청소코드!$C$4:$J$188,8,FALSE)</f>
        <v>18000</v>
      </c>
      <c r="L509" s="32"/>
      <c r="M509" s="31"/>
      <c r="N509" s="32"/>
      <c r="O509" s="32"/>
    </row>
    <row r="510" spans="1:15" customFormat="1" ht="12.75" customHeight="1">
      <c r="A510" s="30">
        <v>46087</v>
      </c>
      <c r="B510" s="29" t="str">
        <f t="shared" si="23"/>
        <v>금</v>
      </c>
      <c r="C510" s="29" t="s">
        <v>315</v>
      </c>
      <c r="D510" s="29" t="str">
        <f>VLOOKUP($C510,청소코드!$C$4:$J$188,3,FALSE)</f>
        <v>동구햇살 1203</v>
      </c>
      <c r="E510" s="29" t="str">
        <f>VLOOKUP($C510,청소코드!$C$4:$J$188,4,FALSE)</f>
        <v>복</v>
      </c>
      <c r="F510" s="29" t="s">
        <v>438</v>
      </c>
      <c r="G510" s="29"/>
      <c r="H510" s="29"/>
      <c r="I510" s="29" t="s">
        <v>431</v>
      </c>
      <c r="J510" s="47">
        <f t="shared" si="24"/>
        <v>20000</v>
      </c>
      <c r="K510" s="29">
        <f>VLOOKUP($C510,청소코드!$C$4:$J$188,8,FALSE)</f>
        <v>20000</v>
      </c>
      <c r="L510" s="32"/>
      <c r="M510" s="31"/>
      <c r="N510" s="32"/>
      <c r="O510" s="32"/>
    </row>
    <row r="511" spans="1:15" customFormat="1" ht="12.75" customHeight="1">
      <c r="A511" s="30">
        <v>46087</v>
      </c>
      <c r="B511" s="29" t="str">
        <f t="shared" si="23"/>
        <v>금</v>
      </c>
      <c r="C511" s="29" t="s">
        <v>357</v>
      </c>
      <c r="D511" s="29" t="str">
        <f>VLOOKUP($C511,청소코드!$C$4:$J$188,3,FALSE)</f>
        <v>오금스타 203</v>
      </c>
      <c r="E511" s="29">
        <f>VLOOKUP($C511,청소코드!$C$4:$J$188,4,FALSE)</f>
        <v>1</v>
      </c>
      <c r="F511" s="29" t="s">
        <v>449</v>
      </c>
      <c r="G511" s="29" t="s">
        <v>653</v>
      </c>
      <c r="H511" s="29"/>
      <c r="I511" s="29" t="s">
        <v>431</v>
      </c>
      <c r="J511" s="47">
        <f t="shared" si="24"/>
        <v>23000</v>
      </c>
      <c r="K511" s="29">
        <f>VLOOKUP($C511,청소코드!$C$4:$J$188,8,FALSE)</f>
        <v>18000</v>
      </c>
      <c r="L511" s="32">
        <v>5000</v>
      </c>
      <c r="M511" s="31"/>
      <c r="N511" s="32"/>
      <c r="O511" s="32"/>
    </row>
    <row r="512" spans="1:15" customFormat="1" ht="12.75" customHeight="1">
      <c r="A512" s="30">
        <v>46087</v>
      </c>
      <c r="B512" s="29" t="str">
        <f t="shared" si="23"/>
        <v>금</v>
      </c>
      <c r="C512" s="29" t="s">
        <v>369</v>
      </c>
      <c r="D512" s="29" t="str">
        <f>VLOOKUP($C512,청소코드!$C$4:$J$188,3,FALSE)</f>
        <v>성우 402</v>
      </c>
      <c r="E512" s="29">
        <f>VLOOKUP($C512,청소코드!$C$4:$J$188,4,FALSE)</f>
        <v>3</v>
      </c>
      <c r="F512" s="29" t="s">
        <v>437</v>
      </c>
      <c r="G512" s="29"/>
      <c r="H512" s="29"/>
      <c r="I512" s="29" t="s">
        <v>431</v>
      </c>
      <c r="J512" s="47">
        <f t="shared" si="24"/>
        <v>30000</v>
      </c>
      <c r="K512" s="29">
        <f>VLOOKUP($C512,청소코드!$C$4:$J$188,8,FALSE)</f>
        <v>30000</v>
      </c>
      <c r="L512" s="32"/>
      <c r="M512" s="31"/>
      <c r="N512" s="32"/>
      <c r="O512" s="32"/>
    </row>
    <row r="513" spans="1:15" customFormat="1" ht="12.75" customHeight="1">
      <c r="A513" s="30">
        <v>46087</v>
      </c>
      <c r="B513" s="29" t="str">
        <f t="shared" si="23"/>
        <v>금</v>
      </c>
      <c r="C513" s="29" t="s">
        <v>416</v>
      </c>
      <c r="D513" s="29" t="str">
        <f>VLOOKUP($C513,청소코드!$C$4:$J$188,3,FALSE)</f>
        <v>청광1차 207</v>
      </c>
      <c r="E513" s="29">
        <f>VLOOKUP($C513,청소코드!$C$4:$J$188,4,FALSE)</f>
        <v>0</v>
      </c>
      <c r="F513" s="29" t="s">
        <v>426</v>
      </c>
      <c r="G513" s="29"/>
      <c r="H513" s="29"/>
      <c r="I513" s="29" t="s">
        <v>431</v>
      </c>
      <c r="J513" s="47">
        <f t="shared" si="24"/>
        <v>10000</v>
      </c>
      <c r="K513" s="29">
        <f>VLOOKUP($C513,청소코드!$C$4:$J$188,8,FALSE)</f>
        <v>10000</v>
      </c>
      <c r="L513" s="32"/>
      <c r="M513" s="31"/>
      <c r="N513" s="32"/>
      <c r="O513" s="32"/>
    </row>
    <row r="514" spans="1:15" customFormat="1" ht="12.75" customHeight="1">
      <c r="A514" s="49">
        <v>46088</v>
      </c>
      <c r="B514" s="50" t="str">
        <f t="shared" si="23"/>
        <v>토</v>
      </c>
      <c r="C514" s="29" t="s">
        <v>654</v>
      </c>
      <c r="D514" s="29" t="str">
        <f>VLOOKUP($C514,청소코드!$C$4:$J$188,3,FALSE)</f>
        <v>예건 702</v>
      </c>
      <c r="E514" s="29">
        <f>VLOOKUP($C514,청소코드!$C$4:$J$188,4,FALSE)</f>
        <v>1</v>
      </c>
      <c r="F514" s="29" t="s">
        <v>665</v>
      </c>
      <c r="G514" s="29"/>
      <c r="H514" s="29"/>
      <c r="I514" s="29" t="s">
        <v>431</v>
      </c>
      <c r="J514" s="47">
        <f t="shared" si="24"/>
        <v>18000</v>
      </c>
      <c r="K514" s="29">
        <f>VLOOKUP($C514,청소코드!$C$4:$J$188,8,FALSE)</f>
        <v>18000</v>
      </c>
      <c r="L514" s="32"/>
      <c r="M514" s="31"/>
      <c r="N514" s="32"/>
      <c r="O514" s="32"/>
    </row>
    <row r="515" spans="1:15" customFormat="1" ht="12.75" customHeight="1">
      <c r="A515" s="30">
        <v>46088</v>
      </c>
      <c r="B515" s="29" t="str">
        <f t="shared" si="23"/>
        <v>토</v>
      </c>
      <c r="C515" s="29" t="s">
        <v>655</v>
      </c>
      <c r="D515" s="29" t="str">
        <f>VLOOKUP($C515,청소코드!$C$4:$J$188,3,FALSE)</f>
        <v>더하임 1005</v>
      </c>
      <c r="E515" s="29">
        <f>VLOOKUP($C515,청소코드!$C$4:$J$188,4,FALSE)</f>
        <v>1</v>
      </c>
      <c r="F515" s="29" t="s">
        <v>666</v>
      </c>
      <c r="G515" s="29"/>
      <c r="H515" s="29"/>
      <c r="I515" s="29" t="s">
        <v>671</v>
      </c>
      <c r="J515" s="47">
        <f t="shared" si="24"/>
        <v>18000</v>
      </c>
      <c r="K515" s="29">
        <f>VLOOKUP($C515,청소코드!$C$4:$J$188,8,FALSE)</f>
        <v>18000</v>
      </c>
      <c r="L515" s="32"/>
      <c r="M515" s="31"/>
      <c r="N515" s="32"/>
      <c r="O515" s="32"/>
    </row>
    <row r="516" spans="1:15" customFormat="1" ht="12.75" customHeight="1">
      <c r="A516" s="30">
        <v>46088</v>
      </c>
      <c r="B516" s="29" t="str">
        <f t="shared" si="23"/>
        <v>토</v>
      </c>
      <c r="C516" s="29" t="s">
        <v>656</v>
      </c>
      <c r="D516" s="29" t="str">
        <f>VLOOKUP($C516,청소코드!$C$4:$J$188,3,FALSE)</f>
        <v>더하임 305</v>
      </c>
      <c r="E516" s="29">
        <f>VLOOKUP($C516,청소코드!$C$4:$J$188,4,FALSE)</f>
        <v>1</v>
      </c>
      <c r="F516" s="29" t="s">
        <v>666</v>
      </c>
      <c r="G516" s="29"/>
      <c r="H516" s="29"/>
      <c r="I516" s="29" t="s">
        <v>671</v>
      </c>
      <c r="J516" s="47">
        <f t="shared" si="24"/>
        <v>18000</v>
      </c>
      <c r="K516" s="29">
        <f>VLOOKUP($C516,청소코드!$C$4:$J$188,8,FALSE)</f>
        <v>18000</v>
      </c>
      <c r="L516" s="32"/>
      <c r="M516" s="31"/>
      <c r="N516" s="32"/>
      <c r="O516" s="32"/>
    </row>
    <row r="517" spans="1:15" customFormat="1" ht="12.75" customHeight="1">
      <c r="A517" s="30">
        <v>46088</v>
      </c>
      <c r="B517" s="29" t="str">
        <f t="shared" si="23"/>
        <v>토</v>
      </c>
      <c r="C517" s="29" t="s">
        <v>657</v>
      </c>
      <c r="D517" s="29" t="str">
        <f>VLOOKUP($C517,청소코드!$C$4:$J$188,3,FALSE)</f>
        <v>청광3차 1412</v>
      </c>
      <c r="E517" s="29">
        <f>VLOOKUP($C517,청소코드!$C$4:$J$188,4,FALSE)</f>
        <v>1</v>
      </c>
      <c r="F517" s="29" t="s">
        <v>667</v>
      </c>
      <c r="G517" s="29"/>
      <c r="H517" s="29"/>
      <c r="I517" s="29" t="s">
        <v>431</v>
      </c>
      <c r="J517" s="47">
        <f t="shared" si="24"/>
        <v>18000</v>
      </c>
      <c r="K517" s="29">
        <f>VLOOKUP($C517,청소코드!$C$4:$J$188,8,FALSE)</f>
        <v>18000</v>
      </c>
      <c r="L517" s="32"/>
      <c r="M517" s="31"/>
      <c r="N517" s="32"/>
      <c r="O517" s="32"/>
    </row>
    <row r="518" spans="1:15" customFormat="1" ht="12.75" customHeight="1">
      <c r="A518" s="30">
        <v>46088</v>
      </c>
      <c r="B518" s="29" t="str">
        <f t="shared" si="23"/>
        <v>토</v>
      </c>
      <c r="C518" s="29" t="s">
        <v>658</v>
      </c>
      <c r="D518" s="29" t="str">
        <f>VLOOKUP($C518,청소코드!$C$4:$J$188,3,FALSE)</f>
        <v>강동QV 1604</v>
      </c>
      <c r="E518" s="29">
        <f>VLOOKUP($C518,청소코드!$C$4:$J$188,4,FALSE)</f>
        <v>1</v>
      </c>
      <c r="F518" s="29" t="s">
        <v>667</v>
      </c>
      <c r="G518" s="29"/>
      <c r="H518" s="29"/>
      <c r="I518" s="29" t="s">
        <v>431</v>
      </c>
      <c r="J518" s="47">
        <f t="shared" si="24"/>
        <v>18000</v>
      </c>
      <c r="K518" s="29">
        <f>VLOOKUP($C518,청소코드!$C$4:$J$188,8,FALSE)</f>
        <v>18000</v>
      </c>
      <c r="L518" s="32"/>
      <c r="M518" s="31"/>
      <c r="N518" s="32"/>
      <c r="O518" s="32"/>
    </row>
    <row r="519" spans="1:15" customFormat="1" ht="12.75" customHeight="1">
      <c r="A519" s="30">
        <v>46088</v>
      </c>
      <c r="B519" s="29" t="str">
        <f t="shared" si="23"/>
        <v>토</v>
      </c>
      <c r="C519" s="29" t="s">
        <v>659</v>
      </c>
      <c r="D519" s="29" t="str">
        <f>VLOOKUP($C519,청소코드!$C$4:$J$188,3,FALSE)</f>
        <v>은성 603</v>
      </c>
      <c r="E519" s="29">
        <f>VLOOKUP($C519,청소코드!$C$4:$J$188,4,FALSE)</f>
        <v>1</v>
      </c>
      <c r="F519" s="29" t="s">
        <v>668</v>
      </c>
      <c r="G519" s="29"/>
      <c r="H519" s="29"/>
      <c r="I519" s="29" t="s">
        <v>431</v>
      </c>
      <c r="J519" s="47">
        <f t="shared" si="24"/>
        <v>18000</v>
      </c>
      <c r="K519" s="29">
        <f>VLOOKUP($C519,청소코드!$C$4:$J$188,8,FALSE)</f>
        <v>18000</v>
      </c>
      <c r="L519" s="32"/>
      <c r="M519" s="31"/>
      <c r="N519" s="32"/>
      <c r="O519" s="32"/>
    </row>
    <row r="520" spans="1:15" customFormat="1" ht="12.75" customHeight="1">
      <c r="A520" s="30">
        <v>46088</v>
      </c>
      <c r="B520" s="29" t="str">
        <f t="shared" si="23"/>
        <v>토</v>
      </c>
      <c r="C520" s="29" t="s">
        <v>660</v>
      </c>
      <c r="D520" s="29" t="str">
        <f>VLOOKUP($C520,청소코드!$C$4:$J$188,3,FALSE)</f>
        <v>센텀 2차 406</v>
      </c>
      <c r="E520" s="29">
        <f>VLOOKUP($C520,청소코드!$C$4:$J$188,4,FALSE)</f>
        <v>1.5</v>
      </c>
      <c r="F520" s="29" t="s">
        <v>437</v>
      </c>
      <c r="G520" s="29"/>
      <c r="H520" s="29"/>
      <c r="I520" s="29" t="s">
        <v>431</v>
      </c>
      <c r="J520" s="47">
        <f t="shared" si="24"/>
        <v>20000</v>
      </c>
      <c r="K520" s="29">
        <f>VLOOKUP($C520,청소코드!$C$4:$J$188,8,FALSE)</f>
        <v>20000</v>
      </c>
      <c r="L520" s="32"/>
      <c r="M520" s="31"/>
      <c r="N520" s="32"/>
      <c r="O520" s="32"/>
    </row>
    <row r="521" spans="1:15" customFormat="1" ht="12.75" customHeight="1">
      <c r="A521" s="30">
        <v>46088</v>
      </c>
      <c r="B521" s="29" t="str">
        <f t="shared" si="23"/>
        <v>토</v>
      </c>
      <c r="C521" s="29" t="s">
        <v>661</v>
      </c>
      <c r="D521" s="29" t="str">
        <f>VLOOKUP($C521,청소코드!$C$4:$J$188,3,FALSE)</f>
        <v>성우 304</v>
      </c>
      <c r="E521" s="29">
        <f>VLOOKUP($C521,청소코드!$C$4:$J$188,4,FALSE)</f>
        <v>2</v>
      </c>
      <c r="F521" s="29" t="s">
        <v>449</v>
      </c>
      <c r="G521" s="29"/>
      <c r="H521" s="29"/>
      <c r="I521" s="29" t="s">
        <v>431</v>
      </c>
      <c r="J521" s="47">
        <f t="shared" si="24"/>
        <v>23000</v>
      </c>
      <c r="K521" s="29">
        <f>VLOOKUP($C521,청소코드!$C$4:$J$188,8,FALSE)</f>
        <v>23000</v>
      </c>
      <c r="L521" s="32"/>
      <c r="M521" s="31"/>
      <c r="N521" s="32"/>
      <c r="O521" s="32"/>
    </row>
    <row r="522" spans="1:15" customFormat="1" ht="12.75" customHeight="1">
      <c r="A522" s="30">
        <v>46088</v>
      </c>
      <c r="B522" s="29" t="str">
        <f t="shared" si="23"/>
        <v>토</v>
      </c>
      <c r="C522" s="29" t="s">
        <v>662</v>
      </c>
      <c r="D522" s="29" t="str">
        <f>VLOOKUP($C522,청소코드!$C$4:$J$188,3,FALSE)</f>
        <v>성우 903</v>
      </c>
      <c r="E522" s="29">
        <f>VLOOKUP($C522,청소코드!$C$4:$J$188,4,FALSE)</f>
        <v>3</v>
      </c>
      <c r="F522" s="29" t="s">
        <v>449</v>
      </c>
      <c r="G522" s="29"/>
      <c r="H522" s="29"/>
      <c r="I522" s="29" t="s">
        <v>431</v>
      </c>
      <c r="J522" s="47">
        <f t="shared" si="24"/>
        <v>30000</v>
      </c>
      <c r="K522" s="29">
        <f>VLOOKUP($C522,청소코드!$C$4:$J$188,8,FALSE)</f>
        <v>30000</v>
      </c>
      <c r="L522" s="32"/>
      <c r="M522" s="31"/>
      <c r="N522" s="32"/>
      <c r="O522" s="32"/>
    </row>
    <row r="523" spans="1:15" customFormat="1" ht="12.75" customHeight="1">
      <c r="A523" s="30">
        <v>46088</v>
      </c>
      <c r="B523" s="29" t="str">
        <f t="shared" si="23"/>
        <v>토</v>
      </c>
      <c r="C523" s="29" t="s">
        <v>663</v>
      </c>
      <c r="D523" s="29" t="str">
        <f>VLOOKUP($C523,청소코드!$C$4:$J$188,3,FALSE)</f>
        <v>대치동 102호</v>
      </c>
      <c r="E523" s="29">
        <f>VLOOKUP($C523,청소코드!$C$4:$J$188,4,FALSE)</f>
        <v>1</v>
      </c>
      <c r="F523" s="29" t="s">
        <v>669</v>
      </c>
      <c r="G523" s="29"/>
      <c r="H523" s="29"/>
      <c r="I523" s="29" t="s">
        <v>431</v>
      </c>
      <c r="J523" s="47">
        <f t="shared" si="24"/>
        <v>18000</v>
      </c>
      <c r="K523" s="29">
        <f>VLOOKUP($C523,청소코드!$C$4:$J$188,8,FALSE)</f>
        <v>18000</v>
      </c>
      <c r="L523" s="32"/>
      <c r="M523" s="31"/>
      <c r="N523" s="32"/>
      <c r="O523" s="32"/>
    </row>
    <row r="524" spans="1:15" customFormat="1" ht="12.75" customHeight="1">
      <c r="A524" s="30">
        <v>46088</v>
      </c>
      <c r="B524" s="29" t="str">
        <f t="shared" si="23"/>
        <v>토</v>
      </c>
      <c r="C524" s="29" t="s">
        <v>664</v>
      </c>
      <c r="D524" s="29" t="str">
        <f>VLOOKUP($C524,청소코드!$C$4:$J$188,3,FALSE)</f>
        <v>대치동 103호</v>
      </c>
      <c r="E524" s="29">
        <f>VLOOKUP($C524,청소코드!$C$4:$J$188,4,FALSE)</f>
        <v>1.5</v>
      </c>
      <c r="F524" s="29" t="s">
        <v>669</v>
      </c>
      <c r="G524" s="29"/>
      <c r="H524" s="29"/>
      <c r="I524" s="29" t="s">
        <v>431</v>
      </c>
      <c r="J524" s="47">
        <f t="shared" si="24"/>
        <v>20000</v>
      </c>
      <c r="K524" s="29">
        <f>VLOOKUP($C524,청소코드!$C$4:$J$188,8,FALSE)</f>
        <v>20000</v>
      </c>
      <c r="L524" s="32"/>
      <c r="M524" s="31"/>
      <c r="N524" s="32"/>
      <c r="O524" s="32"/>
    </row>
    <row r="525" spans="1:15" customFormat="1" ht="12.75" customHeight="1">
      <c r="A525" s="30">
        <v>46088</v>
      </c>
      <c r="B525" s="29" t="str">
        <f t="shared" si="23"/>
        <v>토</v>
      </c>
      <c r="C525" s="29" t="s">
        <v>670</v>
      </c>
      <c r="D525" s="29" t="str">
        <f>VLOOKUP($C525,청소코드!$C$4:$J$188,3,FALSE)</f>
        <v>청광1차 207</v>
      </c>
      <c r="E525" s="29">
        <f>VLOOKUP($C525,청소코드!$C$4:$J$188,4,FALSE)</f>
        <v>0</v>
      </c>
      <c r="F525" s="29" t="s">
        <v>426</v>
      </c>
      <c r="G525" s="29"/>
      <c r="H525" s="29"/>
      <c r="I525" s="29" t="s">
        <v>431</v>
      </c>
      <c r="J525" s="47">
        <f t="shared" si="24"/>
        <v>10000</v>
      </c>
      <c r="K525" s="29">
        <f>VLOOKUP($C525,청소코드!$C$4:$J$188,8,FALSE)</f>
        <v>10000</v>
      </c>
      <c r="L525" s="32"/>
      <c r="M525" s="31"/>
      <c r="N525" s="32"/>
      <c r="O525" s="32"/>
    </row>
    <row r="526" spans="1:15" customFormat="1" ht="12.75" customHeight="1">
      <c r="A526" s="49">
        <v>46089</v>
      </c>
      <c r="B526" s="50" t="str">
        <f t="shared" si="23"/>
        <v>일</v>
      </c>
      <c r="C526" s="29" t="s">
        <v>672</v>
      </c>
      <c r="D526" s="29" t="str">
        <f>VLOOKUP($C526,청소코드!$C$4:$J$188,3,FALSE)</f>
        <v>성우 304</v>
      </c>
      <c r="E526" s="29">
        <f>VLOOKUP($C526,청소코드!$C$4:$J$188,4,FALSE)</f>
        <v>2</v>
      </c>
      <c r="F526" s="29" t="s">
        <v>689</v>
      </c>
      <c r="G526" s="29"/>
      <c r="H526" s="29"/>
      <c r="I526" s="29" t="s">
        <v>703</v>
      </c>
      <c r="J526" s="47">
        <f t="shared" si="24"/>
        <v>23000</v>
      </c>
      <c r="K526" s="29">
        <f>VLOOKUP($C526,청소코드!$C$4:$J$188,8,FALSE)</f>
        <v>23000</v>
      </c>
      <c r="L526" s="32"/>
      <c r="M526" s="31"/>
      <c r="N526" s="32"/>
      <c r="O526" s="32"/>
    </row>
    <row r="527" spans="1:15" customFormat="1" ht="12.75" customHeight="1">
      <c r="A527" s="30">
        <v>46089</v>
      </c>
      <c r="B527" s="29" t="str">
        <f t="shared" si="23"/>
        <v>일</v>
      </c>
      <c r="C527" s="29" t="s">
        <v>673</v>
      </c>
      <c r="D527" s="29" t="str">
        <f>VLOOKUP($C527,청소코드!$C$4:$J$188,3,FALSE)</f>
        <v>성우 903</v>
      </c>
      <c r="E527" s="29">
        <f>VLOOKUP($C527,청소코드!$C$4:$J$188,4,FALSE)</f>
        <v>3</v>
      </c>
      <c r="F527" s="29" t="s">
        <v>689</v>
      </c>
      <c r="G527" s="29"/>
      <c r="H527" s="29"/>
      <c r="I527" s="29" t="s">
        <v>703</v>
      </c>
      <c r="J527" s="47">
        <f t="shared" si="24"/>
        <v>30000</v>
      </c>
      <c r="K527" s="29">
        <f>VLOOKUP($C527,청소코드!$C$4:$J$188,8,FALSE)</f>
        <v>30000</v>
      </c>
      <c r="L527" s="32"/>
      <c r="M527" s="31"/>
      <c r="N527" s="32"/>
      <c r="O527" s="32"/>
    </row>
    <row r="528" spans="1:15" customFormat="1" ht="12.75" customHeight="1">
      <c r="A528" s="30">
        <v>46089</v>
      </c>
      <c r="B528" s="29" t="str">
        <f t="shared" si="23"/>
        <v>일</v>
      </c>
      <c r="C528" s="29" t="s">
        <v>678</v>
      </c>
      <c r="D528" s="29" t="str">
        <f>VLOOKUP($C528,청소코드!$C$4:$J$188,3,FALSE)</f>
        <v>더하임 1005</v>
      </c>
      <c r="E528" s="29">
        <f>VLOOKUP($C528,청소코드!$C$4:$J$188,4,FALSE)</f>
        <v>1</v>
      </c>
      <c r="F528" s="29" t="s">
        <v>690</v>
      </c>
      <c r="G528" s="29" t="s">
        <v>704</v>
      </c>
      <c r="H528" s="29"/>
      <c r="I528" s="29" t="s">
        <v>703</v>
      </c>
      <c r="J528" s="47">
        <f t="shared" si="24"/>
        <v>23000</v>
      </c>
      <c r="K528" s="29">
        <f>VLOOKUP($C528,청소코드!$C$4:$J$188,8,FALSE)</f>
        <v>18000</v>
      </c>
      <c r="L528" s="32">
        <v>5000</v>
      </c>
      <c r="M528" s="31"/>
      <c r="N528" s="32"/>
      <c r="O528" s="32"/>
    </row>
    <row r="529" spans="1:15" customFormat="1" ht="12.75" customHeight="1">
      <c r="A529" s="30">
        <v>46089</v>
      </c>
      <c r="B529" s="29" t="str">
        <f t="shared" si="23"/>
        <v>일</v>
      </c>
      <c r="C529" s="29" t="s">
        <v>674</v>
      </c>
      <c r="D529" s="29" t="str">
        <f>VLOOKUP($C529,청소코드!$C$4:$J$188,3,FALSE)</f>
        <v>더하임 204</v>
      </c>
      <c r="E529" s="29">
        <f>VLOOKUP($C529,청소코드!$C$4:$J$188,4,FALSE)</f>
        <v>1</v>
      </c>
      <c r="F529" s="29" t="s">
        <v>690</v>
      </c>
      <c r="G529" s="29"/>
      <c r="H529" s="29"/>
      <c r="I529" s="29" t="s">
        <v>703</v>
      </c>
      <c r="J529" s="47">
        <f t="shared" si="24"/>
        <v>18000</v>
      </c>
      <c r="K529" s="29">
        <f>VLOOKUP($C529,청소코드!$C$4:$J$188,8,FALSE)</f>
        <v>18000</v>
      </c>
      <c r="L529" s="32"/>
      <c r="M529" s="31"/>
      <c r="N529" s="32"/>
      <c r="O529" s="32"/>
    </row>
    <row r="530" spans="1:15" customFormat="1" ht="12.75" customHeight="1">
      <c r="A530" s="30">
        <v>46089</v>
      </c>
      <c r="B530" s="29" t="str">
        <f t="shared" si="23"/>
        <v>일</v>
      </c>
      <c r="C530" s="29" t="s">
        <v>675</v>
      </c>
      <c r="D530" s="29" t="str">
        <f>VLOOKUP($C530,청소코드!$C$4:$J$188,3,FALSE)</f>
        <v>더하임 305</v>
      </c>
      <c r="E530" s="29">
        <f>VLOOKUP($C530,청소코드!$C$4:$J$188,4,FALSE)</f>
        <v>1</v>
      </c>
      <c r="F530" s="29" t="s">
        <v>691</v>
      </c>
      <c r="G530" s="29"/>
      <c r="H530" s="29"/>
      <c r="I530" s="29" t="s">
        <v>703</v>
      </c>
      <c r="J530" s="47">
        <f t="shared" si="24"/>
        <v>18000</v>
      </c>
      <c r="K530" s="29">
        <f>VLOOKUP($C530,청소코드!$C$4:$J$188,8,FALSE)</f>
        <v>18000</v>
      </c>
      <c r="L530" s="32"/>
      <c r="M530" s="31"/>
      <c r="N530" s="32"/>
      <c r="O530" s="32"/>
    </row>
    <row r="531" spans="1:15" customFormat="1" ht="12.75" customHeight="1">
      <c r="A531" s="30">
        <v>46089</v>
      </c>
      <c r="B531" s="29" t="str">
        <f t="shared" si="23"/>
        <v>일</v>
      </c>
      <c r="C531" s="29" t="s">
        <v>676</v>
      </c>
      <c r="D531" s="29" t="str">
        <f>VLOOKUP($C531,청소코드!$C$4:$J$188,3,FALSE)</f>
        <v>더하임 604</v>
      </c>
      <c r="E531" s="29">
        <f>VLOOKUP($C531,청소코드!$C$4:$J$188,4,FALSE)</f>
        <v>1</v>
      </c>
      <c r="F531" s="29" t="s">
        <v>691</v>
      </c>
      <c r="G531" s="29"/>
      <c r="H531" s="29"/>
      <c r="I531" s="29" t="s">
        <v>703</v>
      </c>
      <c r="J531" s="47">
        <f t="shared" si="24"/>
        <v>18000</v>
      </c>
      <c r="K531" s="29">
        <f>VLOOKUP($C531,청소코드!$C$4:$J$188,8,FALSE)</f>
        <v>18000</v>
      </c>
      <c r="L531" s="32"/>
      <c r="M531" s="31"/>
      <c r="N531" s="32"/>
      <c r="O531" s="32"/>
    </row>
    <row r="532" spans="1:15" customFormat="1" ht="12.75" customHeight="1">
      <c r="A532" s="30">
        <v>46089</v>
      </c>
      <c r="B532" s="29" t="str">
        <f t="shared" si="23"/>
        <v>일</v>
      </c>
      <c r="C532" s="29" t="s">
        <v>677</v>
      </c>
      <c r="D532" s="29" t="str">
        <f>VLOOKUP($C532,청소코드!$C$4:$J$188,3,FALSE)</f>
        <v>강동QV 1604</v>
      </c>
      <c r="E532" s="29">
        <f>VLOOKUP($C532,청소코드!$C$4:$J$188,4,FALSE)</f>
        <v>1</v>
      </c>
      <c r="F532" s="29" t="s">
        <v>692</v>
      </c>
      <c r="G532" s="29"/>
      <c r="H532" s="29"/>
      <c r="I532" s="29" t="s">
        <v>703</v>
      </c>
      <c r="J532" s="47">
        <f t="shared" si="24"/>
        <v>18000</v>
      </c>
      <c r="K532" s="29">
        <f>VLOOKUP($C532,청소코드!$C$4:$J$188,8,FALSE)</f>
        <v>18000</v>
      </c>
      <c r="L532" s="32"/>
      <c r="M532" s="31"/>
      <c r="N532" s="32"/>
      <c r="O532" s="32"/>
    </row>
    <row r="533" spans="1:15" customFormat="1" ht="12.75" customHeight="1">
      <c r="A533" s="30">
        <v>46089</v>
      </c>
      <c r="B533" s="29" t="str">
        <f t="shared" si="23"/>
        <v>일</v>
      </c>
      <c r="C533" s="29" t="s">
        <v>679</v>
      </c>
      <c r="D533" s="29" t="str">
        <f>VLOOKUP($C533,청소코드!$C$4:$J$188,3,FALSE)</f>
        <v>은성 603</v>
      </c>
      <c r="E533" s="29">
        <f>VLOOKUP($C533,청소코드!$C$4:$J$188,4,FALSE)</f>
        <v>1</v>
      </c>
      <c r="F533" s="29" t="s">
        <v>692</v>
      </c>
      <c r="G533" s="29" t="s">
        <v>704</v>
      </c>
      <c r="H533" s="29"/>
      <c r="I533" s="29" t="s">
        <v>703</v>
      </c>
      <c r="J533" s="47">
        <f t="shared" si="24"/>
        <v>23000</v>
      </c>
      <c r="K533" s="29">
        <f>VLOOKUP($C533,청소코드!$C$4:$J$188,8,FALSE)</f>
        <v>18000</v>
      </c>
      <c r="L533" s="32">
        <v>5000</v>
      </c>
      <c r="M533" s="31"/>
      <c r="N533" s="32"/>
      <c r="O533" s="32"/>
    </row>
    <row r="534" spans="1:15" customFormat="1" ht="12.75" customHeight="1">
      <c r="A534" s="30">
        <v>46089</v>
      </c>
      <c r="B534" s="29" t="str">
        <f t="shared" si="23"/>
        <v>일</v>
      </c>
      <c r="C534" s="29" t="s">
        <v>680</v>
      </c>
      <c r="D534" s="29" t="str">
        <f>VLOOKUP($C534,청소코드!$C$4:$J$188,3,FALSE)</f>
        <v>si 602</v>
      </c>
      <c r="E534" s="29">
        <f>VLOOKUP($C534,청소코드!$C$4:$J$188,4,FALSE)</f>
        <v>1</v>
      </c>
      <c r="F534" s="29" t="s">
        <v>689</v>
      </c>
      <c r="G534" s="29" t="s">
        <v>693</v>
      </c>
      <c r="H534" s="29"/>
      <c r="I534" s="29" t="s">
        <v>703</v>
      </c>
      <c r="J534" s="47">
        <f t="shared" si="24"/>
        <v>25000</v>
      </c>
      <c r="K534" s="29">
        <f>VLOOKUP($C534,청소코드!$C$4:$J$188,8,FALSE)</f>
        <v>20000</v>
      </c>
      <c r="L534" s="32">
        <v>5000</v>
      </c>
      <c r="M534" s="31"/>
      <c r="N534" s="32"/>
      <c r="O534" s="32"/>
    </row>
    <row r="535" spans="1:15" customFormat="1" ht="12.75" customHeight="1">
      <c r="A535" s="30">
        <v>46089</v>
      </c>
      <c r="B535" s="29" t="str">
        <f t="shared" si="23"/>
        <v>일</v>
      </c>
      <c r="C535" s="29" t="s">
        <v>681</v>
      </c>
      <c r="D535" s="29" t="str">
        <f>VLOOKUP($C535,청소코드!$C$4:$J$188,3,FALSE)</f>
        <v>하람휴 902</v>
      </c>
      <c r="E535" s="29">
        <f>VLOOKUP($C535,청소코드!$C$4:$J$188,4,FALSE)</f>
        <v>2</v>
      </c>
      <c r="F535" s="29" t="s">
        <v>694</v>
      </c>
      <c r="G535" s="29" t="s">
        <v>704</v>
      </c>
      <c r="H535" s="29"/>
      <c r="I535" s="29" t="s">
        <v>703</v>
      </c>
      <c r="J535" s="47">
        <f t="shared" si="24"/>
        <v>28000</v>
      </c>
      <c r="K535" s="29">
        <f>VLOOKUP($C535,청소코드!$C$4:$J$188,8,FALSE)</f>
        <v>23000</v>
      </c>
      <c r="L535" s="32">
        <v>5000</v>
      </c>
      <c r="M535" s="31"/>
      <c r="N535" s="32"/>
      <c r="O535" s="32"/>
    </row>
    <row r="536" spans="1:15" customFormat="1" ht="12.75" customHeight="1">
      <c r="A536" s="30">
        <v>46089</v>
      </c>
      <c r="B536" s="29" t="str">
        <f t="shared" si="23"/>
        <v>일</v>
      </c>
      <c r="C536" s="29" t="s">
        <v>682</v>
      </c>
      <c r="D536" s="29" t="str">
        <f>VLOOKUP($C536,청소코드!$C$4:$J$188,3,FALSE)</f>
        <v>예건 702</v>
      </c>
      <c r="E536" s="29">
        <f>VLOOKUP($C536,청소코드!$C$4:$J$188,4,FALSE)</f>
        <v>1</v>
      </c>
      <c r="F536" s="29" t="s">
        <v>426</v>
      </c>
      <c r="G536" s="29" t="s">
        <v>704</v>
      </c>
      <c r="H536" s="29"/>
      <c r="I536" s="29" t="s">
        <v>703</v>
      </c>
      <c r="J536" s="47">
        <f t="shared" si="24"/>
        <v>23000</v>
      </c>
      <c r="K536" s="29">
        <f>VLOOKUP($C536,청소코드!$C$4:$J$188,8,FALSE)</f>
        <v>18000</v>
      </c>
      <c r="L536" s="32">
        <v>5000</v>
      </c>
      <c r="M536" s="31"/>
      <c r="N536" s="32"/>
      <c r="O536" s="32"/>
    </row>
    <row r="537" spans="1:15" customFormat="1" ht="12.75" customHeight="1">
      <c r="A537" s="30">
        <v>46089</v>
      </c>
      <c r="B537" s="29" t="str">
        <f t="shared" si="23"/>
        <v>일</v>
      </c>
      <c r="C537" s="29" t="s">
        <v>683</v>
      </c>
      <c r="D537" s="29" t="str">
        <f>VLOOKUP($C537,청소코드!$C$4:$J$188,3,FALSE)</f>
        <v>센텀 2차 606</v>
      </c>
      <c r="E537" s="29">
        <f>VLOOKUP($C537,청소코드!$C$4:$J$188,4,FALSE)</f>
        <v>1.5</v>
      </c>
      <c r="F537" s="29" t="s">
        <v>426</v>
      </c>
      <c r="G537" s="29"/>
      <c r="H537" s="29"/>
      <c r="I537" s="29" t="s">
        <v>703</v>
      </c>
      <c r="J537" s="47">
        <f t="shared" si="24"/>
        <v>20000</v>
      </c>
      <c r="K537" s="29">
        <f>VLOOKUP($C537,청소코드!$C$4:$J$188,8,FALSE)</f>
        <v>20000</v>
      </c>
      <c r="L537" s="32"/>
      <c r="M537" s="31"/>
      <c r="N537" s="32"/>
      <c r="O537" s="32"/>
    </row>
    <row r="538" spans="1:15" customFormat="1" ht="12.75" customHeight="1">
      <c r="A538" s="30">
        <v>46089</v>
      </c>
      <c r="B538" s="29" t="str">
        <f t="shared" ref="B538:B552" si="25">TEXT(A538,"aaa")</f>
        <v>일</v>
      </c>
      <c r="C538" s="29" t="s">
        <v>684</v>
      </c>
      <c r="D538" s="29" t="str">
        <f>VLOOKUP($C538,청소코드!$C$4:$J$188,3,FALSE)</f>
        <v>센텀 2차 406</v>
      </c>
      <c r="E538" s="29">
        <f>VLOOKUP($C538,청소코드!$C$4:$J$188,4,FALSE)</f>
        <v>1.5</v>
      </c>
      <c r="F538" s="29" t="s">
        <v>449</v>
      </c>
      <c r="G538" s="29" t="s">
        <v>704</v>
      </c>
      <c r="H538" s="29"/>
      <c r="I538" s="29" t="s">
        <v>703</v>
      </c>
      <c r="J538" s="47">
        <f t="shared" ref="J538:J552" si="26">SUM(K538:O538)</f>
        <v>25000</v>
      </c>
      <c r="K538" s="29">
        <f>VLOOKUP($C538,청소코드!$C$4:$J$188,8,FALSE)</f>
        <v>20000</v>
      </c>
      <c r="L538" s="32">
        <v>5000</v>
      </c>
      <c r="M538" s="31"/>
      <c r="N538" s="32"/>
      <c r="O538" s="32"/>
    </row>
    <row r="539" spans="1:15" customFormat="1" ht="12.75" customHeight="1">
      <c r="A539" s="30">
        <v>46089</v>
      </c>
      <c r="B539" s="29" t="str">
        <f t="shared" si="25"/>
        <v>일</v>
      </c>
      <c r="C539" s="29" t="s">
        <v>685</v>
      </c>
      <c r="D539" s="29" t="str">
        <f>VLOOKUP($C539,청소코드!$C$4:$J$188,3,FALSE)</f>
        <v>센텀 2차 501</v>
      </c>
      <c r="E539" s="29">
        <f>VLOOKUP($C539,청소코드!$C$4:$J$188,4,FALSE)</f>
        <v>1.5</v>
      </c>
      <c r="F539" s="29" t="s">
        <v>449</v>
      </c>
      <c r="G539" s="29"/>
      <c r="H539" s="29"/>
      <c r="I539" s="29" t="s">
        <v>703</v>
      </c>
      <c r="J539" s="47">
        <f t="shared" si="26"/>
        <v>20000</v>
      </c>
      <c r="K539" s="29">
        <f>VLOOKUP($C539,청소코드!$C$4:$J$188,8,FALSE)</f>
        <v>20000</v>
      </c>
      <c r="L539" s="32"/>
      <c r="M539" s="31"/>
      <c r="N539" s="32"/>
      <c r="O539" s="32"/>
    </row>
    <row r="540" spans="1:15" customFormat="1" ht="12.75" customHeight="1">
      <c r="A540" s="30">
        <v>46089</v>
      </c>
      <c r="B540" s="29" t="str">
        <f t="shared" si="25"/>
        <v>일</v>
      </c>
      <c r="C540" s="29" t="s">
        <v>686</v>
      </c>
      <c r="D540" s="29" t="str">
        <f>VLOOKUP($C540,청소코드!$C$4:$J$188,3,FALSE)</f>
        <v>오금스타 205</v>
      </c>
      <c r="E540" s="29">
        <f>VLOOKUP($C540,청소코드!$C$4:$J$188,4,FALSE)</f>
        <v>1</v>
      </c>
      <c r="F540" s="29" t="s">
        <v>449</v>
      </c>
      <c r="G540" s="29"/>
      <c r="H540" s="29"/>
      <c r="I540" s="29" t="s">
        <v>703</v>
      </c>
      <c r="J540" s="47">
        <f t="shared" si="26"/>
        <v>18000</v>
      </c>
      <c r="K540" s="29">
        <f>VLOOKUP($C540,청소코드!$C$4:$J$188,8,FALSE)</f>
        <v>18000</v>
      </c>
      <c r="L540" s="32"/>
      <c r="M540" s="31"/>
      <c r="N540" s="32"/>
      <c r="O540" s="32"/>
    </row>
    <row r="541" spans="1:15" customFormat="1" ht="12.75" customHeight="1">
      <c r="A541" s="30">
        <v>46089</v>
      </c>
      <c r="B541" s="29" t="str">
        <f t="shared" si="25"/>
        <v>일</v>
      </c>
      <c r="C541" s="29" t="s">
        <v>687</v>
      </c>
      <c r="D541" s="29" t="str">
        <f>VLOOKUP($C541,청소코드!$C$4:$J$188,3,FALSE)</f>
        <v>대치동 102호</v>
      </c>
      <c r="E541" s="29">
        <f>VLOOKUP($C541,청소코드!$C$4:$J$188,4,FALSE)</f>
        <v>1</v>
      </c>
      <c r="F541" s="29" t="s">
        <v>695</v>
      </c>
      <c r="G541" s="29" t="s">
        <v>704</v>
      </c>
      <c r="H541" s="29"/>
      <c r="I541" s="29" t="s">
        <v>703</v>
      </c>
      <c r="J541" s="47">
        <f t="shared" si="26"/>
        <v>23000</v>
      </c>
      <c r="K541" s="29">
        <f>VLOOKUP($C541,청소코드!$C$4:$J$188,8,FALSE)</f>
        <v>18000</v>
      </c>
      <c r="L541" s="32">
        <v>5000</v>
      </c>
      <c r="M541" s="31"/>
      <c r="N541" s="32"/>
      <c r="O541" s="32"/>
    </row>
    <row r="542" spans="1:15" customFormat="1" ht="12.75" customHeight="1">
      <c r="A542" s="30">
        <v>46089</v>
      </c>
      <c r="B542" s="29" t="str">
        <f t="shared" si="25"/>
        <v>일</v>
      </c>
      <c r="C542" s="29" t="s">
        <v>688</v>
      </c>
      <c r="D542" s="29" t="str">
        <f>VLOOKUP($C542,청소코드!$C$4:$J$188,3,FALSE)</f>
        <v>대치동 103호</v>
      </c>
      <c r="E542" s="29">
        <f>VLOOKUP($C542,청소코드!$C$4:$J$188,4,FALSE)</f>
        <v>1.5</v>
      </c>
      <c r="F542" s="29" t="s">
        <v>695</v>
      </c>
      <c r="G542" s="29"/>
      <c r="H542" s="29"/>
      <c r="I542" s="29" t="s">
        <v>703</v>
      </c>
      <c r="J542" s="47">
        <f t="shared" si="26"/>
        <v>20000</v>
      </c>
      <c r="K542" s="29">
        <f>VLOOKUP($C542,청소코드!$C$4:$J$188,8,FALSE)</f>
        <v>20000</v>
      </c>
      <c r="L542" s="32"/>
      <c r="M542" s="31"/>
      <c r="N542" s="32"/>
      <c r="O542" s="32"/>
    </row>
    <row r="543" spans="1:15" customFormat="1" ht="12.75" customHeight="1">
      <c r="A543" s="30">
        <v>46089</v>
      </c>
      <c r="B543" s="29" t="str">
        <f t="shared" si="25"/>
        <v>일</v>
      </c>
      <c r="C543" s="29" t="s">
        <v>696</v>
      </c>
      <c r="D543" s="29" t="str">
        <f>VLOOKUP($C543,청소코드!$C$4:$J$188,3,FALSE)</f>
        <v>청광1차 207</v>
      </c>
      <c r="E543" s="29">
        <f>VLOOKUP($C543,청소코드!$C$4:$J$188,4,FALSE)</f>
        <v>0</v>
      </c>
      <c r="F543" s="29" t="s">
        <v>426</v>
      </c>
      <c r="G543" s="29"/>
      <c r="H543" s="29"/>
      <c r="I543" s="29" t="s">
        <v>703</v>
      </c>
      <c r="J543" s="47">
        <f t="shared" si="26"/>
        <v>10000</v>
      </c>
      <c r="K543" s="29">
        <f>VLOOKUP($C543,청소코드!$C$4:$J$188,8,FALSE)</f>
        <v>10000</v>
      </c>
      <c r="L543" s="32"/>
      <c r="M543" s="31"/>
      <c r="N543" s="32"/>
      <c r="O543" s="32"/>
    </row>
    <row r="544" spans="1:15" customFormat="1" ht="12.75" customHeight="1">
      <c r="A544" s="49">
        <v>46090</v>
      </c>
      <c r="B544" s="50" t="str">
        <f t="shared" si="25"/>
        <v>월</v>
      </c>
      <c r="C544" s="29" t="s">
        <v>675</v>
      </c>
      <c r="D544" s="29" t="str">
        <f>VLOOKUP($C544,청소코드!$C$4:$J$188,3,FALSE)</f>
        <v>더하임 305</v>
      </c>
      <c r="E544" s="29">
        <f>VLOOKUP($C544,청소코드!$C$4:$J$188,4,FALSE)</f>
        <v>1</v>
      </c>
      <c r="F544" s="29" t="s">
        <v>702</v>
      </c>
      <c r="G544" s="29" t="s">
        <v>704</v>
      </c>
      <c r="H544" s="29"/>
      <c r="I544" s="29" t="s">
        <v>703</v>
      </c>
      <c r="J544" s="47">
        <f t="shared" si="26"/>
        <v>23000</v>
      </c>
      <c r="K544" s="29">
        <f>VLOOKUP($C544,청소코드!$C$4:$J$188,8,FALSE)</f>
        <v>18000</v>
      </c>
      <c r="L544" s="32">
        <v>5000</v>
      </c>
      <c r="M544" s="31"/>
      <c r="N544" s="32"/>
      <c r="O544" s="32"/>
    </row>
    <row r="545" spans="1:15" customFormat="1" ht="12.75" customHeight="1">
      <c r="A545" s="30">
        <v>46090</v>
      </c>
      <c r="B545" s="29" t="str">
        <f t="shared" si="25"/>
        <v>월</v>
      </c>
      <c r="C545" s="29" t="s">
        <v>697</v>
      </c>
      <c r="D545" s="29" t="str">
        <f>VLOOKUP($C545,청소코드!$C$4:$J$188,3,FALSE)</f>
        <v>더하임 306</v>
      </c>
      <c r="E545" s="29">
        <f>VLOOKUP($C545,청소코드!$C$4:$J$188,4,FALSE)</f>
        <v>1.5</v>
      </c>
      <c r="F545" s="29" t="s">
        <v>702</v>
      </c>
      <c r="G545" s="29"/>
      <c r="H545" s="29"/>
      <c r="I545" s="29" t="s">
        <v>703</v>
      </c>
      <c r="J545" s="47">
        <f t="shared" si="26"/>
        <v>20000</v>
      </c>
      <c r="K545" s="29">
        <f>VLOOKUP($C545,청소코드!$C$4:$J$188,8,FALSE)</f>
        <v>20000</v>
      </c>
      <c r="L545" s="32"/>
      <c r="M545" s="31"/>
      <c r="N545" s="32"/>
      <c r="O545" s="32"/>
    </row>
    <row r="546" spans="1:15" customFormat="1" ht="12.75" customHeight="1">
      <c r="A546" s="30">
        <v>46090</v>
      </c>
      <c r="B546" s="29" t="str">
        <f t="shared" si="25"/>
        <v>월</v>
      </c>
      <c r="C546" s="29" t="s">
        <v>698</v>
      </c>
      <c r="D546" s="29" t="str">
        <f>VLOOKUP($C546,청소코드!$C$4:$J$188,3,FALSE)</f>
        <v>청광3차 1412</v>
      </c>
      <c r="E546" s="29">
        <f>VLOOKUP($C546,청소코드!$C$4:$J$188,4,FALSE)</f>
        <v>1</v>
      </c>
      <c r="F546" s="29" t="s">
        <v>692</v>
      </c>
      <c r="G546" s="29"/>
      <c r="H546" s="29"/>
      <c r="I546" s="29" t="s">
        <v>703</v>
      </c>
      <c r="J546" s="47">
        <f t="shared" si="26"/>
        <v>18000</v>
      </c>
      <c r="K546" s="29">
        <f>VLOOKUP($C546,청소코드!$C$4:$J$188,8,FALSE)</f>
        <v>18000</v>
      </c>
      <c r="L546" s="32"/>
      <c r="M546" s="31"/>
      <c r="N546" s="32"/>
      <c r="O546" s="32"/>
    </row>
    <row r="547" spans="1:15" customFormat="1" ht="12.75" customHeight="1">
      <c r="A547" s="30">
        <v>46090</v>
      </c>
      <c r="B547" s="29" t="str">
        <f t="shared" si="25"/>
        <v>월</v>
      </c>
      <c r="C547" s="29" t="s">
        <v>699</v>
      </c>
      <c r="D547" s="29" t="str">
        <f>VLOOKUP($C547,청소코드!$C$4:$J$188,3,FALSE)</f>
        <v>동구햇살 1203</v>
      </c>
      <c r="E547" s="29" t="str">
        <f>VLOOKUP($C547,청소코드!$C$4:$J$188,4,FALSE)</f>
        <v>복</v>
      </c>
      <c r="F547" s="29" t="s">
        <v>690</v>
      </c>
      <c r="G547" s="29"/>
      <c r="H547" s="29"/>
      <c r="I547" s="29" t="s">
        <v>703</v>
      </c>
      <c r="J547" s="47">
        <f t="shared" si="26"/>
        <v>20000</v>
      </c>
      <c r="K547" s="29">
        <f>VLOOKUP($C547,청소코드!$C$4:$J$188,8,FALSE)</f>
        <v>20000</v>
      </c>
      <c r="L547" s="32"/>
      <c r="M547" s="31"/>
      <c r="N547" s="32"/>
      <c r="O547" s="32"/>
    </row>
    <row r="548" spans="1:15" customFormat="1" ht="12.75" customHeight="1">
      <c r="A548" s="30">
        <v>46090</v>
      </c>
      <c r="B548" s="29" t="str">
        <f t="shared" si="25"/>
        <v>월</v>
      </c>
      <c r="C548" s="29" t="s">
        <v>700</v>
      </c>
      <c r="D548" s="29" t="str">
        <f>VLOOKUP($C548,청소코드!$C$4:$J$188,3,FALSE)</f>
        <v>한양립스 503</v>
      </c>
      <c r="E548" s="29">
        <f>VLOOKUP($C548,청소코드!$C$4:$J$188,4,FALSE)</f>
        <v>1</v>
      </c>
      <c r="F548" s="29" t="s">
        <v>426</v>
      </c>
      <c r="G548" s="29"/>
      <c r="H548" s="29"/>
      <c r="I548" s="29" t="s">
        <v>703</v>
      </c>
      <c r="J548" s="47">
        <f t="shared" si="26"/>
        <v>18000</v>
      </c>
      <c r="K548" s="29">
        <f>VLOOKUP($C548,청소코드!$C$4:$J$188,8,FALSE)</f>
        <v>18000</v>
      </c>
      <c r="L548" s="32"/>
      <c r="M548" s="31"/>
      <c r="N548" s="32"/>
      <c r="O548" s="32"/>
    </row>
    <row r="549" spans="1:15" customFormat="1" ht="12.75" customHeight="1">
      <c r="A549" s="30">
        <v>46090</v>
      </c>
      <c r="B549" s="29" t="str">
        <f t="shared" si="25"/>
        <v>월</v>
      </c>
      <c r="C549" s="29" t="s">
        <v>683</v>
      </c>
      <c r="D549" s="29" t="str">
        <f>VLOOKUP($C549,청소코드!$C$4:$J$188,3,FALSE)</f>
        <v>센텀 2차 606</v>
      </c>
      <c r="E549" s="29">
        <f>VLOOKUP($C549,청소코드!$C$4:$J$188,4,FALSE)</f>
        <v>1.5</v>
      </c>
      <c r="F549" s="29" t="s">
        <v>689</v>
      </c>
      <c r="G549" s="29"/>
      <c r="H549" s="29"/>
      <c r="I549" s="29" t="s">
        <v>703</v>
      </c>
      <c r="J549" s="47">
        <f t="shared" si="26"/>
        <v>20000</v>
      </c>
      <c r="K549" s="29">
        <f>VLOOKUP($C549,청소코드!$C$4:$J$188,8,FALSE)</f>
        <v>20000</v>
      </c>
      <c r="L549" s="32"/>
      <c r="M549" s="31"/>
      <c r="N549" s="32"/>
      <c r="O549" s="32"/>
    </row>
    <row r="550" spans="1:15" customFormat="1" ht="12.75" customHeight="1">
      <c r="A550" s="30">
        <v>46090</v>
      </c>
      <c r="B550" s="29" t="str">
        <f t="shared" si="25"/>
        <v>월</v>
      </c>
      <c r="C550" s="29" t="s">
        <v>701</v>
      </c>
      <c r="D550" s="29" t="str">
        <f>VLOOKUP($C550,청소코드!$C$4:$J$188,3,FALSE)</f>
        <v>성우 402</v>
      </c>
      <c r="E550" s="29">
        <f>VLOOKUP($C550,청소코드!$C$4:$J$188,4,FALSE)</f>
        <v>3</v>
      </c>
      <c r="F550" s="29" t="s">
        <v>437</v>
      </c>
      <c r="G550" s="29"/>
      <c r="H550" s="29"/>
      <c r="I550" s="29" t="s">
        <v>703</v>
      </c>
      <c r="J550" s="47">
        <f t="shared" si="26"/>
        <v>30000</v>
      </c>
      <c r="K550" s="29">
        <f>VLOOKUP($C550,청소코드!$C$4:$J$188,8,FALSE)</f>
        <v>30000</v>
      </c>
      <c r="L550" s="32"/>
      <c r="M550" s="31"/>
      <c r="N550" s="32"/>
      <c r="O550" s="32"/>
    </row>
    <row r="551" spans="1:15" customFormat="1" ht="12.75" customHeight="1">
      <c r="A551" s="30">
        <v>46090</v>
      </c>
      <c r="B551" s="29" t="str">
        <f t="shared" si="25"/>
        <v>월</v>
      </c>
      <c r="C551" s="29" t="s">
        <v>673</v>
      </c>
      <c r="D551" s="29" t="str">
        <f>VLOOKUP($C551,청소코드!$C$4:$J$188,3,FALSE)</f>
        <v>성우 903</v>
      </c>
      <c r="E551" s="29">
        <f>VLOOKUP($C551,청소코드!$C$4:$J$188,4,FALSE)</f>
        <v>3</v>
      </c>
      <c r="F551" s="29" t="s">
        <v>437</v>
      </c>
      <c r="G551" s="29"/>
      <c r="H551" s="29"/>
      <c r="I551" s="29" t="s">
        <v>703</v>
      </c>
      <c r="J551" s="47">
        <f t="shared" si="26"/>
        <v>30000</v>
      </c>
      <c r="K551" s="29">
        <f>VLOOKUP($C551,청소코드!$C$4:$J$188,8,FALSE)</f>
        <v>30000</v>
      </c>
      <c r="L551" s="32"/>
      <c r="M551" s="31"/>
      <c r="N551" s="32"/>
      <c r="O551" s="32"/>
    </row>
    <row r="552" spans="1:15" customFormat="1" ht="12.75" customHeight="1">
      <c r="A552" s="30">
        <v>46090</v>
      </c>
      <c r="B552" s="29" t="str">
        <f t="shared" si="25"/>
        <v>월</v>
      </c>
      <c r="C552" s="29" t="s">
        <v>696</v>
      </c>
      <c r="D552" s="29" t="str">
        <f>VLOOKUP($C552,청소코드!$C$4:$J$188,3,FALSE)</f>
        <v>청광1차 207</v>
      </c>
      <c r="E552" s="29">
        <f>VLOOKUP($C552,청소코드!$C$4:$J$188,4,FALSE)</f>
        <v>0</v>
      </c>
      <c r="F552" s="29" t="s">
        <v>426</v>
      </c>
      <c r="G552" s="29"/>
      <c r="H552" s="29"/>
      <c r="I552" s="29" t="s">
        <v>703</v>
      </c>
      <c r="J552" s="47">
        <f t="shared" si="26"/>
        <v>10000</v>
      </c>
      <c r="K552" s="29">
        <f>VLOOKUP($C552,청소코드!$C$4:$J$188,8,FALSE)</f>
        <v>10000</v>
      </c>
      <c r="L552" s="32"/>
      <c r="M552" s="31"/>
      <c r="N552" s="32"/>
      <c r="O552" s="32"/>
    </row>
    <row r="553" spans="1:15" customFormat="1" ht="12.75" customHeight="1">
      <c r="A553" s="49">
        <v>46091</v>
      </c>
      <c r="B553" s="50" t="str">
        <f t="shared" ref="B553:B584" si="27">TEXT(A553,"aaa")</f>
        <v>화</v>
      </c>
      <c r="C553" s="29" t="s">
        <v>710</v>
      </c>
      <c r="D553" s="29" t="str">
        <f>VLOOKUP($C553,청소코드!$C$4:$J$188,3,FALSE)</f>
        <v>예건 205</v>
      </c>
      <c r="E553" s="29">
        <f>VLOOKUP($C553,청소코드!$C$4:$J$188,4,FALSE)</f>
        <v>1</v>
      </c>
      <c r="F553" s="29" t="s">
        <v>719</v>
      </c>
      <c r="G553" s="29"/>
      <c r="H553" s="29"/>
      <c r="I553" s="29" t="s">
        <v>725</v>
      </c>
      <c r="J553" s="47">
        <f t="shared" ref="J553:J584" si="28">SUM(K553:O553)</f>
        <v>18000</v>
      </c>
      <c r="K553" s="29">
        <f>VLOOKUP($C553,청소코드!$C$4:$J$188,8,FALSE)</f>
        <v>18000</v>
      </c>
      <c r="L553" s="32"/>
      <c r="M553" s="31"/>
      <c r="N553" s="32"/>
      <c r="O553" s="32"/>
    </row>
    <row r="554" spans="1:15" customFormat="1" ht="12.75" customHeight="1">
      <c r="A554" s="30">
        <v>46091</v>
      </c>
      <c r="B554" s="29" t="str">
        <f t="shared" si="27"/>
        <v>화</v>
      </c>
      <c r="C554" s="29" t="s">
        <v>711</v>
      </c>
      <c r="D554" s="29" t="str">
        <f>VLOOKUP($C554,청소코드!$C$4:$J$188,3,FALSE)</f>
        <v>청광3차 806</v>
      </c>
      <c r="E554" s="29">
        <f>VLOOKUP($C554,청소코드!$C$4:$J$188,4,FALSE)</f>
        <v>1</v>
      </c>
      <c r="F554" s="29" t="s">
        <v>720</v>
      </c>
      <c r="G554" s="29"/>
      <c r="H554" s="29"/>
      <c r="I554" s="29" t="s">
        <v>431</v>
      </c>
      <c r="J554" s="47">
        <f t="shared" si="28"/>
        <v>18000</v>
      </c>
      <c r="K554" s="29">
        <f>VLOOKUP($C554,청소코드!$C$4:$J$188,8,FALSE)</f>
        <v>18000</v>
      </c>
      <c r="L554" s="32"/>
      <c r="M554" s="31"/>
      <c r="N554" s="32"/>
      <c r="O554" s="32"/>
    </row>
    <row r="555" spans="1:15" customFormat="1" ht="12.75" customHeight="1">
      <c r="A555" s="30">
        <v>46091</v>
      </c>
      <c r="B555" s="29" t="str">
        <f t="shared" si="27"/>
        <v>화</v>
      </c>
      <c r="C555" s="29" t="s">
        <v>712</v>
      </c>
      <c r="D555" s="29" t="str">
        <f>VLOOKUP($C555,청소코드!$C$4:$J$188,3,FALSE)</f>
        <v>렘브 505</v>
      </c>
      <c r="E555" s="29">
        <f>VLOOKUP($C555,청소코드!$C$4:$J$188,4,FALSE)</f>
        <v>1</v>
      </c>
      <c r="F555" s="29" t="s">
        <v>721</v>
      </c>
      <c r="G555" s="29"/>
      <c r="H555" s="29"/>
      <c r="I555" s="29" t="s">
        <v>431</v>
      </c>
      <c r="J555" s="47">
        <f t="shared" si="28"/>
        <v>18000</v>
      </c>
      <c r="K555" s="29">
        <f>VLOOKUP($C555,청소코드!$C$4:$J$188,8,FALSE)</f>
        <v>18000</v>
      </c>
      <c r="L555" s="32"/>
      <c r="M555" s="31"/>
      <c r="N555" s="32"/>
      <c r="O555" s="32"/>
    </row>
    <row r="556" spans="1:15" customFormat="1" ht="12.75" customHeight="1">
      <c r="A556" s="30">
        <v>46091</v>
      </c>
      <c r="B556" s="29" t="str">
        <f t="shared" si="27"/>
        <v>화</v>
      </c>
      <c r="C556" s="29" t="s">
        <v>713</v>
      </c>
      <c r="D556" s="29" t="str">
        <f>VLOOKUP($C556,청소코드!$C$4:$J$188,3,FALSE)</f>
        <v>동구햇살 1203</v>
      </c>
      <c r="E556" s="29" t="str">
        <f>VLOOKUP($C556,청소코드!$C$4:$J$188,4,FALSE)</f>
        <v>복</v>
      </c>
      <c r="F556" s="29" t="s">
        <v>721</v>
      </c>
      <c r="G556" s="29"/>
      <c r="H556" s="29"/>
      <c r="I556" s="29" t="s">
        <v>431</v>
      </c>
      <c r="J556" s="47">
        <f t="shared" si="28"/>
        <v>20000</v>
      </c>
      <c r="K556" s="29">
        <f>VLOOKUP($C556,청소코드!$C$4:$J$188,8,FALSE)</f>
        <v>20000</v>
      </c>
      <c r="L556" s="32"/>
      <c r="M556" s="31"/>
      <c r="N556" s="32"/>
      <c r="O556" s="32"/>
    </row>
    <row r="557" spans="1:15" customFormat="1" ht="12.75" customHeight="1">
      <c r="A557" s="30">
        <v>46091</v>
      </c>
      <c r="B557" s="29" t="str">
        <f t="shared" si="27"/>
        <v>화</v>
      </c>
      <c r="C557" s="29" t="s">
        <v>714</v>
      </c>
      <c r="D557" s="29" t="str">
        <f>VLOOKUP($C557,청소코드!$C$4:$J$188,3,FALSE)</f>
        <v>오앤 401</v>
      </c>
      <c r="E557" s="29">
        <f>VLOOKUP($C557,청소코드!$C$4:$J$188,4,FALSE)</f>
        <v>1</v>
      </c>
      <c r="F557" s="29" t="s">
        <v>722</v>
      </c>
      <c r="G557" s="29"/>
      <c r="H557" s="29"/>
      <c r="I557" s="29" t="s">
        <v>431</v>
      </c>
      <c r="J557" s="47">
        <f t="shared" si="28"/>
        <v>18000</v>
      </c>
      <c r="K557" s="29">
        <f>VLOOKUP($C557,청소코드!$C$4:$J$188,8,FALSE)</f>
        <v>18000</v>
      </c>
      <c r="L557" s="32"/>
      <c r="M557" s="31"/>
      <c r="N557" s="32"/>
      <c r="O557" s="32"/>
    </row>
    <row r="558" spans="1:15" customFormat="1" ht="12.75" customHeight="1">
      <c r="A558" s="30">
        <v>46091</v>
      </c>
      <c r="B558" s="29" t="str">
        <f t="shared" si="27"/>
        <v>화</v>
      </c>
      <c r="C558" s="29" t="s">
        <v>715</v>
      </c>
      <c r="D558" s="29" t="str">
        <f>VLOOKUP($C558,청소코드!$C$4:$J$188,3,FALSE)</f>
        <v>방학 709</v>
      </c>
      <c r="E558" s="29" t="str">
        <f>VLOOKUP($C558,청소코드!$C$4:$J$188,4,FALSE)</f>
        <v>복</v>
      </c>
      <c r="F558" s="29" t="s">
        <v>723</v>
      </c>
      <c r="G558" s="29"/>
      <c r="H558" s="29"/>
      <c r="I558" s="29" t="s">
        <v>431</v>
      </c>
      <c r="J558" s="47">
        <f t="shared" si="28"/>
        <v>34000</v>
      </c>
      <c r="K558" s="29">
        <f>VLOOKUP($C558,청소코드!$C$4:$J$188,8,FALSE)</f>
        <v>25000</v>
      </c>
      <c r="M558" s="31"/>
      <c r="N558" s="32">
        <v>9000</v>
      </c>
      <c r="O558" s="32"/>
    </row>
    <row r="559" spans="1:15" customFormat="1" ht="12.75" customHeight="1">
      <c r="A559" s="30">
        <v>46091</v>
      </c>
      <c r="B559" s="29" t="str">
        <f t="shared" si="27"/>
        <v>화</v>
      </c>
      <c r="C559" s="29" t="s">
        <v>716</v>
      </c>
      <c r="D559" s="29" t="str">
        <f>VLOOKUP($C559,청소코드!$C$4:$J$188,3,FALSE)</f>
        <v>센텀 2차 501</v>
      </c>
      <c r="E559" s="29">
        <f>VLOOKUP($C559,청소코드!$C$4:$J$188,4,FALSE)</f>
        <v>1.5</v>
      </c>
      <c r="F559" s="29" t="s">
        <v>724</v>
      </c>
      <c r="G559" s="29"/>
      <c r="H559" s="29"/>
      <c r="I559" s="29" t="s">
        <v>431</v>
      </c>
      <c r="J559" s="47">
        <f t="shared" si="28"/>
        <v>20000</v>
      </c>
      <c r="K559" s="29">
        <f>VLOOKUP($C559,청소코드!$C$4:$J$188,8,FALSE)</f>
        <v>20000</v>
      </c>
      <c r="L559" s="32"/>
      <c r="M559" s="31"/>
      <c r="N559" s="32"/>
      <c r="O559" s="32"/>
    </row>
    <row r="560" spans="1:15" customFormat="1" ht="12.75" customHeight="1">
      <c r="A560" s="30">
        <v>46091</v>
      </c>
      <c r="B560" s="29" t="str">
        <f t="shared" si="27"/>
        <v>화</v>
      </c>
      <c r="C560" s="29" t="s">
        <v>717</v>
      </c>
      <c r="D560" s="29" t="str">
        <f>VLOOKUP($C560,청소코드!$C$4:$J$188,3,FALSE)</f>
        <v>센텀 2차 606</v>
      </c>
      <c r="E560" s="29">
        <f>VLOOKUP($C560,청소코드!$C$4:$J$188,4,FALSE)</f>
        <v>1.5</v>
      </c>
      <c r="F560" s="29" t="s">
        <v>720</v>
      </c>
      <c r="G560" s="29"/>
      <c r="H560" s="29"/>
      <c r="I560" s="29" t="s">
        <v>431</v>
      </c>
      <c r="J560" s="47">
        <f t="shared" si="28"/>
        <v>20000</v>
      </c>
      <c r="K560" s="29">
        <f>VLOOKUP($C560,청소코드!$C$4:$J$188,8,FALSE)</f>
        <v>20000</v>
      </c>
      <c r="L560" s="32"/>
      <c r="M560" s="31"/>
      <c r="N560" s="32"/>
      <c r="O560" s="32"/>
    </row>
    <row r="561" spans="1:15" customFormat="1" ht="12.75" customHeight="1">
      <c r="A561" s="30">
        <v>46091</v>
      </c>
      <c r="B561" s="29" t="str">
        <f t="shared" si="27"/>
        <v>화</v>
      </c>
      <c r="C561" s="29" t="s">
        <v>718</v>
      </c>
      <c r="D561" s="29" t="str">
        <f>VLOOKUP($C561,청소코드!$C$4:$J$188,3,FALSE)</f>
        <v>청광1차 207</v>
      </c>
      <c r="E561" s="29">
        <f>VLOOKUP($C561,청소코드!$C$4:$J$188,4,FALSE)</f>
        <v>0</v>
      </c>
      <c r="F561" s="29" t="s">
        <v>722</v>
      </c>
      <c r="G561" s="29"/>
      <c r="H561" s="29"/>
      <c r="I561" s="29" t="s">
        <v>725</v>
      </c>
      <c r="J561" s="47">
        <f t="shared" si="28"/>
        <v>10000</v>
      </c>
      <c r="K561" s="29">
        <f>VLOOKUP($C561,청소코드!$C$4:$J$188,8,FALSE)</f>
        <v>10000</v>
      </c>
      <c r="L561" s="32"/>
      <c r="M561" s="31"/>
      <c r="N561" s="32"/>
      <c r="O561" s="32"/>
    </row>
    <row r="562" spans="1:15" customFormat="1" ht="12.75" customHeight="1">
      <c r="A562" s="49">
        <v>46092</v>
      </c>
      <c r="B562" s="50" t="str">
        <f t="shared" si="27"/>
        <v>수</v>
      </c>
      <c r="C562" s="29" t="s">
        <v>731</v>
      </c>
      <c r="D562" s="29" t="str">
        <f>VLOOKUP($C562,청소코드!$C$4:$J$188,3,FALSE)</f>
        <v>하람휴 902</v>
      </c>
      <c r="E562" s="29">
        <f>VLOOKUP($C562,청소코드!$C$4:$J$188,4,FALSE)</f>
        <v>2</v>
      </c>
      <c r="F562" s="29" t="s">
        <v>737</v>
      </c>
      <c r="G562" s="29"/>
      <c r="H562" s="29"/>
      <c r="I562" s="29" t="s">
        <v>738</v>
      </c>
      <c r="J562" s="47">
        <f t="shared" si="28"/>
        <v>23000</v>
      </c>
      <c r="K562" s="29">
        <f>VLOOKUP($C562,청소코드!$C$4:$J$188,8,FALSE)</f>
        <v>23000</v>
      </c>
      <c r="L562" s="32"/>
      <c r="M562" s="31"/>
      <c r="N562" s="32"/>
      <c r="O562" s="32"/>
    </row>
    <row r="563" spans="1:15" customFormat="1" ht="12.75" customHeight="1">
      <c r="A563" s="30">
        <v>46092</v>
      </c>
      <c r="B563" s="29" t="str">
        <f t="shared" si="27"/>
        <v>수</v>
      </c>
      <c r="C563" s="29" t="s">
        <v>732</v>
      </c>
      <c r="D563" s="29" t="str">
        <f>VLOOKUP($C563,청소코드!$C$4:$J$188,3,FALSE)</f>
        <v>센텀 2차 406</v>
      </c>
      <c r="E563" s="29">
        <f>VLOOKUP($C563,청소코드!$C$4:$J$188,4,FALSE)</f>
        <v>1.5</v>
      </c>
      <c r="F563" s="29" t="s">
        <v>401</v>
      </c>
      <c r="G563" s="29"/>
      <c r="H563" s="29"/>
      <c r="I563" s="29" t="s">
        <v>738</v>
      </c>
      <c r="J563" s="47">
        <f t="shared" si="28"/>
        <v>20000</v>
      </c>
      <c r="K563" s="29">
        <f>VLOOKUP($C563,청소코드!$C$4:$J$188,8,FALSE)</f>
        <v>20000</v>
      </c>
      <c r="L563" s="32"/>
      <c r="M563" s="31"/>
      <c r="N563" s="32"/>
      <c r="O563" s="32"/>
    </row>
    <row r="564" spans="1:15" customFormat="1" ht="12.75" customHeight="1">
      <c r="A564" s="30">
        <v>46092</v>
      </c>
      <c r="B564" s="29" t="str">
        <f t="shared" si="27"/>
        <v>수</v>
      </c>
      <c r="C564" s="29" t="s">
        <v>733</v>
      </c>
      <c r="D564" s="29" t="str">
        <f>VLOOKUP($C564,청소코드!$C$4:$J$188,3,FALSE)</f>
        <v>더하임 1002</v>
      </c>
      <c r="E564" s="29">
        <f>VLOOKUP($C564,청소코드!$C$4:$J$188,4,FALSE)</f>
        <v>1</v>
      </c>
      <c r="F564" s="29" t="s">
        <v>437</v>
      </c>
      <c r="G564" s="29"/>
      <c r="H564" s="29"/>
      <c r="I564" s="29" t="s">
        <v>738</v>
      </c>
      <c r="J564" s="47">
        <f t="shared" si="28"/>
        <v>18000</v>
      </c>
      <c r="K564" s="29">
        <f>VLOOKUP($C564,청소코드!$C$4:$J$188,8,FALSE)</f>
        <v>18000</v>
      </c>
      <c r="L564" s="32"/>
      <c r="M564" s="31"/>
      <c r="N564" s="32"/>
      <c r="O564" s="32"/>
    </row>
    <row r="565" spans="1:15" customFormat="1" ht="12.75" customHeight="1">
      <c r="A565" s="30">
        <v>46092</v>
      </c>
      <c r="B565" s="29" t="str">
        <f t="shared" si="27"/>
        <v>수</v>
      </c>
      <c r="C565" s="29" t="s">
        <v>734</v>
      </c>
      <c r="D565" s="29" t="str">
        <f>VLOOKUP($C565,청소코드!$C$4:$J$188,3,FALSE)</f>
        <v>더하임 204</v>
      </c>
      <c r="E565" s="29">
        <f>VLOOKUP($C565,청소코드!$C$4:$J$188,4,FALSE)</f>
        <v>1</v>
      </c>
      <c r="F565" s="29" t="s">
        <v>437</v>
      </c>
      <c r="G565" s="29"/>
      <c r="H565" s="29"/>
      <c r="I565" s="29" t="s">
        <v>738</v>
      </c>
      <c r="J565" s="47">
        <f t="shared" si="28"/>
        <v>18000</v>
      </c>
      <c r="K565" s="29">
        <f>VLOOKUP($C565,청소코드!$C$4:$J$188,8,FALSE)</f>
        <v>18000</v>
      </c>
      <c r="L565" s="32"/>
      <c r="M565" s="31"/>
      <c r="N565" s="32"/>
      <c r="O565" s="32"/>
    </row>
    <row r="566" spans="1:15" customFormat="1" ht="12.75" customHeight="1">
      <c r="A566" s="30">
        <v>46092</v>
      </c>
      <c r="B566" s="29" t="str">
        <f t="shared" si="27"/>
        <v>수</v>
      </c>
      <c r="C566" s="29" t="s">
        <v>735</v>
      </c>
      <c r="D566" s="29" t="str">
        <f>VLOOKUP($C566,청소코드!$C$4:$J$188,3,FALSE)</f>
        <v>예건 205</v>
      </c>
      <c r="E566" s="29">
        <f>VLOOKUP($C566,청소코드!$C$4:$J$188,4,FALSE)</f>
        <v>1</v>
      </c>
      <c r="F566" s="29" t="s">
        <v>426</v>
      </c>
      <c r="G566" s="29"/>
      <c r="H566" s="29"/>
      <c r="I566" s="29" t="s">
        <v>738</v>
      </c>
      <c r="J566" s="47">
        <f t="shared" si="28"/>
        <v>18000</v>
      </c>
      <c r="K566" s="29">
        <f>VLOOKUP($C566,청소코드!$C$4:$J$188,8,FALSE)</f>
        <v>18000</v>
      </c>
      <c r="L566" s="32"/>
      <c r="M566" s="31"/>
      <c r="N566" s="32"/>
      <c r="O566" s="32"/>
    </row>
    <row r="567" spans="1:15" customFormat="1" ht="12.75" customHeight="1">
      <c r="A567" s="30">
        <v>46092</v>
      </c>
      <c r="B567" s="29" t="str">
        <f t="shared" si="27"/>
        <v>수</v>
      </c>
      <c r="C567" s="29" t="s">
        <v>736</v>
      </c>
      <c r="D567" s="29" t="str">
        <f>VLOOKUP($C567,청소코드!$C$4:$J$188,3,FALSE)</f>
        <v>청광1차 207</v>
      </c>
      <c r="E567" s="29">
        <f>VLOOKUP($C567,청소코드!$C$4:$J$188,4,FALSE)</f>
        <v>0</v>
      </c>
      <c r="F567" s="29" t="s">
        <v>426</v>
      </c>
      <c r="G567" s="29"/>
      <c r="H567" s="29"/>
      <c r="I567" s="29" t="s">
        <v>439</v>
      </c>
      <c r="J567" s="47">
        <f t="shared" si="28"/>
        <v>10000</v>
      </c>
      <c r="K567" s="29">
        <f>VLOOKUP($C567,청소코드!$C$4:$J$188,8,FALSE)</f>
        <v>10000</v>
      </c>
      <c r="L567" s="32"/>
      <c r="M567" s="31"/>
      <c r="N567" s="32"/>
      <c r="O567" s="32"/>
    </row>
    <row r="568" spans="1:15" customFormat="1" ht="12.75" customHeight="1">
      <c r="A568" s="49">
        <v>46093</v>
      </c>
      <c r="B568" s="50" t="str">
        <f t="shared" si="27"/>
        <v>목</v>
      </c>
      <c r="C568" s="29" t="s">
        <v>739</v>
      </c>
      <c r="D568" s="29" t="str">
        <f>VLOOKUP($C568,청소코드!$C$4:$J$188,3,FALSE)</f>
        <v>더하임 1002</v>
      </c>
      <c r="E568" s="29">
        <f>VLOOKUP($C568,청소코드!$C$4:$J$188,4,FALSE)</f>
        <v>1</v>
      </c>
      <c r="F568" s="29" t="s">
        <v>751</v>
      </c>
      <c r="G568" s="29"/>
      <c r="H568" s="29"/>
      <c r="I568" s="29" t="s">
        <v>757</v>
      </c>
      <c r="J568" s="47">
        <f t="shared" si="28"/>
        <v>18000</v>
      </c>
      <c r="K568" s="29">
        <f>VLOOKUP($C568,청소코드!$C$4:$J$188,8,FALSE)</f>
        <v>18000</v>
      </c>
      <c r="L568" s="32"/>
      <c r="M568" s="31"/>
      <c r="N568" s="32"/>
      <c r="O568" s="32"/>
    </row>
    <row r="569" spans="1:15" customFormat="1" ht="12.75" customHeight="1">
      <c r="A569" s="30">
        <v>46093</v>
      </c>
      <c r="B569" s="29" t="str">
        <f t="shared" si="27"/>
        <v>목</v>
      </c>
      <c r="C569" s="29" t="s">
        <v>740</v>
      </c>
      <c r="D569" s="29" t="str">
        <f>VLOOKUP($C569,청소코드!$C$4:$J$188,3,FALSE)</f>
        <v>더하임 1004</v>
      </c>
      <c r="E569" s="29">
        <f>VLOOKUP($C569,청소코드!$C$4:$J$188,4,FALSE)</f>
        <v>1</v>
      </c>
      <c r="F569" s="29" t="s">
        <v>751</v>
      </c>
      <c r="G569" s="29"/>
      <c r="H569" s="29"/>
      <c r="I569" s="29" t="s">
        <v>757</v>
      </c>
      <c r="J569" s="47">
        <f t="shared" si="28"/>
        <v>18000</v>
      </c>
      <c r="K569" s="29">
        <f>VLOOKUP($C569,청소코드!$C$4:$J$188,8,FALSE)</f>
        <v>18000</v>
      </c>
      <c r="L569" s="32"/>
      <c r="M569" s="31"/>
      <c r="N569" s="32"/>
      <c r="O569" s="32"/>
    </row>
    <row r="570" spans="1:15" customFormat="1" ht="12.75" customHeight="1">
      <c r="A570" s="30">
        <v>46093</v>
      </c>
      <c r="B570" s="29" t="str">
        <f t="shared" si="27"/>
        <v>목</v>
      </c>
      <c r="C570" s="29" t="s">
        <v>741</v>
      </c>
      <c r="D570" s="29" t="str">
        <f>VLOOKUP($C570,청소코드!$C$4:$J$188,3,FALSE)</f>
        <v>청광3차 1416</v>
      </c>
      <c r="E570" s="29">
        <f>VLOOKUP($C570,청소코드!$C$4:$J$188,4,FALSE)</f>
        <v>1</v>
      </c>
      <c r="F570" s="29" t="s">
        <v>752</v>
      </c>
      <c r="G570" s="29"/>
      <c r="H570" s="29"/>
      <c r="I570" s="29" t="s">
        <v>757</v>
      </c>
      <c r="J570" s="47">
        <f t="shared" si="28"/>
        <v>18000</v>
      </c>
      <c r="K570" s="29">
        <f>VLOOKUP($C570,청소코드!$C$4:$J$188,8,FALSE)</f>
        <v>18000</v>
      </c>
      <c r="L570" s="32"/>
      <c r="M570" s="31"/>
      <c r="N570" s="32"/>
      <c r="O570" s="32"/>
    </row>
    <row r="571" spans="1:15" customFormat="1" ht="12.75" customHeight="1">
      <c r="A571" s="30">
        <v>46093</v>
      </c>
      <c r="B571" s="29" t="str">
        <f t="shared" si="27"/>
        <v>목</v>
      </c>
      <c r="C571" s="29" t="s">
        <v>742</v>
      </c>
      <c r="D571" s="29" t="str">
        <f>VLOOKUP($C571,청소코드!$C$4:$J$188,3,FALSE)</f>
        <v>청광3차 507</v>
      </c>
      <c r="E571" s="29">
        <f>VLOOKUP($C571,청소코드!$C$4:$J$188,4,FALSE)</f>
        <v>1</v>
      </c>
      <c r="F571" s="29" t="s">
        <v>752</v>
      </c>
      <c r="G571" s="29"/>
      <c r="H571" s="29"/>
      <c r="I571" s="29" t="s">
        <v>757</v>
      </c>
      <c r="J571" s="47">
        <f t="shared" si="28"/>
        <v>18000</v>
      </c>
      <c r="K571" s="29">
        <f>VLOOKUP($C571,청소코드!$C$4:$J$188,8,FALSE)</f>
        <v>18000</v>
      </c>
      <c r="L571" s="32"/>
      <c r="M571" s="31"/>
      <c r="N571" s="32"/>
      <c r="O571" s="32"/>
    </row>
    <row r="572" spans="1:15" customFormat="1" ht="12.75" customHeight="1">
      <c r="A572" s="30">
        <v>46093</v>
      </c>
      <c r="B572" s="29" t="str">
        <f t="shared" si="27"/>
        <v>목</v>
      </c>
      <c r="C572" s="29" t="s">
        <v>743</v>
      </c>
      <c r="D572" s="29" t="str">
        <f>VLOOKUP($C572,청소코드!$C$4:$J$188,3,FALSE)</f>
        <v>동구햇살 1203</v>
      </c>
      <c r="E572" s="29" t="str">
        <f>VLOOKUP($C572,청소코드!$C$4:$J$188,4,FALSE)</f>
        <v>복</v>
      </c>
      <c r="F572" s="29" t="s">
        <v>753</v>
      </c>
      <c r="G572" s="29"/>
      <c r="H572" s="29"/>
      <c r="I572" s="29" t="s">
        <v>757</v>
      </c>
      <c r="J572" s="47">
        <f t="shared" si="28"/>
        <v>20000</v>
      </c>
      <c r="K572" s="29">
        <f>VLOOKUP($C572,청소코드!$C$4:$J$188,8,FALSE)</f>
        <v>20000</v>
      </c>
      <c r="L572" s="32"/>
      <c r="M572" s="31"/>
      <c r="N572" s="32"/>
      <c r="O572" s="32"/>
    </row>
    <row r="573" spans="1:15" customFormat="1" ht="12.75" customHeight="1">
      <c r="A573" s="30">
        <v>46093</v>
      </c>
      <c r="B573" s="29" t="str">
        <f t="shared" si="27"/>
        <v>목</v>
      </c>
      <c r="C573" s="29" t="s">
        <v>744</v>
      </c>
      <c r="D573" s="29" t="str">
        <f>VLOOKUP($C573,청소코드!$C$4:$J$188,3,FALSE)</f>
        <v>센텀 2차 406</v>
      </c>
      <c r="E573" s="29">
        <f>VLOOKUP($C573,청소코드!$C$4:$J$188,4,FALSE)</f>
        <v>1.5</v>
      </c>
      <c r="F573" s="29" t="s">
        <v>754</v>
      </c>
      <c r="G573" s="29"/>
      <c r="H573" s="29"/>
      <c r="I573" s="29" t="s">
        <v>757</v>
      </c>
      <c r="J573" s="47">
        <f t="shared" si="28"/>
        <v>20000</v>
      </c>
      <c r="K573" s="29">
        <f>VLOOKUP($C573,청소코드!$C$4:$J$188,8,FALSE)</f>
        <v>20000</v>
      </c>
      <c r="L573" s="32"/>
      <c r="M573" s="31"/>
      <c r="N573" s="32"/>
      <c r="O573" s="32"/>
    </row>
    <row r="574" spans="1:15" customFormat="1" ht="12.75" customHeight="1">
      <c r="A574" s="30">
        <v>46093</v>
      </c>
      <c r="B574" s="29" t="str">
        <f t="shared" si="27"/>
        <v>목</v>
      </c>
      <c r="C574" s="29" t="s">
        <v>745</v>
      </c>
      <c r="D574" s="29" t="str">
        <f>VLOOKUP($C574,청소코드!$C$4:$J$188,3,FALSE)</f>
        <v>센텀 2차 606</v>
      </c>
      <c r="E574" s="29">
        <f>VLOOKUP($C574,청소코드!$C$4:$J$188,4,FALSE)</f>
        <v>1.5</v>
      </c>
      <c r="F574" s="29" t="s">
        <v>426</v>
      </c>
      <c r="G574" s="29"/>
      <c r="H574" s="29"/>
      <c r="I574" s="29" t="s">
        <v>757</v>
      </c>
      <c r="J574" s="47">
        <f t="shared" si="28"/>
        <v>20000</v>
      </c>
      <c r="K574" s="29">
        <f>VLOOKUP($C574,청소코드!$C$4:$J$188,8,FALSE)</f>
        <v>20000</v>
      </c>
      <c r="L574" s="32"/>
      <c r="M574" s="31"/>
      <c r="N574" s="32"/>
      <c r="O574" s="32"/>
    </row>
    <row r="575" spans="1:15" customFormat="1" ht="12.75" customHeight="1">
      <c r="A575" s="30">
        <v>46093</v>
      </c>
      <c r="B575" s="29" t="str">
        <f t="shared" si="27"/>
        <v>목</v>
      </c>
      <c r="C575" s="29" t="s">
        <v>746</v>
      </c>
      <c r="D575" s="29" t="str">
        <f>VLOOKUP($C575,청소코드!$C$4:$J$188,3,FALSE)</f>
        <v>성우 304</v>
      </c>
      <c r="E575" s="29">
        <f>VLOOKUP($C575,청소코드!$C$4:$J$188,4,FALSE)</f>
        <v>2</v>
      </c>
      <c r="F575" s="29" t="s">
        <v>401</v>
      </c>
      <c r="G575" s="29"/>
      <c r="H575" s="29"/>
      <c r="I575" s="29" t="s">
        <v>757</v>
      </c>
      <c r="J575" s="47">
        <f t="shared" si="28"/>
        <v>23000</v>
      </c>
      <c r="K575" s="29">
        <f>VLOOKUP($C575,청소코드!$C$4:$J$188,8,FALSE)</f>
        <v>23000</v>
      </c>
      <c r="L575" s="32"/>
      <c r="M575" s="31"/>
      <c r="N575" s="32"/>
      <c r="O575" s="32"/>
    </row>
    <row r="576" spans="1:15" customFormat="1" ht="12.75" customHeight="1">
      <c r="A576" s="30">
        <v>46093</v>
      </c>
      <c r="B576" s="29" t="str">
        <f t="shared" si="27"/>
        <v>목</v>
      </c>
      <c r="C576" s="29" t="s">
        <v>747</v>
      </c>
      <c r="D576" s="29" t="str">
        <f>VLOOKUP($C576,청소코드!$C$4:$J$188,3,FALSE)</f>
        <v>성우 402</v>
      </c>
      <c r="E576" s="29">
        <f>VLOOKUP($C576,청소코드!$C$4:$J$188,4,FALSE)</f>
        <v>3</v>
      </c>
      <c r="F576" s="29" t="s">
        <v>401</v>
      </c>
      <c r="G576" s="29"/>
      <c r="H576" s="29"/>
      <c r="I576" s="29" t="s">
        <v>757</v>
      </c>
      <c r="J576" s="47">
        <f t="shared" si="28"/>
        <v>30000</v>
      </c>
      <c r="K576" s="29">
        <f>VLOOKUP($C576,청소코드!$C$4:$J$188,8,FALSE)</f>
        <v>30000</v>
      </c>
      <c r="L576" s="32"/>
      <c r="M576" s="31"/>
      <c r="N576" s="32"/>
      <c r="O576" s="32"/>
    </row>
    <row r="577" spans="1:15" customFormat="1" ht="12.75" customHeight="1">
      <c r="A577" s="30">
        <v>46093</v>
      </c>
      <c r="B577" s="29" t="str">
        <f t="shared" si="27"/>
        <v>목</v>
      </c>
      <c r="C577" s="29" t="s">
        <v>748</v>
      </c>
      <c r="D577" s="29" t="str">
        <f>VLOOKUP($C577,청소코드!$C$4:$J$188,3,FALSE)</f>
        <v>대치동 102호</v>
      </c>
      <c r="E577" s="29">
        <f>VLOOKUP($C577,청소코드!$C$4:$J$188,4,FALSE)</f>
        <v>1</v>
      </c>
      <c r="F577" s="29" t="s">
        <v>755</v>
      </c>
      <c r="G577" s="29"/>
      <c r="H577" s="29"/>
      <c r="I577" s="29" t="s">
        <v>757</v>
      </c>
      <c r="J577" s="47">
        <f t="shared" si="28"/>
        <v>18000</v>
      </c>
      <c r="K577" s="29">
        <f>VLOOKUP($C577,청소코드!$C$4:$J$188,8,FALSE)</f>
        <v>18000</v>
      </c>
      <c r="L577" s="32"/>
      <c r="M577" s="31"/>
      <c r="N577" s="32"/>
      <c r="O577" s="32"/>
    </row>
    <row r="578" spans="1:15" customFormat="1" ht="12.75" customHeight="1">
      <c r="A578" s="30">
        <v>46093</v>
      </c>
      <c r="B578" s="29" t="str">
        <f t="shared" si="27"/>
        <v>목</v>
      </c>
      <c r="C578" s="29" t="s">
        <v>749</v>
      </c>
      <c r="D578" s="29" t="str">
        <f>VLOOKUP($C578,청소코드!$C$4:$J$188,3,FALSE)</f>
        <v>대치동 103호</v>
      </c>
      <c r="E578" s="29">
        <f>VLOOKUP($C578,청소코드!$C$4:$J$188,4,FALSE)</f>
        <v>1.5</v>
      </c>
      <c r="F578" s="29" t="s">
        <v>755</v>
      </c>
      <c r="G578" s="29"/>
      <c r="H578" s="29"/>
      <c r="I578" s="29" t="s">
        <v>757</v>
      </c>
      <c r="J578" s="47">
        <f t="shared" si="28"/>
        <v>20000</v>
      </c>
      <c r="K578" s="29">
        <f>VLOOKUP($C578,청소코드!$C$4:$J$188,8,FALSE)</f>
        <v>20000</v>
      </c>
      <c r="L578" s="32"/>
      <c r="M578" s="31"/>
      <c r="N578" s="32"/>
      <c r="O578" s="32"/>
    </row>
    <row r="579" spans="1:15" customFormat="1" ht="12.75" customHeight="1">
      <c r="A579" s="30">
        <v>46093</v>
      </c>
      <c r="B579" s="29" t="str">
        <f t="shared" si="27"/>
        <v>목</v>
      </c>
      <c r="C579" s="29" t="s">
        <v>750</v>
      </c>
      <c r="D579" s="29" t="str">
        <f>VLOOKUP($C579,청소코드!$C$4:$J$188,3,FALSE)</f>
        <v>청광1차 207</v>
      </c>
      <c r="E579" s="29">
        <f>VLOOKUP($C579,청소코드!$C$4:$J$188,4,FALSE)</f>
        <v>0</v>
      </c>
      <c r="F579" s="29" t="s">
        <v>756</v>
      </c>
      <c r="G579" s="29"/>
      <c r="H579" s="29"/>
      <c r="I579" s="29" t="s">
        <v>757</v>
      </c>
      <c r="J579" s="47">
        <f t="shared" si="28"/>
        <v>10000</v>
      </c>
      <c r="K579" s="29">
        <f>VLOOKUP($C579,청소코드!$C$4:$J$188,8,FALSE)</f>
        <v>10000</v>
      </c>
      <c r="L579" s="32"/>
      <c r="M579" s="31"/>
      <c r="N579" s="32"/>
      <c r="O579" s="32"/>
    </row>
    <row r="580" spans="1:15" customFormat="1" ht="12.75" customHeight="1">
      <c r="A580" s="49">
        <v>46094</v>
      </c>
      <c r="B580" s="50" t="str">
        <f t="shared" si="27"/>
        <v>금</v>
      </c>
      <c r="C580" s="29" t="s">
        <v>372</v>
      </c>
      <c r="D580" s="29" t="str">
        <f>VLOOKUP($C580,청소코드!$C$4:$J$188,3,FALSE)</f>
        <v>예건 702</v>
      </c>
      <c r="E580" s="29">
        <f>VLOOKUP($C580,청소코드!$C$4:$J$188,4,FALSE)</f>
        <v>1</v>
      </c>
      <c r="F580" s="29" t="s">
        <v>438</v>
      </c>
      <c r="G580" s="29"/>
      <c r="H580" s="29"/>
      <c r="I580" s="29" t="s">
        <v>439</v>
      </c>
      <c r="J580" s="47">
        <f t="shared" si="28"/>
        <v>18000</v>
      </c>
      <c r="K580" s="29">
        <f>VLOOKUP($C580,청소코드!$C$4:$J$188,8,FALSE)</f>
        <v>18000</v>
      </c>
      <c r="L580" s="32"/>
      <c r="M580" s="31"/>
      <c r="N580" s="32"/>
      <c r="O580" s="32"/>
    </row>
    <row r="581" spans="1:15" customFormat="1" ht="12.75" customHeight="1">
      <c r="A581" s="30">
        <v>46094</v>
      </c>
      <c r="B581" s="29" t="str">
        <f t="shared" si="27"/>
        <v>금</v>
      </c>
      <c r="C581" s="29" t="s">
        <v>364</v>
      </c>
      <c r="D581" s="29" t="str">
        <f>VLOOKUP($C581,청소코드!$C$4:$J$188,3,FALSE)</f>
        <v>더하임 305</v>
      </c>
      <c r="E581" s="29">
        <f>VLOOKUP($C581,청소코드!$C$4:$J$188,4,FALSE)</f>
        <v>1</v>
      </c>
      <c r="F581" s="29" t="s">
        <v>438</v>
      </c>
      <c r="G581" s="29"/>
      <c r="H581" s="29"/>
      <c r="I581" s="29" t="s">
        <v>431</v>
      </c>
      <c r="J581" s="47">
        <f t="shared" si="28"/>
        <v>18000</v>
      </c>
      <c r="K581" s="29">
        <f>VLOOKUP($C581,청소코드!$C$4:$J$188,8,FALSE)</f>
        <v>18000</v>
      </c>
      <c r="L581" s="32"/>
      <c r="M581" s="31"/>
      <c r="N581" s="32"/>
      <c r="O581" s="32"/>
    </row>
    <row r="582" spans="1:15" customFormat="1" ht="12.75" customHeight="1">
      <c r="A582" s="30">
        <v>46094</v>
      </c>
      <c r="B582" s="29" t="str">
        <f t="shared" si="27"/>
        <v>금</v>
      </c>
      <c r="C582" s="29" t="s">
        <v>286</v>
      </c>
      <c r="D582" s="29" t="str">
        <f>VLOOKUP($C582,청소코드!$C$4:$J$188,3,FALSE)</f>
        <v>청광3차 1416</v>
      </c>
      <c r="E582" s="29">
        <f>VLOOKUP($C582,청소코드!$C$4:$J$188,4,FALSE)</f>
        <v>1</v>
      </c>
      <c r="F582" s="29" t="s">
        <v>429</v>
      </c>
      <c r="G582" s="29"/>
      <c r="H582" s="29"/>
      <c r="I582" s="29" t="s">
        <v>431</v>
      </c>
      <c r="J582" s="47">
        <f t="shared" si="28"/>
        <v>18000</v>
      </c>
      <c r="K582" s="29">
        <f>VLOOKUP($C582,청소코드!$C$4:$J$188,8,FALSE)</f>
        <v>18000</v>
      </c>
      <c r="L582" s="32"/>
      <c r="M582" s="31"/>
      <c r="N582" s="32"/>
      <c r="O582" s="32"/>
    </row>
    <row r="583" spans="1:15" customFormat="1" ht="12.75" customHeight="1">
      <c r="A583" s="30">
        <v>46094</v>
      </c>
      <c r="B583" s="29" t="str">
        <f t="shared" si="27"/>
        <v>금</v>
      </c>
      <c r="C583" s="29" t="s">
        <v>292</v>
      </c>
      <c r="D583" s="29" t="str">
        <f>VLOOKUP($C583,청소코드!$C$4:$J$188,3,FALSE)</f>
        <v>오앤 401</v>
      </c>
      <c r="E583" s="29">
        <f>VLOOKUP($C583,청소코드!$C$4:$J$188,4,FALSE)</f>
        <v>1</v>
      </c>
      <c r="F583" s="29" t="s">
        <v>426</v>
      </c>
      <c r="G583" s="29"/>
      <c r="H583" s="29"/>
      <c r="I583" s="29" t="s">
        <v>431</v>
      </c>
      <c r="J583" s="47">
        <f t="shared" si="28"/>
        <v>18000</v>
      </c>
      <c r="K583" s="29">
        <f>VLOOKUP($C583,청소코드!$C$4:$J$188,8,FALSE)</f>
        <v>18000</v>
      </c>
      <c r="L583" s="32"/>
      <c r="M583" s="31"/>
      <c r="N583" s="32"/>
      <c r="O583" s="32"/>
    </row>
    <row r="584" spans="1:15" customFormat="1" ht="12.75" customHeight="1">
      <c r="A584" s="30">
        <v>46094</v>
      </c>
      <c r="B584" s="29" t="str">
        <f t="shared" si="27"/>
        <v>금</v>
      </c>
      <c r="C584" s="29" t="s">
        <v>334</v>
      </c>
      <c r="D584" s="29" t="str">
        <f>VLOOKUP($C584,청소코드!$C$4:$J$188,3,FALSE)</f>
        <v>센텀 2차 406</v>
      </c>
      <c r="E584" s="29">
        <f>VLOOKUP($C584,청소코드!$C$4:$J$188,4,FALSE)</f>
        <v>1.5</v>
      </c>
      <c r="F584" s="29" t="s">
        <v>437</v>
      </c>
      <c r="G584" s="29"/>
      <c r="H584" s="29"/>
      <c r="I584" s="29" t="s">
        <v>431</v>
      </c>
      <c r="J584" s="47">
        <f t="shared" si="28"/>
        <v>20000</v>
      </c>
      <c r="K584" s="29">
        <f>VLOOKUP($C584,청소코드!$C$4:$J$188,8,FALSE)</f>
        <v>20000</v>
      </c>
      <c r="L584" s="32"/>
      <c r="M584" s="31"/>
      <c r="N584" s="32"/>
      <c r="O584" s="32"/>
    </row>
    <row r="585" spans="1:15" customFormat="1" ht="12.75" customHeight="1">
      <c r="A585" s="30">
        <v>46094</v>
      </c>
      <c r="B585" s="29" t="str">
        <f t="shared" ref="B585:B616" si="29">TEXT(A585,"aaa")</f>
        <v>금</v>
      </c>
      <c r="C585" s="29" t="s">
        <v>344</v>
      </c>
      <c r="D585" s="29" t="str">
        <f>VLOOKUP($C585,청소코드!$C$4:$J$188,3,FALSE)</f>
        <v>오금스타 402</v>
      </c>
      <c r="E585" s="29">
        <f>VLOOKUP($C585,청소코드!$C$4:$J$188,4,FALSE)</f>
        <v>1</v>
      </c>
      <c r="F585" s="29" t="s">
        <v>449</v>
      </c>
      <c r="G585" s="29"/>
      <c r="H585" s="29"/>
      <c r="I585" s="29" t="s">
        <v>431</v>
      </c>
      <c r="J585" s="47">
        <f t="shared" ref="J585:J616" si="30">SUM(K585:O585)</f>
        <v>18000</v>
      </c>
      <c r="K585" s="29">
        <f>VLOOKUP($C585,청소코드!$C$4:$J$188,8,FALSE)</f>
        <v>18000</v>
      </c>
      <c r="L585" s="32"/>
      <c r="M585" s="31"/>
      <c r="N585" s="32"/>
      <c r="O585" s="32"/>
    </row>
    <row r="586" spans="1:15" customFormat="1" ht="12.75" customHeight="1">
      <c r="A586" s="30">
        <v>46094</v>
      </c>
      <c r="B586" s="29" t="str">
        <f t="shared" si="29"/>
        <v>금</v>
      </c>
      <c r="C586" s="29" t="s">
        <v>302</v>
      </c>
      <c r="D586" s="29" t="str">
        <f>VLOOKUP($C586,청소코드!$C$4:$J$188,3,FALSE)</f>
        <v>하람휴 1102</v>
      </c>
      <c r="E586" s="29">
        <f>VLOOKUP($C586,청소코드!$C$4:$J$188,4,FALSE)</f>
        <v>2</v>
      </c>
      <c r="F586" s="29" t="s">
        <v>408</v>
      </c>
      <c r="G586" s="29" t="s">
        <v>759</v>
      </c>
      <c r="H586" s="29"/>
      <c r="I586" s="29" t="s">
        <v>431</v>
      </c>
      <c r="J586" s="47">
        <f t="shared" si="30"/>
        <v>33000</v>
      </c>
      <c r="K586" s="29">
        <f>VLOOKUP($C586,청소코드!$C$4:$J$188,8,FALSE)</f>
        <v>23000</v>
      </c>
      <c r="L586" s="32">
        <v>10000</v>
      </c>
      <c r="M586" s="31"/>
      <c r="N586" s="32"/>
      <c r="O586" s="32"/>
    </row>
    <row r="587" spans="1:15" customFormat="1" ht="12.75" customHeight="1">
      <c r="A587" s="30">
        <v>46094</v>
      </c>
      <c r="B587" s="29" t="str">
        <f t="shared" si="29"/>
        <v>금</v>
      </c>
      <c r="C587" s="29" t="s">
        <v>396</v>
      </c>
      <c r="D587" s="29" t="str">
        <f>VLOOKUP($C587,청소코드!$C$4:$J$188,3,FALSE)</f>
        <v>대치동 101호</v>
      </c>
      <c r="E587" s="29">
        <f>VLOOKUP($C587,청소코드!$C$4:$J$188,4,FALSE)</f>
        <v>2</v>
      </c>
      <c r="F587" s="29" t="s">
        <v>499</v>
      </c>
      <c r="G587" s="29"/>
      <c r="H587" s="29"/>
      <c r="I587" s="29" t="s">
        <v>431</v>
      </c>
      <c r="J587" s="47">
        <f t="shared" si="30"/>
        <v>23000</v>
      </c>
      <c r="K587" s="29">
        <f>VLOOKUP($C587,청소코드!$C$4:$J$188,8,FALSE)</f>
        <v>23000</v>
      </c>
      <c r="L587" s="32"/>
      <c r="M587" s="31"/>
      <c r="N587" s="32"/>
      <c r="O587" s="32"/>
    </row>
    <row r="588" spans="1:15" customFormat="1" ht="12.75" customHeight="1">
      <c r="A588" s="30">
        <v>46094</v>
      </c>
      <c r="B588" s="29" t="str">
        <f t="shared" si="29"/>
        <v>금</v>
      </c>
      <c r="C588" s="29" t="s">
        <v>393</v>
      </c>
      <c r="D588" s="29" t="str">
        <f>VLOOKUP($C588,청소코드!$C$4:$J$188,3,FALSE)</f>
        <v>대치동 103호</v>
      </c>
      <c r="E588" s="29">
        <f>VLOOKUP($C588,청소코드!$C$4:$J$188,4,FALSE)</f>
        <v>1.5</v>
      </c>
      <c r="F588" s="29" t="s">
        <v>499</v>
      </c>
      <c r="G588" s="29" t="s">
        <v>760</v>
      </c>
      <c r="H588" s="29"/>
      <c r="I588" s="29" t="s">
        <v>431</v>
      </c>
      <c r="J588" s="47">
        <f t="shared" si="30"/>
        <v>24000</v>
      </c>
      <c r="K588" s="29">
        <f>VLOOKUP($C588,청소코드!$C$4:$J$188,8,FALSE)</f>
        <v>20000</v>
      </c>
      <c r="L588" s="32"/>
      <c r="M588" s="31"/>
      <c r="N588" s="32">
        <v>4000</v>
      </c>
      <c r="O588" s="32"/>
    </row>
    <row r="589" spans="1:15" customFormat="1" ht="12.75" customHeight="1">
      <c r="A589" s="30">
        <v>46094</v>
      </c>
      <c r="B589" s="29" t="str">
        <f t="shared" si="29"/>
        <v>금</v>
      </c>
      <c r="C589" s="29" t="s">
        <v>379</v>
      </c>
      <c r="D589" s="29" t="str">
        <f>VLOOKUP($C589,청소코드!$C$4:$J$188,3,FALSE)</f>
        <v>si 602</v>
      </c>
      <c r="E589" s="29">
        <f>VLOOKUP($C589,청소코드!$C$4:$J$188,4,FALSE)</f>
        <v>1</v>
      </c>
      <c r="F589" s="29" t="s">
        <v>426</v>
      </c>
      <c r="G589" s="29" t="s">
        <v>758</v>
      </c>
      <c r="H589" s="29"/>
      <c r="I589" s="29" t="s">
        <v>431</v>
      </c>
      <c r="J589" s="47">
        <f t="shared" si="30"/>
        <v>25000</v>
      </c>
      <c r="K589" s="29">
        <f>VLOOKUP($C589,청소코드!$C$4:$J$188,8,FALSE)</f>
        <v>20000</v>
      </c>
      <c r="L589" s="32">
        <v>5000</v>
      </c>
      <c r="M589" s="31"/>
      <c r="N589" s="32"/>
      <c r="O589" s="32"/>
    </row>
    <row r="590" spans="1:15" customFormat="1" ht="12.75" customHeight="1">
      <c r="A590" s="30">
        <v>46094</v>
      </c>
      <c r="B590" s="29" t="str">
        <f t="shared" si="29"/>
        <v>금</v>
      </c>
      <c r="C590" s="29" t="s">
        <v>416</v>
      </c>
      <c r="D590" s="29" t="str">
        <f>VLOOKUP($C590,청소코드!$C$4:$J$188,3,FALSE)</f>
        <v>청광1차 207</v>
      </c>
      <c r="E590" s="29">
        <f>VLOOKUP($C590,청소코드!$C$4:$J$188,4,FALSE)</f>
        <v>0</v>
      </c>
      <c r="F590" s="29" t="s">
        <v>426</v>
      </c>
      <c r="G590" s="29"/>
      <c r="H590" s="29"/>
      <c r="I590" s="29" t="s">
        <v>439</v>
      </c>
      <c r="J590" s="47">
        <f t="shared" si="30"/>
        <v>10000</v>
      </c>
      <c r="K590" s="29">
        <f>VLOOKUP($C590,청소코드!$C$4:$J$188,8,FALSE)</f>
        <v>10000</v>
      </c>
      <c r="L590" s="32"/>
      <c r="M590" s="31"/>
      <c r="N590" s="32"/>
      <c r="O590" s="32"/>
    </row>
    <row r="591" spans="1:15" customFormat="1" ht="12.75" customHeight="1">
      <c r="A591" s="49">
        <v>46095</v>
      </c>
      <c r="B591" s="50" t="str">
        <f t="shared" si="29"/>
        <v>토</v>
      </c>
      <c r="C591" s="29" t="s">
        <v>761</v>
      </c>
      <c r="D591" s="29" t="str">
        <f>VLOOKUP($C591,청소코드!$C$4:$J$188,3,FALSE)</f>
        <v>예건 204</v>
      </c>
      <c r="E591" s="29">
        <f>VLOOKUP($C591,청소코드!$C$4:$J$188,4,FALSE)</f>
        <v>1</v>
      </c>
      <c r="F591" s="29" t="s">
        <v>776</v>
      </c>
      <c r="G591" s="29"/>
      <c r="H591" s="29"/>
      <c r="I591" s="29" t="s">
        <v>794</v>
      </c>
      <c r="J591" s="47">
        <f t="shared" si="30"/>
        <v>18000</v>
      </c>
      <c r="K591" s="29">
        <f>VLOOKUP($C591,청소코드!$C$4:$J$188,8,FALSE)</f>
        <v>18000</v>
      </c>
      <c r="L591" s="32"/>
      <c r="M591" s="31"/>
      <c r="N591" s="32"/>
      <c r="O591" s="32"/>
    </row>
    <row r="592" spans="1:15" customFormat="1" ht="12.75" customHeight="1">
      <c r="A592" s="30">
        <v>46095</v>
      </c>
      <c r="B592" s="29" t="str">
        <f t="shared" si="29"/>
        <v>토</v>
      </c>
      <c r="C592" s="29" t="s">
        <v>762</v>
      </c>
      <c r="D592" s="29" t="str">
        <f>VLOOKUP($C592,청소코드!$C$4:$J$188,3,FALSE)</f>
        <v>예건 303</v>
      </c>
      <c r="E592" s="29">
        <f>VLOOKUP($C592,청소코드!$C$4:$J$188,4,FALSE)</f>
        <v>2</v>
      </c>
      <c r="F592" s="29" t="s">
        <v>776</v>
      </c>
      <c r="G592" s="29"/>
      <c r="H592" s="29"/>
      <c r="I592" s="29" t="s">
        <v>431</v>
      </c>
      <c r="J592" s="47">
        <f t="shared" si="30"/>
        <v>23000</v>
      </c>
      <c r="K592" s="29">
        <f>VLOOKUP($C592,청소코드!$C$4:$J$188,8,FALSE)</f>
        <v>23000</v>
      </c>
      <c r="L592" s="32"/>
      <c r="M592" s="31"/>
      <c r="N592" s="32"/>
      <c r="O592" s="32"/>
    </row>
    <row r="593" spans="1:15" customFormat="1" ht="12.75" customHeight="1">
      <c r="A593" s="30">
        <v>46095</v>
      </c>
      <c r="B593" s="29" t="str">
        <f t="shared" si="29"/>
        <v>토</v>
      </c>
      <c r="C593" s="29" t="s">
        <v>763</v>
      </c>
      <c r="D593" s="29" t="str">
        <f>VLOOKUP($C593,청소코드!$C$4:$J$188,3,FALSE)</f>
        <v>예건 702</v>
      </c>
      <c r="E593" s="29">
        <f>VLOOKUP($C593,청소코드!$C$4:$J$188,4,FALSE)</f>
        <v>1</v>
      </c>
      <c r="F593" s="29" t="s">
        <v>776</v>
      </c>
      <c r="G593" s="29"/>
      <c r="H593" s="29"/>
      <c r="I593" s="29" t="s">
        <v>431</v>
      </c>
      <c r="J593" s="47">
        <f t="shared" si="30"/>
        <v>18000</v>
      </c>
      <c r="K593" s="29">
        <f>VLOOKUP($C593,청소코드!$C$4:$J$188,8,FALSE)</f>
        <v>18000</v>
      </c>
      <c r="L593" s="32"/>
      <c r="M593" s="31"/>
      <c r="N593" s="32"/>
      <c r="O593" s="32"/>
    </row>
    <row r="594" spans="1:15" customFormat="1" ht="12.75" customHeight="1">
      <c r="A594" s="30">
        <v>46095</v>
      </c>
      <c r="B594" s="29" t="str">
        <f t="shared" si="29"/>
        <v>토</v>
      </c>
      <c r="C594" s="29" t="s">
        <v>764</v>
      </c>
      <c r="D594" s="29" t="str">
        <f>VLOOKUP($C594,청소코드!$C$4:$J$188,3,FALSE)</f>
        <v>성우 402</v>
      </c>
      <c r="E594" s="29">
        <f>VLOOKUP($C594,청소코드!$C$4:$J$188,4,FALSE)</f>
        <v>3</v>
      </c>
      <c r="F594" s="29" t="s">
        <v>426</v>
      </c>
      <c r="G594" s="29"/>
      <c r="H594" s="29"/>
      <c r="I594" s="29" t="s">
        <v>431</v>
      </c>
      <c r="J594" s="47">
        <f t="shared" si="30"/>
        <v>30000</v>
      </c>
      <c r="K594" s="29">
        <f>VLOOKUP($C594,청소코드!$C$4:$J$188,8,FALSE)</f>
        <v>30000</v>
      </c>
      <c r="L594" s="32"/>
      <c r="M594" s="31"/>
      <c r="N594" s="32"/>
      <c r="O594" s="32"/>
    </row>
    <row r="595" spans="1:15" customFormat="1" ht="12.75" customHeight="1">
      <c r="A595" s="30">
        <v>46095</v>
      </c>
      <c r="B595" s="29" t="str">
        <f t="shared" si="29"/>
        <v>토</v>
      </c>
      <c r="C595" s="29" t="s">
        <v>765</v>
      </c>
      <c r="D595" s="29" t="str">
        <f>VLOOKUP($C595,청소코드!$C$4:$J$188,3,FALSE)</f>
        <v>더하임 204</v>
      </c>
      <c r="E595" s="29">
        <f>VLOOKUP($C595,청소코드!$C$4:$J$188,4,FALSE)</f>
        <v>1</v>
      </c>
      <c r="F595" s="29" t="s">
        <v>426</v>
      </c>
      <c r="G595" s="29"/>
      <c r="H595" s="29"/>
      <c r="I595" s="29" t="s">
        <v>431</v>
      </c>
      <c r="J595" s="47">
        <f t="shared" si="30"/>
        <v>18000</v>
      </c>
      <c r="K595" s="29">
        <f>VLOOKUP($C595,청소코드!$C$4:$J$188,8,FALSE)</f>
        <v>18000</v>
      </c>
      <c r="L595" s="32"/>
      <c r="M595" s="31"/>
      <c r="N595" s="32"/>
      <c r="O595" s="32"/>
    </row>
    <row r="596" spans="1:15" customFormat="1" ht="12.75" customHeight="1">
      <c r="A596" s="30">
        <v>46095</v>
      </c>
      <c r="B596" s="29" t="str">
        <f t="shared" si="29"/>
        <v>토</v>
      </c>
      <c r="C596" s="29" t="s">
        <v>766</v>
      </c>
      <c r="D596" s="29" t="str">
        <f>VLOOKUP($C596,청소코드!$C$4:$J$188,3,FALSE)</f>
        <v>더하임 306</v>
      </c>
      <c r="E596" s="29">
        <f>VLOOKUP($C596,청소코드!$C$4:$J$188,4,FALSE)</f>
        <v>1.5</v>
      </c>
      <c r="F596" s="29" t="s">
        <v>426</v>
      </c>
      <c r="G596" s="29"/>
      <c r="H596" s="29"/>
      <c r="I596" s="29" t="s">
        <v>431</v>
      </c>
      <c r="J596" s="47">
        <f t="shared" si="30"/>
        <v>20000</v>
      </c>
      <c r="K596" s="29">
        <f>VLOOKUP($C596,청소코드!$C$4:$J$188,8,FALSE)</f>
        <v>20000</v>
      </c>
      <c r="L596" s="32"/>
      <c r="M596" s="31"/>
      <c r="N596" s="32"/>
      <c r="O596" s="32"/>
    </row>
    <row r="597" spans="1:15" customFormat="1" ht="12.75" customHeight="1">
      <c r="A597" s="30">
        <v>46095</v>
      </c>
      <c r="B597" s="29" t="str">
        <f t="shared" si="29"/>
        <v>토</v>
      </c>
      <c r="C597" s="29" t="s">
        <v>767</v>
      </c>
      <c r="D597" s="29" t="str">
        <f>VLOOKUP($C597,청소코드!$C$4:$J$188,3,FALSE)</f>
        <v>청광3차 1416</v>
      </c>
      <c r="E597" s="29">
        <f>VLOOKUP($C597,청소코드!$C$4:$J$188,4,FALSE)</f>
        <v>1</v>
      </c>
      <c r="F597" s="29" t="s">
        <v>449</v>
      </c>
      <c r="G597" s="29"/>
      <c r="H597" s="29"/>
      <c r="I597" s="29" t="s">
        <v>431</v>
      </c>
      <c r="J597" s="47">
        <f t="shared" si="30"/>
        <v>18000</v>
      </c>
      <c r="K597" s="29">
        <f>VLOOKUP($C597,청소코드!$C$4:$J$188,8,FALSE)</f>
        <v>18000</v>
      </c>
      <c r="L597" s="32"/>
      <c r="M597" s="31"/>
      <c r="N597" s="32"/>
      <c r="O597" s="32"/>
    </row>
    <row r="598" spans="1:15" customFormat="1" ht="12.75" customHeight="1">
      <c r="A598" s="30">
        <v>46095</v>
      </c>
      <c r="B598" s="29" t="str">
        <f t="shared" si="29"/>
        <v>토</v>
      </c>
      <c r="C598" s="29" t="s">
        <v>768</v>
      </c>
      <c r="D598" s="29" t="str">
        <f>VLOOKUP($C598,청소코드!$C$4:$J$188,3,FALSE)</f>
        <v>청광3차 806</v>
      </c>
      <c r="E598" s="29">
        <f>VLOOKUP($C598,청소코드!$C$4:$J$188,4,FALSE)</f>
        <v>1</v>
      </c>
      <c r="F598" s="29" t="s">
        <v>449</v>
      </c>
      <c r="G598" s="29"/>
      <c r="H598" s="29"/>
      <c r="I598" s="29" t="s">
        <v>431</v>
      </c>
      <c r="J598" s="47">
        <f t="shared" si="30"/>
        <v>18000</v>
      </c>
      <c r="K598" s="29">
        <f>VLOOKUP($C598,청소코드!$C$4:$J$188,8,FALSE)</f>
        <v>18000</v>
      </c>
      <c r="L598" s="32"/>
      <c r="M598" s="31"/>
      <c r="N598" s="32"/>
      <c r="O598" s="32"/>
    </row>
    <row r="599" spans="1:15" customFormat="1" ht="12.75" customHeight="1">
      <c r="A599" s="30">
        <v>46095</v>
      </c>
      <c r="B599" s="29" t="str">
        <f t="shared" si="29"/>
        <v>토</v>
      </c>
      <c r="C599" s="29" t="s">
        <v>769</v>
      </c>
      <c r="D599" s="29" t="str">
        <f>VLOOKUP($C599,청소코드!$C$4:$J$188,3,FALSE)</f>
        <v>si 502</v>
      </c>
      <c r="E599" s="29">
        <f>VLOOKUP($C599,청소코드!$C$4:$J$188,4,FALSE)</f>
        <v>1</v>
      </c>
      <c r="F599" s="29" t="s">
        <v>426</v>
      </c>
      <c r="G599" s="29" t="s">
        <v>795</v>
      </c>
      <c r="H599" s="29"/>
      <c r="I599" s="29" t="s">
        <v>431</v>
      </c>
      <c r="J599" s="47">
        <f t="shared" si="30"/>
        <v>25000</v>
      </c>
      <c r="K599" s="29">
        <f>VLOOKUP($C599,청소코드!$C$4:$J$188,8,FALSE)</f>
        <v>20000</v>
      </c>
      <c r="L599" s="32">
        <v>5000</v>
      </c>
      <c r="M599" s="31"/>
      <c r="N599" s="32"/>
      <c r="O599" s="32"/>
    </row>
    <row r="600" spans="1:15" customFormat="1" ht="12.75" customHeight="1">
      <c r="A600" s="30">
        <v>46095</v>
      </c>
      <c r="B600" s="29" t="str">
        <f t="shared" si="29"/>
        <v>토</v>
      </c>
      <c r="C600" s="29" t="s">
        <v>770</v>
      </c>
      <c r="D600" s="29" t="str">
        <f>VLOOKUP($C600,청소코드!$C$4:$J$188,3,FALSE)</f>
        <v>si 602</v>
      </c>
      <c r="E600" s="29">
        <f>VLOOKUP($C600,청소코드!$C$4:$J$188,4,FALSE)</f>
        <v>1</v>
      </c>
      <c r="F600" s="29" t="s">
        <v>426</v>
      </c>
      <c r="G600" s="29" t="s">
        <v>795</v>
      </c>
      <c r="H600" s="29"/>
      <c r="I600" s="29" t="s">
        <v>431</v>
      </c>
      <c r="J600" s="47">
        <f t="shared" si="30"/>
        <v>25000</v>
      </c>
      <c r="K600" s="29">
        <f>VLOOKUP($C600,청소코드!$C$4:$J$188,8,FALSE)</f>
        <v>20000</v>
      </c>
      <c r="L600" s="32">
        <v>5000</v>
      </c>
      <c r="M600" s="31"/>
      <c r="N600" s="32"/>
      <c r="O600" s="32"/>
    </row>
    <row r="601" spans="1:15" customFormat="1" ht="12.75" customHeight="1">
      <c r="A601" s="30">
        <v>46095</v>
      </c>
      <c r="B601" s="29" t="str">
        <f t="shared" si="29"/>
        <v>토</v>
      </c>
      <c r="C601" s="29" t="s">
        <v>771</v>
      </c>
      <c r="D601" s="29" t="str">
        <f>VLOOKUP($C601,청소코드!$C$4:$J$188,3,FALSE)</f>
        <v>센텀 2차 406</v>
      </c>
      <c r="E601" s="29">
        <f>VLOOKUP($C601,청소코드!$C$4:$J$188,4,FALSE)</f>
        <v>1.5</v>
      </c>
      <c r="F601" s="29" t="s">
        <v>777</v>
      </c>
      <c r="G601" s="29"/>
      <c r="H601" s="29"/>
      <c r="I601" s="29" t="s">
        <v>431</v>
      </c>
      <c r="J601" s="47">
        <f t="shared" si="30"/>
        <v>20000</v>
      </c>
      <c r="K601" s="29">
        <f>VLOOKUP($C601,청소코드!$C$4:$J$188,8,FALSE)</f>
        <v>20000</v>
      </c>
      <c r="L601" s="32"/>
      <c r="M601" s="31"/>
      <c r="N601" s="32"/>
      <c r="O601" s="32"/>
    </row>
    <row r="602" spans="1:15" customFormat="1" ht="12.75" customHeight="1">
      <c r="A602" s="30">
        <v>46095</v>
      </c>
      <c r="B602" s="29" t="str">
        <f t="shared" si="29"/>
        <v>토</v>
      </c>
      <c r="C602" s="29" t="s">
        <v>772</v>
      </c>
      <c r="D602" s="29" t="str">
        <f>VLOOKUP($C602,청소코드!$C$4:$J$188,3,FALSE)</f>
        <v>은성 603</v>
      </c>
      <c r="E602" s="29">
        <f>VLOOKUP($C602,청소코드!$C$4:$J$188,4,FALSE)</f>
        <v>1</v>
      </c>
      <c r="F602" s="29" t="s">
        <v>777</v>
      </c>
      <c r="G602" s="29"/>
      <c r="H602" s="29"/>
      <c r="I602" s="29" t="s">
        <v>431</v>
      </c>
      <c r="J602" s="47">
        <f t="shared" si="30"/>
        <v>18000</v>
      </c>
      <c r="K602" s="29">
        <f>VLOOKUP($C602,청소코드!$C$4:$J$188,8,FALSE)</f>
        <v>18000</v>
      </c>
      <c r="L602" s="32"/>
      <c r="M602" s="31"/>
      <c r="N602" s="32"/>
      <c r="O602" s="32"/>
    </row>
    <row r="603" spans="1:15" customFormat="1" ht="12.75" customHeight="1">
      <c r="A603" s="30">
        <v>46095</v>
      </c>
      <c r="B603" s="29" t="str">
        <f t="shared" si="29"/>
        <v>토</v>
      </c>
      <c r="C603" s="29" t="s">
        <v>773</v>
      </c>
      <c r="D603" s="29" t="str">
        <f>VLOOKUP($C603,청소코드!$C$4:$J$188,3,FALSE)</f>
        <v>선일 101</v>
      </c>
      <c r="E603" s="29">
        <f>VLOOKUP($C603,청소코드!$C$4:$J$188,4,FALSE)</f>
        <v>2</v>
      </c>
      <c r="F603" s="29" t="s">
        <v>778</v>
      </c>
      <c r="G603" s="29"/>
      <c r="H603" s="29"/>
      <c r="I603" s="29" t="s">
        <v>431</v>
      </c>
      <c r="J603" s="47">
        <f t="shared" si="30"/>
        <v>33000</v>
      </c>
      <c r="K603" s="29">
        <f>VLOOKUP($C603,청소코드!$C$4:$J$188,8,FALSE)</f>
        <v>23000</v>
      </c>
      <c r="L603" s="32"/>
      <c r="M603" s="31"/>
      <c r="N603" s="32">
        <v>10000</v>
      </c>
      <c r="O603" s="32"/>
    </row>
    <row r="604" spans="1:15" customFormat="1" ht="12.75" customHeight="1">
      <c r="A604" s="30">
        <v>46095</v>
      </c>
      <c r="B604" s="29" t="str">
        <f t="shared" si="29"/>
        <v>토</v>
      </c>
      <c r="C604" s="29" t="s">
        <v>774</v>
      </c>
      <c r="D604" s="29" t="str">
        <f>VLOOKUP($C604,청소코드!$C$4:$J$188,3,FALSE)</f>
        <v>뉴시티 1413</v>
      </c>
      <c r="E604" s="29">
        <f>VLOOKUP($C604,청소코드!$C$4:$J$188,4,FALSE)</f>
        <v>1</v>
      </c>
      <c r="F604" s="29" t="s">
        <v>778</v>
      </c>
      <c r="G604" s="29"/>
      <c r="H604" s="29"/>
      <c r="I604" s="29" t="s">
        <v>431</v>
      </c>
      <c r="J604" s="47">
        <f t="shared" si="30"/>
        <v>22500</v>
      </c>
      <c r="K604" s="29">
        <f>VLOOKUP($C604,청소코드!$C$4:$J$188,8,FALSE)</f>
        <v>18000</v>
      </c>
      <c r="L604" s="32"/>
      <c r="M604" s="31"/>
      <c r="N604" s="32">
        <v>4500</v>
      </c>
      <c r="O604" s="32"/>
    </row>
    <row r="605" spans="1:15" customFormat="1" ht="12.75" customHeight="1">
      <c r="A605" s="30">
        <v>46095</v>
      </c>
      <c r="B605" s="29" t="str">
        <f t="shared" si="29"/>
        <v>토</v>
      </c>
      <c r="C605" s="29" t="s">
        <v>775</v>
      </c>
      <c r="D605" s="29" t="str">
        <f>VLOOKUP($C605,청소코드!$C$4:$J$188,3,FALSE)</f>
        <v>대치동 102호</v>
      </c>
      <c r="E605" s="29">
        <f>VLOOKUP($C605,청소코드!$C$4:$J$188,4,FALSE)</f>
        <v>1</v>
      </c>
      <c r="F605" s="29" t="s">
        <v>780</v>
      </c>
      <c r="G605" s="29"/>
      <c r="H605" s="29"/>
      <c r="I605" s="29" t="s">
        <v>431</v>
      </c>
      <c r="J605" s="47">
        <f t="shared" si="30"/>
        <v>18000</v>
      </c>
      <c r="K605" s="29">
        <f>VLOOKUP($C605,청소코드!$C$4:$J$188,8,FALSE)</f>
        <v>18000</v>
      </c>
      <c r="L605" s="32"/>
      <c r="M605" s="31"/>
      <c r="N605" s="32"/>
      <c r="O605" s="32"/>
    </row>
    <row r="606" spans="1:15" customFormat="1" ht="12.75" customHeight="1">
      <c r="A606" s="30">
        <v>46095</v>
      </c>
      <c r="B606" s="29" t="str">
        <f t="shared" si="29"/>
        <v>토</v>
      </c>
      <c r="C606" s="29" t="s">
        <v>781</v>
      </c>
      <c r="D606" s="29" t="str">
        <f>VLOOKUP($C606,청소코드!$C$4:$J$188,3,FALSE)</f>
        <v>청광1차 207</v>
      </c>
      <c r="E606" s="29">
        <f>VLOOKUP($C606,청소코드!$C$4:$J$188,4,FALSE)</f>
        <v>0</v>
      </c>
      <c r="F606" s="29" t="s">
        <v>779</v>
      </c>
      <c r="G606" s="29"/>
      <c r="H606" s="29"/>
      <c r="I606" s="29" t="s">
        <v>431</v>
      </c>
      <c r="J606" s="47">
        <f t="shared" si="30"/>
        <v>10000</v>
      </c>
      <c r="K606" s="29">
        <f>VLOOKUP($C606,청소코드!$C$4:$J$188,8,FALSE)</f>
        <v>10000</v>
      </c>
      <c r="L606" s="32"/>
      <c r="M606" s="31"/>
      <c r="N606" s="32"/>
      <c r="O606" s="32"/>
    </row>
    <row r="607" spans="1:15" customFormat="1" ht="12.75" customHeight="1">
      <c r="A607" s="49">
        <v>46096</v>
      </c>
      <c r="B607" s="50" t="str">
        <f t="shared" si="29"/>
        <v>일</v>
      </c>
      <c r="C607" s="29" t="s">
        <v>764</v>
      </c>
      <c r="D607" s="29" t="str">
        <f>VLOOKUP($C607,청소코드!$C$4:$J$188,3,FALSE)</f>
        <v>성우 402</v>
      </c>
      <c r="E607" s="29">
        <f>VLOOKUP($C607,청소코드!$C$4:$J$188,4,FALSE)</f>
        <v>3</v>
      </c>
      <c r="F607" s="29" t="s">
        <v>791</v>
      </c>
      <c r="G607" s="29"/>
      <c r="H607" s="29"/>
      <c r="I607" s="29" t="s">
        <v>431</v>
      </c>
      <c r="J607" s="47">
        <f t="shared" si="30"/>
        <v>30000</v>
      </c>
      <c r="K607" s="29">
        <f>VLOOKUP($C607,청소코드!$C$4:$J$188,8,FALSE)</f>
        <v>30000</v>
      </c>
      <c r="L607" s="32"/>
      <c r="M607" s="31"/>
      <c r="N607" s="32"/>
      <c r="O607" s="32"/>
    </row>
    <row r="608" spans="1:15" customFormat="1" ht="12.75" customHeight="1">
      <c r="A608" s="30">
        <v>46096</v>
      </c>
      <c r="B608" s="29" t="str">
        <f t="shared" si="29"/>
        <v>일</v>
      </c>
      <c r="C608" s="29" t="s">
        <v>761</v>
      </c>
      <c r="D608" s="29" t="str">
        <f>VLOOKUP($C608,청소코드!$C$4:$J$188,3,FALSE)</f>
        <v>예건 204</v>
      </c>
      <c r="E608" s="29">
        <f>VLOOKUP($C608,청소코드!$C$4:$J$188,4,FALSE)</f>
        <v>1</v>
      </c>
      <c r="F608" s="29" t="s">
        <v>449</v>
      </c>
      <c r="G608" s="29"/>
      <c r="H608" s="29"/>
      <c r="I608" s="29" t="s">
        <v>431</v>
      </c>
      <c r="J608" s="47">
        <f t="shared" si="30"/>
        <v>18000</v>
      </c>
      <c r="K608" s="29">
        <f>VLOOKUP($C608,청소코드!$C$4:$J$188,8,FALSE)</f>
        <v>18000</v>
      </c>
      <c r="L608" s="32"/>
      <c r="M608" s="31"/>
      <c r="N608" s="32"/>
      <c r="O608" s="32"/>
    </row>
    <row r="609" spans="1:15" customFormat="1" ht="12.75" customHeight="1">
      <c r="A609" s="30">
        <v>46096</v>
      </c>
      <c r="B609" s="29" t="str">
        <f t="shared" si="29"/>
        <v>일</v>
      </c>
      <c r="C609" s="29" t="s">
        <v>782</v>
      </c>
      <c r="D609" s="29" t="str">
        <f>VLOOKUP($C609,청소코드!$C$4:$J$188,3,FALSE)</f>
        <v>예건 602</v>
      </c>
      <c r="E609" s="29">
        <f>VLOOKUP($C609,청소코드!$C$4:$J$188,4,FALSE)</f>
        <v>1</v>
      </c>
      <c r="F609" s="29" t="s">
        <v>792</v>
      </c>
      <c r="G609" s="29"/>
      <c r="H609" s="29"/>
      <c r="I609" s="29" t="s">
        <v>431</v>
      </c>
      <c r="J609" s="47">
        <f t="shared" si="30"/>
        <v>18000</v>
      </c>
      <c r="K609" s="29">
        <f>VLOOKUP($C609,청소코드!$C$4:$J$188,8,FALSE)</f>
        <v>18000</v>
      </c>
      <c r="L609" s="32"/>
      <c r="M609" s="31"/>
      <c r="N609" s="32"/>
      <c r="O609" s="32"/>
    </row>
    <row r="610" spans="1:15" customFormat="1" ht="12.75" customHeight="1">
      <c r="A610" s="30">
        <v>46096</v>
      </c>
      <c r="B610" s="29" t="str">
        <f t="shared" si="29"/>
        <v>일</v>
      </c>
      <c r="C610" s="29" t="s">
        <v>763</v>
      </c>
      <c r="D610" s="29" t="str">
        <f>VLOOKUP($C610,청소코드!$C$4:$J$188,3,FALSE)</f>
        <v>예건 702</v>
      </c>
      <c r="E610" s="29">
        <f>VLOOKUP($C610,청소코드!$C$4:$J$188,4,FALSE)</f>
        <v>1</v>
      </c>
      <c r="F610" s="29" t="s">
        <v>792</v>
      </c>
      <c r="G610" s="29"/>
      <c r="H610" s="29"/>
      <c r="I610" s="29" t="s">
        <v>431</v>
      </c>
      <c r="J610" s="47">
        <f t="shared" si="30"/>
        <v>18000</v>
      </c>
      <c r="K610" s="29">
        <f>VLOOKUP($C610,청소코드!$C$4:$J$188,8,FALSE)</f>
        <v>18000</v>
      </c>
      <c r="L610" s="32"/>
      <c r="M610" s="31"/>
      <c r="N610" s="32"/>
      <c r="O610" s="32"/>
    </row>
    <row r="611" spans="1:15" customFormat="1" ht="12.75" customHeight="1">
      <c r="A611" s="30">
        <v>46096</v>
      </c>
      <c r="B611" s="29" t="str">
        <f t="shared" si="29"/>
        <v>일</v>
      </c>
      <c r="C611" s="29" t="s">
        <v>783</v>
      </c>
      <c r="D611" s="29" t="str">
        <f>VLOOKUP($C611,청소코드!$C$4:$J$188,3,FALSE)</f>
        <v>더하임 1004</v>
      </c>
      <c r="E611" s="29">
        <f>VLOOKUP($C611,청소코드!$C$4:$J$188,4,FALSE)</f>
        <v>1</v>
      </c>
      <c r="F611" s="29" t="s">
        <v>401</v>
      </c>
      <c r="G611" s="29"/>
      <c r="H611" s="29"/>
      <c r="I611" s="29" t="s">
        <v>431</v>
      </c>
      <c r="J611" s="47">
        <f t="shared" si="30"/>
        <v>18000</v>
      </c>
      <c r="K611" s="29">
        <f>VLOOKUP($C611,청소코드!$C$4:$J$188,8,FALSE)</f>
        <v>18000</v>
      </c>
      <c r="L611" s="32"/>
      <c r="M611" s="31"/>
      <c r="N611" s="32"/>
      <c r="O611" s="32"/>
    </row>
    <row r="612" spans="1:15" customFormat="1" ht="12.75" customHeight="1">
      <c r="A612" s="30">
        <v>46096</v>
      </c>
      <c r="B612" s="29" t="str">
        <f t="shared" si="29"/>
        <v>일</v>
      </c>
      <c r="C612" s="29" t="s">
        <v>784</v>
      </c>
      <c r="D612" s="29" t="str">
        <f>VLOOKUP($C612,청소코드!$C$4:$J$188,3,FALSE)</f>
        <v>더하임 1006</v>
      </c>
      <c r="E612" s="29">
        <f>VLOOKUP($C612,청소코드!$C$4:$J$188,4,FALSE)</f>
        <v>1.5</v>
      </c>
      <c r="F612" s="29" t="s">
        <v>779</v>
      </c>
      <c r="G612" s="29"/>
      <c r="H612" s="29"/>
      <c r="I612" s="29" t="s">
        <v>431</v>
      </c>
      <c r="J612" s="47">
        <f t="shared" si="30"/>
        <v>20000</v>
      </c>
      <c r="K612" s="29">
        <f>VLOOKUP($C612,청소코드!$C$4:$J$188,8,FALSE)</f>
        <v>20000</v>
      </c>
      <c r="L612" s="32"/>
      <c r="M612" s="31"/>
      <c r="N612" s="32"/>
      <c r="O612" s="32"/>
    </row>
    <row r="613" spans="1:15" customFormat="1" ht="12.75" customHeight="1">
      <c r="A613" s="30">
        <v>46096</v>
      </c>
      <c r="B613" s="29" t="str">
        <f t="shared" si="29"/>
        <v>일</v>
      </c>
      <c r="C613" s="29" t="s">
        <v>765</v>
      </c>
      <c r="D613" s="29" t="str">
        <f>VLOOKUP($C613,청소코드!$C$4:$J$188,3,FALSE)</f>
        <v>더하임 204</v>
      </c>
      <c r="E613" s="29">
        <f>VLOOKUP($C613,청소코드!$C$4:$J$188,4,FALSE)</f>
        <v>1</v>
      </c>
      <c r="F613" s="29" t="s">
        <v>401</v>
      </c>
      <c r="G613" s="29"/>
      <c r="H613" s="29"/>
      <c r="I613" s="29" t="s">
        <v>431</v>
      </c>
      <c r="J613" s="47">
        <f t="shared" si="30"/>
        <v>18000</v>
      </c>
      <c r="K613" s="29">
        <f>VLOOKUP($C613,청소코드!$C$4:$J$188,8,FALSE)</f>
        <v>18000</v>
      </c>
      <c r="L613" s="32"/>
      <c r="M613" s="31"/>
      <c r="N613" s="32"/>
      <c r="O613" s="32"/>
    </row>
    <row r="614" spans="1:15" customFormat="1" ht="12.75" customHeight="1">
      <c r="A614" s="30">
        <v>46096</v>
      </c>
      <c r="B614" s="29" t="str">
        <f t="shared" si="29"/>
        <v>일</v>
      </c>
      <c r="C614" s="29" t="s">
        <v>785</v>
      </c>
      <c r="D614" s="29" t="str">
        <f>VLOOKUP($C614,청소코드!$C$4:$J$188,3,FALSE)</f>
        <v>더하임 305</v>
      </c>
      <c r="E614" s="29">
        <f>VLOOKUP($C614,청소코드!$C$4:$J$188,4,FALSE)</f>
        <v>1</v>
      </c>
      <c r="F614" s="29" t="s">
        <v>401</v>
      </c>
      <c r="G614" s="29"/>
      <c r="H614" s="29"/>
      <c r="I614" s="29" t="s">
        <v>431</v>
      </c>
      <c r="J614" s="47">
        <f t="shared" si="30"/>
        <v>18000</v>
      </c>
      <c r="K614" s="29">
        <f>VLOOKUP($C614,청소코드!$C$4:$J$188,8,FALSE)</f>
        <v>18000</v>
      </c>
      <c r="L614" s="32"/>
      <c r="M614" s="31"/>
      <c r="N614" s="32"/>
      <c r="O614" s="32"/>
    </row>
    <row r="615" spans="1:15" customFormat="1" ht="12.75" customHeight="1">
      <c r="A615" s="30">
        <v>46096</v>
      </c>
      <c r="B615" s="29" t="str">
        <f t="shared" si="29"/>
        <v>일</v>
      </c>
      <c r="C615" s="29" t="s">
        <v>767</v>
      </c>
      <c r="D615" s="29" t="str">
        <f>VLOOKUP($C615,청소코드!$C$4:$J$188,3,FALSE)</f>
        <v>청광3차 1416</v>
      </c>
      <c r="E615" s="29">
        <f>VLOOKUP($C615,청소코드!$C$4:$J$188,4,FALSE)</f>
        <v>1</v>
      </c>
      <c r="F615" s="29" t="s">
        <v>776</v>
      </c>
      <c r="G615" s="29"/>
      <c r="H615" s="29"/>
      <c r="I615" s="29" t="s">
        <v>431</v>
      </c>
      <c r="J615" s="47">
        <f t="shared" si="30"/>
        <v>18000</v>
      </c>
      <c r="K615" s="29">
        <f>VLOOKUP($C615,청소코드!$C$4:$J$188,8,FALSE)</f>
        <v>18000</v>
      </c>
      <c r="L615" s="32"/>
      <c r="M615" s="31"/>
      <c r="N615" s="32"/>
      <c r="O615" s="32"/>
    </row>
    <row r="616" spans="1:15" customFormat="1" ht="12.75" customHeight="1">
      <c r="A616" s="30">
        <v>46096</v>
      </c>
      <c r="B616" s="29" t="str">
        <f t="shared" si="29"/>
        <v>일</v>
      </c>
      <c r="C616" s="29" t="s">
        <v>768</v>
      </c>
      <c r="D616" s="29" t="str">
        <f>VLOOKUP($C616,청소코드!$C$4:$J$188,3,FALSE)</f>
        <v>청광3차 806</v>
      </c>
      <c r="E616" s="29">
        <f>VLOOKUP($C616,청소코드!$C$4:$J$188,4,FALSE)</f>
        <v>1</v>
      </c>
      <c r="F616" s="29" t="s">
        <v>776</v>
      </c>
      <c r="G616" s="29"/>
      <c r="H616" s="29"/>
      <c r="I616" s="29" t="s">
        <v>431</v>
      </c>
      <c r="J616" s="47">
        <f t="shared" si="30"/>
        <v>18000</v>
      </c>
      <c r="K616" s="29">
        <f>VLOOKUP($C616,청소코드!$C$4:$J$188,8,FALSE)</f>
        <v>18000</v>
      </c>
      <c r="L616" s="32"/>
      <c r="M616" s="31"/>
      <c r="N616" s="32"/>
      <c r="O616" s="32"/>
    </row>
    <row r="617" spans="1:15" customFormat="1" ht="12.75" customHeight="1">
      <c r="A617" s="30">
        <v>46096</v>
      </c>
      <c r="B617" s="29" t="str">
        <f t="shared" ref="B617:B636" si="31">TEXT(A617,"aaa")</f>
        <v>일</v>
      </c>
      <c r="C617" s="29" t="s">
        <v>772</v>
      </c>
      <c r="D617" s="29" t="str">
        <f>VLOOKUP($C617,청소코드!$C$4:$J$188,3,FALSE)</f>
        <v>은성 603</v>
      </c>
      <c r="E617" s="29">
        <f>VLOOKUP($C617,청소코드!$C$4:$J$188,4,FALSE)</f>
        <v>1</v>
      </c>
      <c r="F617" s="29" t="s">
        <v>426</v>
      </c>
      <c r="G617" s="29"/>
      <c r="H617" s="29"/>
      <c r="I617" s="29" t="s">
        <v>431</v>
      </c>
      <c r="J617" s="47">
        <f t="shared" ref="J617:J636" si="32">SUM(K617:O617)</f>
        <v>18000</v>
      </c>
      <c r="K617" s="29">
        <f>VLOOKUP($C617,청소코드!$C$4:$J$188,8,FALSE)</f>
        <v>18000</v>
      </c>
      <c r="L617" s="32"/>
      <c r="M617" s="31"/>
      <c r="N617" s="32"/>
      <c r="O617" s="32"/>
    </row>
    <row r="618" spans="1:15" customFormat="1" ht="12.75" customHeight="1">
      <c r="A618" s="30">
        <v>46096</v>
      </c>
      <c r="B618" s="29" t="str">
        <f t="shared" si="31"/>
        <v>일</v>
      </c>
      <c r="C618" s="29" t="s">
        <v>786</v>
      </c>
      <c r="D618" s="29" t="str">
        <f>VLOOKUP($C618,청소코드!$C$4:$J$188,3,FALSE)</f>
        <v>렘브 505</v>
      </c>
      <c r="E618" s="29">
        <f>VLOOKUP($C618,청소코드!$C$4:$J$188,4,FALSE)</f>
        <v>1</v>
      </c>
      <c r="F618" s="29" t="s">
        <v>426</v>
      </c>
      <c r="G618" s="29"/>
      <c r="H618" s="29"/>
      <c r="I618" s="29" t="s">
        <v>431</v>
      </c>
      <c r="J618" s="47">
        <f t="shared" si="32"/>
        <v>18000</v>
      </c>
      <c r="K618" s="29">
        <f>VLOOKUP($C618,청소코드!$C$4:$J$188,8,FALSE)</f>
        <v>18000</v>
      </c>
      <c r="L618" s="32"/>
      <c r="M618" s="31"/>
      <c r="N618" s="32"/>
      <c r="O618" s="32"/>
    </row>
    <row r="619" spans="1:15" customFormat="1" ht="12.75" customHeight="1">
      <c r="A619" s="30">
        <v>46096</v>
      </c>
      <c r="B619" s="29" t="str">
        <f t="shared" si="31"/>
        <v>일</v>
      </c>
      <c r="C619" s="29" t="s">
        <v>771</v>
      </c>
      <c r="D619" s="29" t="str">
        <f>VLOOKUP($C619,청소코드!$C$4:$J$188,3,FALSE)</f>
        <v>센텀 2차 406</v>
      </c>
      <c r="E619" s="29">
        <f>VLOOKUP($C619,청소코드!$C$4:$J$188,4,FALSE)</f>
        <v>1.5</v>
      </c>
      <c r="F619" s="29" t="s">
        <v>437</v>
      </c>
      <c r="G619" s="29"/>
      <c r="H619" s="29"/>
      <c r="I619" s="29" t="s">
        <v>431</v>
      </c>
      <c r="J619" s="47">
        <f t="shared" si="32"/>
        <v>20000</v>
      </c>
      <c r="K619" s="29">
        <f>VLOOKUP($C619,청소코드!$C$4:$J$188,8,FALSE)</f>
        <v>20000</v>
      </c>
      <c r="L619" s="32"/>
      <c r="M619" s="31"/>
      <c r="N619" s="32"/>
      <c r="O619" s="32"/>
    </row>
    <row r="620" spans="1:15" customFormat="1" ht="12.75" customHeight="1">
      <c r="A620" s="30">
        <v>46096</v>
      </c>
      <c r="B620" s="29" t="str">
        <f t="shared" si="31"/>
        <v>일</v>
      </c>
      <c r="C620" s="29" t="s">
        <v>770</v>
      </c>
      <c r="D620" s="29" t="str">
        <f>VLOOKUP($C620,청소코드!$C$4:$J$188,3,FALSE)</f>
        <v>si 602</v>
      </c>
      <c r="E620" s="29">
        <f>VLOOKUP($C620,청소코드!$C$4:$J$188,4,FALSE)</f>
        <v>1</v>
      </c>
      <c r="F620" s="29" t="s">
        <v>437</v>
      </c>
      <c r="G620" s="29"/>
      <c r="H620" s="29"/>
      <c r="I620" s="29" t="s">
        <v>431</v>
      </c>
      <c r="J620" s="47">
        <f t="shared" si="32"/>
        <v>20000</v>
      </c>
      <c r="K620" s="29">
        <f>VLOOKUP($C620,청소코드!$C$4:$J$188,8,FALSE)</f>
        <v>20000</v>
      </c>
      <c r="L620" s="32"/>
      <c r="M620" s="31"/>
      <c r="N620" s="32"/>
      <c r="O620" s="32"/>
    </row>
    <row r="621" spans="1:15" customFormat="1" ht="12.75" customHeight="1">
      <c r="A621" s="30">
        <v>46096</v>
      </c>
      <c r="B621" s="29" t="str">
        <f t="shared" si="31"/>
        <v>일</v>
      </c>
      <c r="C621" s="29" t="s">
        <v>787</v>
      </c>
      <c r="D621" s="29" t="str">
        <f>VLOOKUP($C621,청소코드!$C$4:$J$188,3,FALSE)</f>
        <v>하람휴 902</v>
      </c>
      <c r="E621" s="29">
        <f>VLOOKUP($C621,청소코드!$C$4:$J$188,4,FALSE)</f>
        <v>2</v>
      </c>
      <c r="F621" s="29" t="s">
        <v>793</v>
      </c>
      <c r="G621" s="29"/>
      <c r="H621" s="29"/>
      <c r="I621" s="29" t="s">
        <v>431</v>
      </c>
      <c r="J621" s="47">
        <f t="shared" si="32"/>
        <v>23000</v>
      </c>
      <c r="K621" s="29">
        <f>VLOOKUP($C621,청소코드!$C$4:$J$188,8,FALSE)</f>
        <v>23000</v>
      </c>
      <c r="L621" s="32"/>
      <c r="M621" s="31"/>
      <c r="N621" s="32"/>
      <c r="O621" s="32"/>
    </row>
    <row r="622" spans="1:15" customFormat="1" ht="12.75" customHeight="1">
      <c r="A622" s="30">
        <v>46096</v>
      </c>
      <c r="B622" s="29" t="str">
        <f t="shared" si="31"/>
        <v>일</v>
      </c>
      <c r="C622" s="29" t="s">
        <v>788</v>
      </c>
      <c r="D622" s="29" t="str">
        <f>VLOOKUP($C622,청소코드!$C$4:$J$188,3,FALSE)</f>
        <v>하람휴 1102</v>
      </c>
      <c r="E622" s="29">
        <f>VLOOKUP($C622,청소코드!$C$4:$J$188,4,FALSE)</f>
        <v>2</v>
      </c>
      <c r="F622" s="29" t="s">
        <v>793</v>
      </c>
      <c r="G622" s="29"/>
      <c r="H622" s="29"/>
      <c r="I622" s="29" t="s">
        <v>431</v>
      </c>
      <c r="J622" s="47">
        <f t="shared" si="32"/>
        <v>23000</v>
      </c>
      <c r="K622" s="29">
        <f>VLOOKUP($C622,청소코드!$C$4:$J$188,8,FALSE)</f>
        <v>23000</v>
      </c>
      <c r="L622" s="32"/>
      <c r="M622" s="31"/>
      <c r="N622" s="32"/>
      <c r="O622" s="32"/>
    </row>
    <row r="623" spans="1:15" customFormat="1" ht="12.75" customHeight="1">
      <c r="A623" s="30">
        <v>46096</v>
      </c>
      <c r="B623" s="29" t="str">
        <f t="shared" si="31"/>
        <v>일</v>
      </c>
      <c r="C623" s="29" t="s">
        <v>789</v>
      </c>
      <c r="D623" s="29" t="str">
        <f>VLOOKUP($C623,청소코드!$C$4:$J$188,3,FALSE)</f>
        <v>하람휴 1001</v>
      </c>
      <c r="E623" s="29">
        <f>VLOOKUP($C623,청소코드!$C$4:$J$188,4,FALSE)</f>
        <v>2</v>
      </c>
      <c r="F623" s="29" t="s">
        <v>793</v>
      </c>
      <c r="G623" s="29"/>
      <c r="H623" s="29"/>
      <c r="I623" s="29" t="s">
        <v>431</v>
      </c>
      <c r="J623" s="47">
        <f t="shared" si="32"/>
        <v>23000</v>
      </c>
      <c r="K623" s="29">
        <f>VLOOKUP($C623,청소코드!$C$4:$J$188,8,FALSE)</f>
        <v>23000</v>
      </c>
      <c r="L623" s="32"/>
      <c r="M623" s="31"/>
      <c r="N623" s="32"/>
      <c r="O623" s="32"/>
    </row>
    <row r="624" spans="1:15" customFormat="1" ht="12.75" customHeight="1">
      <c r="A624" s="30">
        <v>46096</v>
      </c>
      <c r="B624" s="29" t="str">
        <f t="shared" si="31"/>
        <v>일</v>
      </c>
      <c r="C624" s="29" t="s">
        <v>775</v>
      </c>
      <c r="D624" s="29" t="str">
        <f>VLOOKUP($C624,청소코드!$C$4:$J$188,3,FALSE)</f>
        <v>대치동 102호</v>
      </c>
      <c r="E624" s="29">
        <f>VLOOKUP($C624,청소코드!$C$4:$J$188,4,FALSE)</f>
        <v>1</v>
      </c>
      <c r="F624" s="29" t="s">
        <v>780</v>
      </c>
      <c r="G624" s="29"/>
      <c r="H624" s="29"/>
      <c r="I624" s="29" t="s">
        <v>431</v>
      </c>
      <c r="J624" s="47">
        <f t="shared" si="32"/>
        <v>18000</v>
      </c>
      <c r="K624" s="29">
        <f>VLOOKUP($C624,청소코드!$C$4:$J$188,8,FALSE)</f>
        <v>18000</v>
      </c>
      <c r="L624" s="32"/>
      <c r="M624" s="31"/>
      <c r="N624" s="32"/>
      <c r="O624" s="32"/>
    </row>
    <row r="625" spans="1:15" customFormat="1" ht="12.75" customHeight="1">
      <c r="A625" s="30">
        <v>46096</v>
      </c>
      <c r="B625" s="29" t="str">
        <f t="shared" si="31"/>
        <v>일</v>
      </c>
      <c r="C625" s="29" t="s">
        <v>790</v>
      </c>
      <c r="D625" s="29" t="str">
        <f>VLOOKUP($C625,청소코드!$C$4:$J$188,3,FALSE)</f>
        <v>대치동 103호</v>
      </c>
      <c r="E625" s="29">
        <f>VLOOKUP($C625,청소코드!$C$4:$J$188,4,FALSE)</f>
        <v>1.5</v>
      </c>
      <c r="F625" s="29" t="s">
        <v>780</v>
      </c>
      <c r="G625" s="29"/>
      <c r="H625" s="29"/>
      <c r="I625" s="29" t="s">
        <v>431</v>
      </c>
      <c r="J625" s="47">
        <f t="shared" si="32"/>
        <v>20000</v>
      </c>
      <c r="K625" s="29">
        <f>VLOOKUP($C625,청소코드!$C$4:$J$188,8,FALSE)</f>
        <v>20000</v>
      </c>
      <c r="L625" s="32"/>
      <c r="M625" s="31"/>
      <c r="N625" s="32"/>
      <c r="O625" s="32"/>
    </row>
    <row r="626" spans="1:15" customFormat="1" ht="12.75" customHeight="1">
      <c r="A626" s="30">
        <v>46096</v>
      </c>
      <c r="B626" s="29" t="str">
        <f t="shared" si="31"/>
        <v>일</v>
      </c>
      <c r="C626" s="29" t="s">
        <v>781</v>
      </c>
      <c r="D626" s="29" t="str">
        <f>VLOOKUP($C626,청소코드!$C$4:$J$188,3,FALSE)</f>
        <v>청광1차 207</v>
      </c>
      <c r="E626" s="29">
        <f>VLOOKUP($C626,청소코드!$C$4:$J$188,4,FALSE)</f>
        <v>0</v>
      </c>
      <c r="F626" s="29" t="s">
        <v>779</v>
      </c>
      <c r="G626" s="29"/>
      <c r="H626" s="29"/>
      <c r="I626" s="29" t="s">
        <v>431</v>
      </c>
      <c r="J626" s="47">
        <f t="shared" si="32"/>
        <v>10000</v>
      </c>
      <c r="K626" s="29">
        <f>VLOOKUP($C626,청소코드!$C$4:$J$188,8,FALSE)</f>
        <v>10000</v>
      </c>
      <c r="L626" s="32"/>
      <c r="M626" s="31"/>
      <c r="N626" s="32"/>
      <c r="O626" s="32"/>
    </row>
    <row r="627" spans="1:15" customFormat="1" ht="12.75" customHeight="1">
      <c r="A627" s="49">
        <v>46097</v>
      </c>
      <c r="B627" s="50" t="str">
        <f t="shared" si="31"/>
        <v>월</v>
      </c>
      <c r="C627" s="29" t="s">
        <v>336</v>
      </c>
      <c r="D627" s="29" t="str">
        <f>VLOOKUP($C627,청소코드!$C$4:$J$188,3,FALSE)</f>
        <v>예건 205</v>
      </c>
      <c r="E627" s="29">
        <f>VLOOKUP($C627,청소코드!$C$4:$J$188,4,FALSE)</f>
        <v>1</v>
      </c>
      <c r="F627" s="29" t="s">
        <v>452</v>
      </c>
      <c r="G627" s="29"/>
      <c r="H627" s="29"/>
      <c r="I627" s="29" t="s">
        <v>439</v>
      </c>
      <c r="J627" s="47">
        <f t="shared" si="32"/>
        <v>18000</v>
      </c>
      <c r="K627" s="29">
        <f>VLOOKUP($C627,청소코드!$C$4:$J$188,8,FALSE)</f>
        <v>18000</v>
      </c>
      <c r="L627" s="32"/>
      <c r="M627" s="31"/>
      <c r="N627" s="32"/>
      <c r="O627" s="32"/>
    </row>
    <row r="628" spans="1:15" customFormat="1" ht="12.75" customHeight="1">
      <c r="A628" s="30">
        <v>46097</v>
      </c>
      <c r="B628" s="29" t="str">
        <f t="shared" si="31"/>
        <v>월</v>
      </c>
      <c r="C628" s="29" t="s">
        <v>370</v>
      </c>
      <c r="D628" s="29" t="str">
        <f>VLOOKUP($C628,청소코드!$C$4:$J$188,3,FALSE)</f>
        <v>성우 903</v>
      </c>
      <c r="E628" s="29">
        <f>VLOOKUP($C628,청소코드!$C$4:$J$188,4,FALSE)</f>
        <v>3</v>
      </c>
      <c r="F628" s="29" t="s">
        <v>401</v>
      </c>
      <c r="G628" s="29"/>
      <c r="H628" s="29"/>
      <c r="I628" s="29" t="s">
        <v>431</v>
      </c>
      <c r="J628" s="47">
        <f t="shared" si="32"/>
        <v>30000</v>
      </c>
      <c r="K628" s="29">
        <f>VLOOKUP($C628,청소코드!$C$4:$J$188,8,FALSE)</f>
        <v>30000</v>
      </c>
      <c r="L628" s="32"/>
      <c r="M628" s="31"/>
      <c r="N628" s="32"/>
      <c r="O628" s="32"/>
    </row>
    <row r="629" spans="1:15" customFormat="1" ht="12.75" customHeight="1">
      <c r="A629" s="30">
        <v>46097</v>
      </c>
      <c r="B629" s="29" t="str">
        <f t="shared" si="31"/>
        <v>월</v>
      </c>
      <c r="C629" s="29" t="s">
        <v>614</v>
      </c>
      <c r="D629" s="29" t="str">
        <f>VLOOKUP($C629,청소코드!$C$4:$J$188,3,FALSE)</f>
        <v>더하임 1002</v>
      </c>
      <c r="E629" s="29">
        <f>VLOOKUP($C629,청소코드!$C$4:$J$188,4,FALSE)</f>
        <v>1</v>
      </c>
      <c r="F629" s="29" t="s">
        <v>437</v>
      </c>
      <c r="G629" s="29"/>
      <c r="H629" s="29"/>
      <c r="I629" s="29" t="s">
        <v>431</v>
      </c>
      <c r="J629" s="47">
        <f t="shared" si="32"/>
        <v>18000</v>
      </c>
      <c r="K629" s="29">
        <f>VLOOKUP($C629,청소코드!$C$4:$J$188,8,FALSE)</f>
        <v>18000</v>
      </c>
      <c r="L629" s="32"/>
      <c r="M629" s="31"/>
      <c r="N629" s="32"/>
      <c r="O629" s="32"/>
    </row>
    <row r="630" spans="1:15" customFormat="1" ht="12.75" customHeight="1">
      <c r="A630" s="30">
        <v>46097</v>
      </c>
      <c r="B630" s="29" t="str">
        <f t="shared" si="31"/>
        <v>월</v>
      </c>
      <c r="C630" s="29" t="s">
        <v>301</v>
      </c>
      <c r="D630" s="29" t="str">
        <f>VLOOKUP($C630,청소코드!$C$4:$J$188,3,FALSE)</f>
        <v>청광3차 507</v>
      </c>
      <c r="E630" s="29">
        <f>VLOOKUP($C630,청소코드!$C$4:$J$188,4,FALSE)</f>
        <v>1</v>
      </c>
      <c r="F630" s="29" t="s">
        <v>449</v>
      </c>
      <c r="G630" s="29"/>
      <c r="H630" s="29"/>
      <c r="I630" s="29" t="s">
        <v>431</v>
      </c>
      <c r="J630" s="47">
        <f t="shared" si="32"/>
        <v>18000</v>
      </c>
      <c r="K630" s="29">
        <f>VLOOKUP($C630,청소코드!$C$4:$J$188,8,FALSE)</f>
        <v>18000</v>
      </c>
      <c r="L630" s="32"/>
      <c r="M630" s="31"/>
      <c r="N630" s="32"/>
      <c r="O630" s="32"/>
    </row>
    <row r="631" spans="1:15" customFormat="1" ht="12.75" customHeight="1">
      <c r="A631" s="30">
        <v>46097</v>
      </c>
      <c r="B631" s="29" t="str">
        <f t="shared" si="31"/>
        <v>월</v>
      </c>
      <c r="C631" s="29" t="s">
        <v>310</v>
      </c>
      <c r="D631" s="29" t="str">
        <f>VLOOKUP($C631,청소코드!$C$4:$J$188,3,FALSE)</f>
        <v>청광3차 806</v>
      </c>
      <c r="E631" s="29">
        <f>VLOOKUP($C631,청소코드!$C$4:$J$188,4,FALSE)</f>
        <v>1</v>
      </c>
      <c r="F631" s="29" t="s">
        <v>449</v>
      </c>
      <c r="G631" s="29"/>
      <c r="H631" s="29"/>
      <c r="I631" s="29" t="s">
        <v>431</v>
      </c>
      <c r="J631" s="47">
        <f t="shared" si="32"/>
        <v>18000</v>
      </c>
      <c r="K631" s="29">
        <f>VLOOKUP($C631,청소코드!$C$4:$J$188,8,FALSE)</f>
        <v>18000</v>
      </c>
      <c r="L631" s="32"/>
      <c r="M631" s="31"/>
      <c r="N631" s="32"/>
      <c r="O631" s="32"/>
    </row>
    <row r="632" spans="1:15" customFormat="1" ht="12.75" customHeight="1">
      <c r="A632" s="30">
        <v>46097</v>
      </c>
      <c r="B632" s="29" t="str">
        <f t="shared" si="31"/>
        <v>월</v>
      </c>
      <c r="C632" s="29" t="s">
        <v>295</v>
      </c>
      <c r="D632" s="29" t="str">
        <f>VLOOKUP($C632,청소코드!$C$4:$J$188,3,FALSE)</f>
        <v>르센티 1801</v>
      </c>
      <c r="E632" s="29" t="str">
        <f>VLOOKUP($C632,청소코드!$C$4:$J$188,4,FALSE)</f>
        <v>복</v>
      </c>
      <c r="F632" s="29" t="s">
        <v>429</v>
      </c>
      <c r="G632" s="29"/>
      <c r="H632" s="29"/>
      <c r="I632" s="29" t="s">
        <v>431</v>
      </c>
      <c r="J632" s="47">
        <f t="shared" si="32"/>
        <v>20000</v>
      </c>
      <c r="K632" s="29">
        <f>VLOOKUP($C632,청소코드!$C$4:$J$188,8,FALSE)</f>
        <v>20000</v>
      </c>
      <c r="L632" s="32"/>
      <c r="M632" s="31"/>
      <c r="N632" s="32"/>
      <c r="O632" s="32"/>
    </row>
    <row r="633" spans="1:15" customFormat="1" ht="12.75" customHeight="1">
      <c r="A633" s="30">
        <v>46097</v>
      </c>
      <c r="B633" s="29" t="str">
        <f t="shared" si="31"/>
        <v>월</v>
      </c>
      <c r="C633" s="29" t="s">
        <v>315</v>
      </c>
      <c r="D633" s="29" t="str">
        <f>VLOOKUP($C633,청소코드!$C$4:$J$188,3,FALSE)</f>
        <v>동구햇살 1203</v>
      </c>
      <c r="E633" s="29" t="str">
        <f>VLOOKUP($C633,청소코드!$C$4:$J$188,4,FALSE)</f>
        <v>복</v>
      </c>
      <c r="F633" s="29" t="s">
        <v>438</v>
      </c>
      <c r="G633" s="29"/>
      <c r="H633" s="29"/>
      <c r="I633" s="29" t="s">
        <v>431</v>
      </c>
      <c r="J633" s="47">
        <f t="shared" si="32"/>
        <v>20000</v>
      </c>
      <c r="K633" s="29">
        <f>VLOOKUP($C633,청소코드!$C$4:$J$188,8,FALSE)</f>
        <v>20000</v>
      </c>
      <c r="L633" s="32"/>
      <c r="M633" s="31"/>
      <c r="N633" s="32"/>
      <c r="O633" s="32"/>
    </row>
    <row r="634" spans="1:15" customFormat="1" ht="12.75" customHeight="1">
      <c r="A634" s="30">
        <v>46097</v>
      </c>
      <c r="B634" s="29" t="str">
        <f t="shared" si="31"/>
        <v>월</v>
      </c>
      <c r="C634" s="29" t="s">
        <v>339</v>
      </c>
      <c r="D634" s="29" t="str">
        <f>VLOOKUP($C634,청소코드!$C$4:$J$188,3,FALSE)</f>
        <v>센텀 2차 606</v>
      </c>
      <c r="E634" s="29">
        <f>VLOOKUP($C634,청소코드!$C$4:$J$188,4,FALSE)</f>
        <v>1.5</v>
      </c>
      <c r="F634" s="29" t="s">
        <v>426</v>
      </c>
      <c r="G634" s="29"/>
      <c r="H634" s="29"/>
      <c r="I634" s="29" t="s">
        <v>431</v>
      </c>
      <c r="J634" s="47">
        <f t="shared" si="32"/>
        <v>20000</v>
      </c>
      <c r="K634" s="29">
        <f>VLOOKUP($C634,청소코드!$C$4:$J$188,8,FALSE)</f>
        <v>20000</v>
      </c>
      <c r="L634" s="32"/>
      <c r="M634" s="31"/>
      <c r="N634" s="32"/>
      <c r="O634" s="32"/>
    </row>
    <row r="635" spans="1:15" customFormat="1" ht="12.75" customHeight="1">
      <c r="A635" s="30">
        <v>46097</v>
      </c>
      <c r="B635" s="29" t="str">
        <f t="shared" si="31"/>
        <v>월</v>
      </c>
      <c r="C635" s="29" t="s">
        <v>396</v>
      </c>
      <c r="D635" s="29" t="str">
        <f>VLOOKUP($C635,청소코드!$C$4:$J$188,3,FALSE)</f>
        <v>대치동 101호</v>
      </c>
      <c r="E635" s="29">
        <f>VLOOKUP($C635,청소코드!$C$4:$J$188,4,FALSE)</f>
        <v>2</v>
      </c>
      <c r="F635" s="29" t="s">
        <v>499</v>
      </c>
      <c r="G635" s="29"/>
      <c r="H635" s="29"/>
      <c r="I635" s="29" t="s">
        <v>431</v>
      </c>
      <c r="J635" s="47">
        <f t="shared" si="32"/>
        <v>23000</v>
      </c>
      <c r="K635" s="29">
        <f>VLOOKUP($C635,청소코드!$C$4:$J$188,8,FALSE)</f>
        <v>23000</v>
      </c>
      <c r="L635" s="32"/>
      <c r="M635" s="31"/>
      <c r="N635" s="32"/>
      <c r="O635" s="32"/>
    </row>
    <row r="636" spans="1:15" customFormat="1" ht="12.75" customHeight="1">
      <c r="A636" s="30">
        <v>46097</v>
      </c>
      <c r="B636" s="29" t="str">
        <f t="shared" si="31"/>
        <v>월</v>
      </c>
      <c r="C636" s="29" t="s">
        <v>416</v>
      </c>
      <c r="D636" s="29" t="str">
        <f>VLOOKUP($C636,청소코드!$C$4:$J$188,3,FALSE)</f>
        <v>청광1차 207</v>
      </c>
      <c r="E636" s="29">
        <f>VLOOKUP($C636,청소코드!$C$4:$J$188,4,FALSE)</f>
        <v>0</v>
      </c>
      <c r="F636" s="29" t="s">
        <v>426</v>
      </c>
      <c r="G636" s="29"/>
      <c r="H636" s="29"/>
      <c r="I636" s="29" t="s">
        <v>431</v>
      </c>
      <c r="J636" s="47">
        <f t="shared" si="32"/>
        <v>10000</v>
      </c>
      <c r="K636" s="29">
        <f>VLOOKUP($C636,청소코드!$C$4:$J$188,8,FALSE)</f>
        <v>10000</v>
      </c>
      <c r="L636" s="32"/>
      <c r="M636" s="31"/>
      <c r="N636" s="32"/>
      <c r="O636" s="32"/>
    </row>
    <row r="637" spans="1:15" customFormat="1" ht="12.75" customHeight="1">
      <c r="A637" s="49">
        <v>46098</v>
      </c>
      <c r="B637" s="50" t="str">
        <f t="shared" ref="B637:B668" si="33">TEXT(A637,"aaa")</f>
        <v>화</v>
      </c>
      <c r="C637" s="29" t="s">
        <v>336</v>
      </c>
      <c r="D637" s="29" t="str">
        <f>VLOOKUP($C637,청소코드!$C$4:$J$188,3,FALSE)</f>
        <v>예건 205</v>
      </c>
      <c r="E637" s="29">
        <f>VLOOKUP($C637,청소코드!$C$4:$J$188,4,FALSE)</f>
        <v>1</v>
      </c>
      <c r="F637" s="29" t="s">
        <v>426</v>
      </c>
      <c r="G637" s="29"/>
      <c r="H637" s="29"/>
      <c r="I637" s="29" t="s">
        <v>431</v>
      </c>
      <c r="J637" s="47">
        <f t="shared" ref="J637:J668" si="34">SUM(K637:O637)</f>
        <v>18000</v>
      </c>
      <c r="K637" s="29">
        <f>VLOOKUP($C637,청소코드!$C$4:$J$188,8,FALSE)</f>
        <v>18000</v>
      </c>
      <c r="L637" s="32"/>
      <c r="M637" s="31"/>
      <c r="N637" s="32"/>
      <c r="O637" s="32"/>
    </row>
    <row r="638" spans="1:15" customFormat="1" ht="12.75" customHeight="1">
      <c r="A638" s="30">
        <v>46098</v>
      </c>
      <c r="B638" s="29" t="str">
        <f t="shared" si="33"/>
        <v>화</v>
      </c>
      <c r="C638" s="29" t="s">
        <v>614</v>
      </c>
      <c r="D638" s="29" t="str">
        <f>VLOOKUP($C638,청소코드!$C$4:$J$188,3,FALSE)</f>
        <v>더하임 1002</v>
      </c>
      <c r="E638" s="29">
        <f>VLOOKUP($C638,청소코드!$C$4:$J$188,4,FALSE)</f>
        <v>1</v>
      </c>
      <c r="F638" s="29" t="s">
        <v>449</v>
      </c>
      <c r="G638" s="29"/>
      <c r="H638" s="29"/>
      <c r="I638" s="29" t="s">
        <v>431</v>
      </c>
      <c r="J638" s="47">
        <f t="shared" si="34"/>
        <v>18000</v>
      </c>
      <c r="K638" s="29">
        <f>VLOOKUP($C638,청소코드!$C$4:$J$188,8,FALSE)</f>
        <v>18000</v>
      </c>
      <c r="L638" s="32"/>
      <c r="M638" s="31"/>
      <c r="N638" s="32"/>
      <c r="O638" s="32"/>
    </row>
    <row r="639" spans="1:15" customFormat="1" ht="12.75" customHeight="1">
      <c r="A639" s="30">
        <v>46098</v>
      </c>
      <c r="B639" s="29" t="str">
        <f t="shared" si="33"/>
        <v>화</v>
      </c>
      <c r="C639" s="29" t="s">
        <v>615</v>
      </c>
      <c r="D639" s="29" t="str">
        <f>VLOOKUP($C639,청소코드!$C$4:$J$188,3,FALSE)</f>
        <v>더하임 1003</v>
      </c>
      <c r="E639" s="29">
        <f>VLOOKUP($C639,청소코드!$C$4:$J$188,4,FALSE)</f>
        <v>1</v>
      </c>
      <c r="F639" s="29" t="s">
        <v>449</v>
      </c>
      <c r="G639" s="29"/>
      <c r="H639" s="29"/>
      <c r="I639" s="29" t="s">
        <v>431</v>
      </c>
      <c r="J639" s="47">
        <f t="shared" si="34"/>
        <v>18000</v>
      </c>
      <c r="K639" s="29">
        <f>VLOOKUP($C639,청소코드!$C$4:$J$188,8,FALSE)</f>
        <v>18000</v>
      </c>
      <c r="L639" s="32"/>
      <c r="M639" s="31"/>
      <c r="N639" s="32"/>
      <c r="O639" s="32"/>
    </row>
    <row r="640" spans="1:15" customFormat="1" ht="12.75" customHeight="1">
      <c r="A640" s="30">
        <v>46098</v>
      </c>
      <c r="B640" s="29" t="str">
        <f t="shared" si="33"/>
        <v>화</v>
      </c>
      <c r="C640" s="29" t="s">
        <v>339</v>
      </c>
      <c r="D640" s="29" t="str">
        <f>VLOOKUP($C640,청소코드!$C$4:$J$188,3,FALSE)</f>
        <v>센텀 2차 606</v>
      </c>
      <c r="E640" s="29">
        <f>VLOOKUP($C640,청소코드!$C$4:$J$188,4,FALSE)</f>
        <v>1.5</v>
      </c>
      <c r="F640" s="29" t="s">
        <v>401</v>
      </c>
      <c r="G640" s="29"/>
      <c r="H640" s="29"/>
      <c r="I640" s="29" t="s">
        <v>431</v>
      </c>
      <c r="J640" s="47">
        <f t="shared" si="34"/>
        <v>20000</v>
      </c>
      <c r="K640" s="29">
        <f>VLOOKUP($C640,청소코드!$C$4:$J$188,8,FALSE)</f>
        <v>20000</v>
      </c>
      <c r="L640" s="32"/>
      <c r="M640" s="31"/>
      <c r="N640" s="32"/>
      <c r="O640" s="32"/>
    </row>
    <row r="641" spans="1:15" customFormat="1" ht="12.75" customHeight="1">
      <c r="A641" s="30">
        <v>46098</v>
      </c>
      <c r="B641" s="29" t="str">
        <f t="shared" si="33"/>
        <v>화</v>
      </c>
      <c r="C641" s="29" t="s">
        <v>379</v>
      </c>
      <c r="D641" s="29" t="str">
        <f>VLOOKUP($C641,청소코드!$C$4:$J$188,3,FALSE)</f>
        <v>si 602</v>
      </c>
      <c r="E641" s="29">
        <f>VLOOKUP($C641,청소코드!$C$4:$J$188,4,FALSE)</f>
        <v>1</v>
      </c>
      <c r="F641" s="29" t="s">
        <v>401</v>
      </c>
      <c r="G641" s="29"/>
      <c r="H641" s="29"/>
      <c r="I641" s="29" t="s">
        <v>431</v>
      </c>
      <c r="J641" s="47">
        <f t="shared" si="34"/>
        <v>20000</v>
      </c>
      <c r="K641" s="29">
        <f>VLOOKUP($C641,청소코드!$C$4:$J$188,8,FALSE)</f>
        <v>20000</v>
      </c>
      <c r="L641" s="32"/>
      <c r="M641" s="31"/>
      <c r="N641" s="32"/>
      <c r="O641" s="32"/>
    </row>
    <row r="642" spans="1:15" customFormat="1" ht="12.75" customHeight="1">
      <c r="A642" s="30">
        <v>46098</v>
      </c>
      <c r="B642" s="29" t="str">
        <f t="shared" si="33"/>
        <v>화</v>
      </c>
      <c r="C642" s="29" t="s">
        <v>301</v>
      </c>
      <c r="D642" s="29" t="str">
        <f>VLOOKUP($C642,청소코드!$C$4:$J$188,3,FALSE)</f>
        <v>청광3차 507</v>
      </c>
      <c r="E642" s="29">
        <f>VLOOKUP($C642,청소코드!$C$4:$J$188,4,FALSE)</f>
        <v>1</v>
      </c>
      <c r="F642" s="29" t="s">
        <v>438</v>
      </c>
      <c r="G642" s="29"/>
      <c r="H642" s="29"/>
      <c r="I642" s="29" t="s">
        <v>431</v>
      </c>
      <c r="J642" s="47">
        <f t="shared" si="34"/>
        <v>18000</v>
      </c>
      <c r="K642" s="29">
        <f>VLOOKUP($C642,청소코드!$C$4:$J$188,8,FALSE)</f>
        <v>18000</v>
      </c>
      <c r="L642" s="32"/>
      <c r="M642" s="31"/>
      <c r="N642" s="32"/>
      <c r="O642" s="32"/>
    </row>
    <row r="643" spans="1:15" customFormat="1" ht="12.75" customHeight="1">
      <c r="A643" s="30">
        <v>46098</v>
      </c>
      <c r="B643" s="29" t="str">
        <f t="shared" si="33"/>
        <v>화</v>
      </c>
      <c r="C643" s="29" t="s">
        <v>291</v>
      </c>
      <c r="D643" s="29" t="str">
        <f>VLOOKUP($C643,청소코드!$C$4:$J$188,3,FALSE)</f>
        <v>한양립스 503</v>
      </c>
      <c r="E643" s="29">
        <f>VLOOKUP($C643,청소코드!$C$4:$J$188,4,FALSE)</f>
        <v>1</v>
      </c>
      <c r="F643" s="29" t="s">
        <v>452</v>
      </c>
      <c r="G643" s="29"/>
      <c r="H643" s="29"/>
      <c r="I643" s="29" t="s">
        <v>439</v>
      </c>
      <c r="J643" s="47">
        <f t="shared" si="34"/>
        <v>18000</v>
      </c>
      <c r="K643" s="29">
        <f>VLOOKUP($C643,청소코드!$C$4:$J$188,8,FALSE)</f>
        <v>18000</v>
      </c>
      <c r="L643" s="32"/>
      <c r="M643" s="31"/>
      <c r="N643" s="32"/>
      <c r="O643" s="32"/>
    </row>
    <row r="644" spans="1:15" customFormat="1" ht="12.75" customHeight="1">
      <c r="A644" s="30">
        <v>46098</v>
      </c>
      <c r="B644" s="29" t="str">
        <f t="shared" si="33"/>
        <v>화</v>
      </c>
      <c r="C644" s="29" t="s">
        <v>364</v>
      </c>
      <c r="D644" s="29" t="str">
        <f>VLOOKUP($C644,청소코드!$C$4:$J$188,3,FALSE)</f>
        <v>더하임 305</v>
      </c>
      <c r="E644" s="29">
        <f>VLOOKUP($C644,청소코드!$C$4:$J$188,4,FALSE)</f>
        <v>1</v>
      </c>
      <c r="F644" s="29" t="s">
        <v>437</v>
      </c>
      <c r="G644" s="29"/>
      <c r="H644" s="29"/>
      <c r="I644" s="29" t="s">
        <v>439</v>
      </c>
      <c r="J644" s="47">
        <f t="shared" si="34"/>
        <v>18000</v>
      </c>
      <c r="K644" s="29">
        <f>VLOOKUP($C644,청소코드!$C$4:$J$188,8,FALSE)</f>
        <v>18000</v>
      </c>
      <c r="L644" s="32"/>
      <c r="M644" s="31"/>
      <c r="N644" s="32"/>
      <c r="O644" s="32"/>
    </row>
    <row r="645" spans="1:15" customFormat="1" ht="12.75" customHeight="1">
      <c r="A645" s="30">
        <v>46098</v>
      </c>
      <c r="B645" s="29" t="str">
        <f t="shared" si="33"/>
        <v>화</v>
      </c>
      <c r="C645" s="29" t="s">
        <v>315</v>
      </c>
      <c r="D645" s="29" t="str">
        <f>VLOOKUP($C645,청소코드!$C$4:$J$188,3,FALSE)</f>
        <v>동구햇살 1203</v>
      </c>
      <c r="E645" s="29" t="str">
        <f>VLOOKUP($C645,청소코드!$C$4:$J$188,4,FALSE)</f>
        <v>복</v>
      </c>
      <c r="F645" s="29" t="s">
        <v>429</v>
      </c>
      <c r="G645" s="29"/>
      <c r="H645" s="29"/>
      <c r="I645" s="29" t="s">
        <v>439</v>
      </c>
      <c r="J645" s="47">
        <f t="shared" si="34"/>
        <v>20000</v>
      </c>
      <c r="K645" s="29">
        <f>VLOOKUP($C645,청소코드!$C$4:$J$188,8,FALSE)</f>
        <v>20000</v>
      </c>
      <c r="L645" s="32"/>
      <c r="M645" s="31"/>
      <c r="N645" s="32"/>
      <c r="O645" s="32"/>
    </row>
    <row r="646" spans="1:15" customFormat="1" ht="12.75" customHeight="1">
      <c r="A646" s="30">
        <v>46098</v>
      </c>
      <c r="B646" s="29" t="str">
        <f t="shared" si="33"/>
        <v>화</v>
      </c>
      <c r="C646" s="29" t="s">
        <v>416</v>
      </c>
      <c r="D646" s="29" t="str">
        <f>VLOOKUP($C646,청소코드!$C$4:$J$188,3,FALSE)</f>
        <v>청광1차 207</v>
      </c>
      <c r="E646" s="29">
        <f>VLOOKUP($C646,청소코드!$C$4:$J$188,4,FALSE)</f>
        <v>0</v>
      </c>
      <c r="F646" s="29" t="s">
        <v>452</v>
      </c>
      <c r="G646" s="29"/>
      <c r="H646" s="29"/>
      <c r="I646" s="29" t="s">
        <v>439</v>
      </c>
      <c r="J646" s="47">
        <f t="shared" si="34"/>
        <v>10000</v>
      </c>
      <c r="K646" s="29">
        <f>VLOOKUP($C646,청소코드!$C$4:$J$188,8,FALSE)</f>
        <v>10000</v>
      </c>
      <c r="L646" s="32"/>
      <c r="M646" s="31"/>
      <c r="N646" s="32"/>
      <c r="O646" s="32"/>
    </row>
    <row r="647" spans="1:15" customFormat="1" ht="12.75" customHeight="1">
      <c r="A647" s="49">
        <v>46099</v>
      </c>
      <c r="B647" s="50" t="str">
        <f t="shared" si="33"/>
        <v>수</v>
      </c>
      <c r="C647" s="29" t="s">
        <v>797</v>
      </c>
      <c r="D647" s="29" t="str">
        <f>VLOOKUP($C647,청소코드!$C$4:$J$188,3,FALSE)</f>
        <v>더하임 1002</v>
      </c>
      <c r="E647" s="29">
        <f>VLOOKUP($C647,청소코드!$C$4:$J$188,4,FALSE)</f>
        <v>1</v>
      </c>
      <c r="F647" s="29" t="s">
        <v>437</v>
      </c>
      <c r="G647" s="29"/>
      <c r="H647" s="29"/>
      <c r="I647" s="29" t="s">
        <v>811</v>
      </c>
      <c r="J647" s="47">
        <f t="shared" si="34"/>
        <v>18000</v>
      </c>
      <c r="K647" s="29">
        <f>VLOOKUP($C647,청소코드!$C$4:$J$188,8,FALSE)</f>
        <v>18000</v>
      </c>
      <c r="L647" s="32"/>
      <c r="M647" s="31"/>
      <c r="N647" s="32"/>
      <c r="O647" s="32"/>
    </row>
    <row r="648" spans="1:15" customFormat="1" ht="12.75" customHeight="1">
      <c r="A648" s="30">
        <v>46099</v>
      </c>
      <c r="B648" s="29" t="str">
        <f t="shared" si="33"/>
        <v>수</v>
      </c>
      <c r="C648" s="29" t="s">
        <v>798</v>
      </c>
      <c r="D648" s="29" t="str">
        <f>VLOOKUP($C648,청소코드!$C$4:$J$188,3,FALSE)</f>
        <v>더하임 305</v>
      </c>
      <c r="E648" s="29">
        <f>VLOOKUP($C648,청소코드!$C$4:$J$188,4,FALSE)</f>
        <v>1</v>
      </c>
      <c r="F648" s="29" t="s">
        <v>437</v>
      </c>
      <c r="G648" s="29"/>
      <c r="H648" s="29"/>
      <c r="I648" s="29" t="s">
        <v>431</v>
      </c>
      <c r="J648" s="47">
        <f t="shared" si="34"/>
        <v>18000</v>
      </c>
      <c r="K648" s="29">
        <f>VLOOKUP($C648,청소코드!$C$4:$J$188,8,FALSE)</f>
        <v>18000</v>
      </c>
      <c r="L648" s="32"/>
      <c r="M648" s="31"/>
      <c r="N648" s="32"/>
      <c r="O648" s="32"/>
    </row>
    <row r="649" spans="1:15" customFormat="1" ht="12.75" customHeight="1">
      <c r="A649" s="30">
        <v>46099</v>
      </c>
      <c r="B649" s="29" t="str">
        <f t="shared" si="33"/>
        <v>수</v>
      </c>
      <c r="C649" s="29" t="s">
        <v>799</v>
      </c>
      <c r="D649" s="29" t="str">
        <f>VLOOKUP($C649,청소코드!$C$4:$J$188,3,FALSE)</f>
        <v>si 602</v>
      </c>
      <c r="E649" s="29">
        <f>VLOOKUP($C649,청소코드!$C$4:$J$188,4,FALSE)</f>
        <v>1</v>
      </c>
      <c r="F649" s="29" t="s">
        <v>437</v>
      </c>
      <c r="G649" s="29" t="s">
        <v>812</v>
      </c>
      <c r="H649" s="29"/>
      <c r="I649" s="29" t="s">
        <v>431</v>
      </c>
      <c r="J649" s="47">
        <f t="shared" si="34"/>
        <v>25000</v>
      </c>
      <c r="K649" s="29">
        <f>VLOOKUP($C649,청소코드!$C$4:$J$188,8,FALSE)</f>
        <v>20000</v>
      </c>
      <c r="L649" s="32">
        <v>5000</v>
      </c>
      <c r="M649" s="31"/>
      <c r="N649" s="32"/>
      <c r="O649" s="32"/>
    </row>
    <row r="650" spans="1:15" customFormat="1" ht="12.75" customHeight="1">
      <c r="A650" s="49">
        <v>46100</v>
      </c>
      <c r="B650" s="50" t="str">
        <f t="shared" si="33"/>
        <v>목</v>
      </c>
      <c r="C650" s="29" t="s">
        <v>800</v>
      </c>
      <c r="D650" s="29" t="str">
        <f>VLOOKUP($C650,청소코드!$C$4:$J$188,3,FALSE)</f>
        <v>청광3차 1416</v>
      </c>
      <c r="E650" s="29">
        <f>VLOOKUP($C650,청소코드!$C$4:$J$188,4,FALSE)</f>
        <v>1</v>
      </c>
      <c r="F650" s="29" t="s">
        <v>449</v>
      </c>
      <c r="G650" s="29"/>
      <c r="H650" s="29"/>
      <c r="I650" s="29" t="s">
        <v>431</v>
      </c>
      <c r="J650" s="47">
        <f t="shared" si="34"/>
        <v>18000</v>
      </c>
      <c r="K650" s="29">
        <f>VLOOKUP($C650,청소코드!$C$4:$J$188,8,FALSE)</f>
        <v>18000</v>
      </c>
      <c r="L650" s="32"/>
      <c r="M650" s="31"/>
      <c r="N650" s="32"/>
      <c r="O650" s="32"/>
    </row>
    <row r="651" spans="1:15" customFormat="1" ht="12.75" customHeight="1">
      <c r="A651" s="30">
        <v>46100</v>
      </c>
      <c r="B651" s="29" t="str">
        <f t="shared" si="33"/>
        <v>목</v>
      </c>
      <c r="C651" s="29" t="s">
        <v>801</v>
      </c>
      <c r="D651" s="29" t="str">
        <f>VLOOKUP($C651,청소코드!$C$4:$J$188,3,FALSE)</f>
        <v>청광3차 806</v>
      </c>
      <c r="E651" s="29">
        <f>VLOOKUP($C651,청소코드!$C$4:$J$188,4,FALSE)</f>
        <v>1</v>
      </c>
      <c r="F651" s="29" t="s">
        <v>449</v>
      </c>
      <c r="G651" s="29"/>
      <c r="H651" s="29"/>
      <c r="I651" s="29" t="s">
        <v>431</v>
      </c>
      <c r="J651" s="47">
        <f t="shared" si="34"/>
        <v>18000</v>
      </c>
      <c r="K651" s="29">
        <f>VLOOKUP($C651,청소코드!$C$4:$J$188,8,FALSE)</f>
        <v>18000</v>
      </c>
      <c r="L651" s="32"/>
      <c r="M651" s="31"/>
      <c r="N651" s="32"/>
      <c r="O651" s="32"/>
    </row>
    <row r="652" spans="1:15" customFormat="1" ht="12.75" customHeight="1">
      <c r="A652" s="30">
        <v>46100</v>
      </c>
      <c r="B652" s="29" t="str">
        <f t="shared" si="33"/>
        <v>목</v>
      </c>
      <c r="C652" s="29" t="s">
        <v>802</v>
      </c>
      <c r="D652" s="29" t="str">
        <f>VLOOKUP($C652,청소코드!$C$4:$J$188,3,FALSE)</f>
        <v>오금스타 402</v>
      </c>
      <c r="E652" s="29">
        <f>VLOOKUP($C652,청소코드!$C$4:$J$188,4,FALSE)</f>
        <v>1</v>
      </c>
      <c r="F652" s="29" t="s">
        <v>449</v>
      </c>
      <c r="G652" s="29" t="s">
        <v>813</v>
      </c>
      <c r="H652" s="29"/>
      <c r="I652" s="29" t="s">
        <v>431</v>
      </c>
      <c r="J652" s="47">
        <f t="shared" si="34"/>
        <v>23000</v>
      </c>
      <c r="K652" s="29">
        <f>VLOOKUP($C652,청소코드!$C$4:$J$188,8,FALSE)</f>
        <v>18000</v>
      </c>
      <c r="L652" s="32">
        <v>5000</v>
      </c>
      <c r="M652" s="31"/>
      <c r="N652" s="32"/>
      <c r="O652" s="32"/>
    </row>
    <row r="653" spans="1:15" customFormat="1" ht="12.75" customHeight="1">
      <c r="A653" s="30">
        <v>46100</v>
      </c>
      <c r="B653" s="29" t="str">
        <f t="shared" si="33"/>
        <v>목</v>
      </c>
      <c r="C653" s="29" t="s">
        <v>803</v>
      </c>
      <c r="D653" s="29" t="str">
        <f>VLOOKUP($C653,청소코드!$C$4:$J$188,3,FALSE)</f>
        <v>르센티 1801</v>
      </c>
      <c r="E653" s="29" t="str">
        <f>VLOOKUP($C653,청소코드!$C$4:$J$188,4,FALSE)</f>
        <v>복</v>
      </c>
      <c r="F653" s="29" t="s">
        <v>437</v>
      </c>
      <c r="G653" s="29"/>
      <c r="H653" s="29"/>
      <c r="I653" s="29" t="s">
        <v>431</v>
      </c>
      <c r="J653" s="47">
        <f t="shared" si="34"/>
        <v>20000</v>
      </c>
      <c r="K653" s="29">
        <f>VLOOKUP($C653,청소코드!$C$4:$J$188,8,FALSE)</f>
        <v>20000</v>
      </c>
      <c r="L653" s="32"/>
      <c r="M653" s="31"/>
      <c r="N653" s="32"/>
      <c r="O653" s="32"/>
    </row>
    <row r="654" spans="1:15" customFormat="1" ht="12.75" customHeight="1">
      <c r="A654" s="30">
        <v>46100</v>
      </c>
      <c r="B654" s="29" t="str">
        <f t="shared" si="33"/>
        <v>목</v>
      </c>
      <c r="C654" s="29" t="s">
        <v>804</v>
      </c>
      <c r="D654" s="29" t="str">
        <f>VLOOKUP($C654,청소코드!$C$4:$J$188,3,FALSE)</f>
        <v>오앤 401</v>
      </c>
      <c r="E654" s="29">
        <f>VLOOKUP($C654,청소코드!$C$4:$J$188,4,FALSE)</f>
        <v>1</v>
      </c>
      <c r="F654" s="29" t="s">
        <v>426</v>
      </c>
      <c r="G654" s="29"/>
      <c r="H654" s="29"/>
      <c r="I654" s="29" t="s">
        <v>431</v>
      </c>
      <c r="J654" s="47">
        <f t="shared" si="34"/>
        <v>18000</v>
      </c>
      <c r="K654" s="29">
        <f>VLOOKUP($C654,청소코드!$C$4:$J$188,8,FALSE)</f>
        <v>18000</v>
      </c>
      <c r="L654" s="32"/>
      <c r="M654" s="31"/>
      <c r="N654" s="32"/>
      <c r="O654" s="32"/>
    </row>
    <row r="655" spans="1:15" customFormat="1" ht="12.75" customHeight="1">
      <c r="A655" s="30">
        <v>46100</v>
      </c>
      <c r="B655" s="29" t="str">
        <f t="shared" si="33"/>
        <v>목</v>
      </c>
      <c r="C655" s="29" t="s">
        <v>805</v>
      </c>
      <c r="D655" s="29" t="str">
        <f>VLOOKUP($C655,청소코드!$C$4:$J$188,3,FALSE)</f>
        <v>동구햇살 1203</v>
      </c>
      <c r="E655" s="29" t="str">
        <f>VLOOKUP($C655,청소코드!$C$4:$J$188,4,FALSE)</f>
        <v>복</v>
      </c>
      <c r="F655" s="29" t="s">
        <v>807</v>
      </c>
      <c r="G655" s="29"/>
      <c r="H655" s="29"/>
      <c r="I655" s="29" t="s">
        <v>431</v>
      </c>
      <c r="J655" s="47">
        <f t="shared" si="34"/>
        <v>20000</v>
      </c>
      <c r="K655" s="29">
        <f>VLOOKUP($C655,청소코드!$C$4:$J$188,8,FALSE)</f>
        <v>20000</v>
      </c>
      <c r="L655" s="32"/>
      <c r="M655" s="31"/>
      <c r="N655" s="32"/>
      <c r="O655" s="32"/>
    </row>
    <row r="656" spans="1:15" customFormat="1" ht="12.75" customHeight="1">
      <c r="A656" s="30">
        <v>46100</v>
      </c>
      <c r="B656" s="29" t="str">
        <f t="shared" si="33"/>
        <v>목</v>
      </c>
      <c r="C656" s="29" t="s">
        <v>799</v>
      </c>
      <c r="D656" s="29" t="str">
        <f>VLOOKUP($C656,청소코드!$C$4:$J$188,3,FALSE)</f>
        <v>si 602</v>
      </c>
      <c r="E656" s="29">
        <f>VLOOKUP($C656,청소코드!$C$4:$J$188,4,FALSE)</f>
        <v>1</v>
      </c>
      <c r="F656" s="29" t="s">
        <v>401</v>
      </c>
      <c r="G656" s="29"/>
      <c r="H656" s="29"/>
      <c r="I656" s="29" t="s">
        <v>431</v>
      </c>
      <c r="J656" s="47">
        <f t="shared" si="34"/>
        <v>20000</v>
      </c>
      <c r="K656" s="29">
        <f>VLOOKUP($C656,청소코드!$C$4:$J$188,8,FALSE)</f>
        <v>20000</v>
      </c>
      <c r="L656" s="32"/>
      <c r="M656" s="31"/>
      <c r="N656" s="32"/>
      <c r="O656" s="32"/>
    </row>
    <row r="657" spans="1:15" customFormat="1" ht="12.75" customHeight="1">
      <c r="A657" s="30">
        <v>46100</v>
      </c>
      <c r="B657" s="29" t="str">
        <f t="shared" si="33"/>
        <v>목</v>
      </c>
      <c r="C657" s="29" t="s">
        <v>806</v>
      </c>
      <c r="D657" s="29" t="str">
        <f>VLOOKUP($C657,청소코드!$C$4:$J$188,3,FALSE)</f>
        <v>하람휴 1001</v>
      </c>
      <c r="E657" s="29">
        <f>VLOOKUP($C657,청소코드!$C$4:$J$188,4,FALSE)</f>
        <v>2</v>
      </c>
      <c r="F657" s="29" t="s">
        <v>808</v>
      </c>
      <c r="G657" s="29"/>
      <c r="H657" s="29"/>
      <c r="I657" s="29" t="s">
        <v>431</v>
      </c>
      <c r="J657" s="47">
        <f t="shared" si="34"/>
        <v>23000</v>
      </c>
      <c r="K657" s="29">
        <f>VLOOKUP($C657,청소코드!$C$4:$J$188,8,FALSE)</f>
        <v>23000</v>
      </c>
      <c r="L657" s="32"/>
      <c r="M657" s="31"/>
      <c r="N657" s="32"/>
      <c r="O657" s="32"/>
    </row>
    <row r="658" spans="1:15" customFormat="1" ht="12.75" customHeight="1">
      <c r="A658" s="30">
        <v>46100</v>
      </c>
      <c r="B658" s="29" t="str">
        <f t="shared" si="33"/>
        <v>목</v>
      </c>
      <c r="C658" s="29" t="s">
        <v>809</v>
      </c>
      <c r="D658" s="29" t="str">
        <f>VLOOKUP($C658,청소코드!$C$4:$J$188,3,FALSE)</f>
        <v>청광1차 207</v>
      </c>
      <c r="E658" s="29">
        <f>VLOOKUP($C658,청소코드!$C$4:$J$188,4,FALSE)</f>
        <v>0</v>
      </c>
      <c r="F658" s="29" t="s">
        <v>810</v>
      </c>
      <c r="G658" s="29"/>
      <c r="H658" s="29"/>
      <c r="I658" s="29" t="s">
        <v>828</v>
      </c>
      <c r="J658" s="47">
        <f t="shared" si="34"/>
        <v>10000</v>
      </c>
      <c r="K658" s="29">
        <f>VLOOKUP($C658,청소코드!$C$4:$J$188,8,FALSE)</f>
        <v>10000</v>
      </c>
      <c r="L658" s="32"/>
      <c r="M658" s="31"/>
      <c r="N658" s="32"/>
      <c r="O658" s="32"/>
    </row>
    <row r="659" spans="1:15" customFormat="1" ht="12.75" customHeight="1">
      <c r="A659" s="49">
        <v>46101</v>
      </c>
      <c r="B659" s="50" t="str">
        <f t="shared" si="33"/>
        <v>금</v>
      </c>
      <c r="C659" s="29" t="s">
        <v>814</v>
      </c>
      <c r="D659" s="29" t="str">
        <f>VLOOKUP($C659,청소코드!$C$4:$J$188,3,FALSE)</f>
        <v>예건 702</v>
      </c>
      <c r="E659" s="29">
        <f>VLOOKUP($C659,청소코드!$C$4:$J$188,4,FALSE)</f>
        <v>1</v>
      </c>
      <c r="F659" s="29" t="s">
        <v>822</v>
      </c>
      <c r="G659" s="29"/>
      <c r="H659" s="29"/>
      <c r="I659" s="29" t="s">
        <v>431</v>
      </c>
      <c r="J659" s="47">
        <f t="shared" si="34"/>
        <v>18000</v>
      </c>
      <c r="K659" s="29">
        <f>VLOOKUP($C659,청소코드!$C$4:$J$188,8,FALSE)</f>
        <v>18000</v>
      </c>
      <c r="L659" s="32"/>
      <c r="M659" s="31"/>
      <c r="N659" s="32"/>
      <c r="O659" s="32"/>
    </row>
    <row r="660" spans="1:15" customFormat="1" ht="12.75" customHeight="1">
      <c r="A660" s="30">
        <v>46101</v>
      </c>
      <c r="B660" s="29" t="str">
        <f t="shared" si="33"/>
        <v>금</v>
      </c>
      <c r="C660" s="29" t="s">
        <v>815</v>
      </c>
      <c r="D660" s="29" t="str">
        <f>VLOOKUP($C660,청소코드!$C$4:$J$188,3,FALSE)</f>
        <v>더하임 1002</v>
      </c>
      <c r="E660" s="29">
        <f>VLOOKUP($C660,청소코드!$C$4:$J$188,4,FALSE)</f>
        <v>1</v>
      </c>
      <c r="F660" s="29" t="s">
        <v>823</v>
      </c>
      <c r="G660" s="29"/>
      <c r="H660" s="29"/>
      <c r="I660" s="29" t="s">
        <v>431</v>
      </c>
      <c r="J660" s="47">
        <f t="shared" si="34"/>
        <v>18000</v>
      </c>
      <c r="K660" s="29">
        <f>VLOOKUP($C660,청소코드!$C$4:$J$188,8,FALSE)</f>
        <v>18000</v>
      </c>
      <c r="L660" s="32"/>
      <c r="M660" s="31"/>
      <c r="N660" s="32"/>
      <c r="O660" s="32"/>
    </row>
    <row r="661" spans="1:15" customFormat="1" ht="12.75" customHeight="1">
      <c r="A661" s="30">
        <v>46101</v>
      </c>
      <c r="B661" s="29" t="str">
        <f t="shared" si="33"/>
        <v>금</v>
      </c>
      <c r="C661" s="29" t="s">
        <v>816</v>
      </c>
      <c r="D661" s="29" t="str">
        <f>VLOOKUP($C661,청소코드!$C$4:$J$188,3,FALSE)</f>
        <v>더하임 1003</v>
      </c>
      <c r="E661" s="29">
        <f>VLOOKUP($C661,청소코드!$C$4:$J$188,4,FALSE)</f>
        <v>1</v>
      </c>
      <c r="F661" s="29" t="s">
        <v>426</v>
      </c>
      <c r="G661" s="29"/>
      <c r="H661" s="29"/>
      <c r="I661" s="29" t="s">
        <v>431</v>
      </c>
      <c r="J661" s="47">
        <f t="shared" si="34"/>
        <v>18000</v>
      </c>
      <c r="K661" s="29">
        <f>VLOOKUP($C661,청소코드!$C$4:$J$188,8,FALSE)</f>
        <v>18000</v>
      </c>
      <c r="L661" s="32"/>
      <c r="M661" s="31"/>
      <c r="N661" s="32"/>
      <c r="O661" s="32"/>
    </row>
    <row r="662" spans="1:15" customFormat="1" ht="12.75" customHeight="1">
      <c r="A662" s="30">
        <v>46101</v>
      </c>
      <c r="B662" s="29" t="str">
        <f t="shared" si="33"/>
        <v>금</v>
      </c>
      <c r="C662" s="29" t="s">
        <v>817</v>
      </c>
      <c r="D662" s="29" t="str">
        <f>VLOOKUP($C662,청소코드!$C$4:$J$188,3,FALSE)</f>
        <v>더하임 1005</v>
      </c>
      <c r="E662" s="29">
        <f>VLOOKUP($C662,청소코드!$C$4:$J$188,4,FALSE)</f>
        <v>1</v>
      </c>
      <c r="F662" s="29" t="s">
        <v>426</v>
      </c>
      <c r="G662" s="29"/>
      <c r="H662" s="29"/>
      <c r="I662" s="29" t="s">
        <v>431</v>
      </c>
      <c r="J662" s="47">
        <f t="shared" si="34"/>
        <v>18000</v>
      </c>
      <c r="K662" s="29">
        <f>VLOOKUP($C662,청소코드!$C$4:$J$188,8,FALSE)</f>
        <v>18000</v>
      </c>
      <c r="L662" s="32"/>
      <c r="M662" s="31"/>
      <c r="N662" s="32"/>
      <c r="O662" s="32"/>
    </row>
    <row r="663" spans="1:15" customFormat="1" ht="12.75" customHeight="1">
      <c r="A663" s="30">
        <v>46101</v>
      </c>
      <c r="B663" s="29" t="str">
        <f t="shared" si="33"/>
        <v>금</v>
      </c>
      <c r="C663" s="29" t="s">
        <v>818</v>
      </c>
      <c r="D663" s="29" t="str">
        <f>VLOOKUP($C663,청소코드!$C$4:$J$188,3,FALSE)</f>
        <v>청광3차 507</v>
      </c>
      <c r="E663" s="29">
        <f>VLOOKUP($C663,청소코드!$C$4:$J$188,4,FALSE)</f>
        <v>1</v>
      </c>
      <c r="F663" s="29" t="s">
        <v>824</v>
      </c>
      <c r="G663" s="29"/>
      <c r="H663" s="29"/>
      <c r="I663" s="29" t="s">
        <v>431</v>
      </c>
      <c r="J663" s="47">
        <f t="shared" si="34"/>
        <v>18000</v>
      </c>
      <c r="K663" s="29">
        <f>VLOOKUP($C663,청소코드!$C$4:$J$188,8,FALSE)</f>
        <v>18000</v>
      </c>
      <c r="L663" s="32"/>
      <c r="M663" s="31"/>
      <c r="N663" s="32"/>
      <c r="O663" s="32"/>
    </row>
    <row r="664" spans="1:15" customFormat="1" ht="12.75" customHeight="1">
      <c r="A664" s="30">
        <v>46101</v>
      </c>
      <c r="B664" s="29" t="str">
        <f t="shared" si="33"/>
        <v>금</v>
      </c>
      <c r="C664" s="29" t="s">
        <v>819</v>
      </c>
      <c r="D664" s="29" t="str">
        <f>VLOOKUP($C664,청소코드!$C$4:$J$188,3,FALSE)</f>
        <v>si 602</v>
      </c>
      <c r="E664" s="29">
        <f>VLOOKUP($C664,청소코드!$C$4:$J$188,4,FALSE)</f>
        <v>1</v>
      </c>
      <c r="F664" s="29" t="s">
        <v>437</v>
      </c>
      <c r="G664" s="29"/>
      <c r="H664" s="29"/>
      <c r="I664" s="29" t="s">
        <v>431</v>
      </c>
      <c r="J664" s="47">
        <f t="shared" si="34"/>
        <v>20000</v>
      </c>
      <c r="K664" s="29">
        <f>VLOOKUP($C664,청소코드!$C$4:$J$188,8,FALSE)</f>
        <v>20000</v>
      </c>
      <c r="L664" s="32"/>
      <c r="M664" s="31"/>
      <c r="N664" s="32"/>
      <c r="O664" s="32"/>
    </row>
    <row r="665" spans="1:15" customFormat="1" ht="12.75" customHeight="1">
      <c r="A665" s="30">
        <v>46101</v>
      </c>
      <c r="B665" s="29" t="str">
        <f t="shared" si="33"/>
        <v>금</v>
      </c>
      <c r="C665" s="29" t="s">
        <v>820</v>
      </c>
      <c r="D665" s="29" t="str">
        <f>VLOOKUP($C665,청소코드!$C$4:$J$188,3,FALSE)</f>
        <v>태상 501</v>
      </c>
      <c r="E665" s="29">
        <f>VLOOKUP($C665,청소코드!$C$4:$J$188,4,FALSE)</f>
        <v>2</v>
      </c>
      <c r="F665" s="29" t="s">
        <v>437</v>
      </c>
      <c r="G665" s="29"/>
      <c r="H665" s="29"/>
      <c r="I665" s="29" t="s">
        <v>431</v>
      </c>
      <c r="J665" s="47">
        <f t="shared" si="34"/>
        <v>23000</v>
      </c>
      <c r="K665" s="29">
        <f>VLOOKUP($C665,청소코드!$C$4:$J$188,8,FALSE)</f>
        <v>23000</v>
      </c>
      <c r="L665" s="32"/>
      <c r="M665" s="31"/>
      <c r="N665" s="32"/>
      <c r="O665" s="32"/>
    </row>
    <row r="666" spans="1:15" customFormat="1" ht="12.75" customHeight="1">
      <c r="A666" s="30">
        <v>46101</v>
      </c>
      <c r="B666" s="29" t="str">
        <f t="shared" si="33"/>
        <v>금</v>
      </c>
      <c r="C666" s="29" t="s">
        <v>821</v>
      </c>
      <c r="D666" s="29" t="str">
        <f>VLOOKUP($C666,청소코드!$C$4:$J$188,3,FALSE)</f>
        <v>하람휴 1001</v>
      </c>
      <c r="E666" s="29">
        <f>VLOOKUP($C666,청소코드!$C$4:$J$188,4,FALSE)</f>
        <v>2</v>
      </c>
      <c r="F666" s="29" t="s">
        <v>408</v>
      </c>
      <c r="G666" s="29"/>
      <c r="H666" s="29"/>
      <c r="I666" s="29" t="s">
        <v>431</v>
      </c>
      <c r="J666" s="47">
        <f t="shared" si="34"/>
        <v>23000</v>
      </c>
      <c r="K666" s="29">
        <f>VLOOKUP($C666,청소코드!$C$4:$J$188,8,FALSE)</f>
        <v>23000</v>
      </c>
      <c r="L666" s="32"/>
      <c r="M666" s="31"/>
      <c r="N666" s="32"/>
      <c r="O666" s="32"/>
    </row>
    <row r="667" spans="1:15" customFormat="1" ht="12.75" customHeight="1">
      <c r="A667" s="30">
        <v>46101</v>
      </c>
      <c r="B667" s="29" t="str">
        <f t="shared" si="33"/>
        <v>금</v>
      </c>
      <c r="C667" s="29" t="s">
        <v>825</v>
      </c>
      <c r="D667" s="29" t="str">
        <f>VLOOKUP($C667,청소코드!$C$4:$J$188,3,FALSE)</f>
        <v>성우 304</v>
      </c>
      <c r="E667" s="29">
        <f>VLOOKUP($C667,청소코드!$C$4:$J$188,4,FALSE)</f>
        <v>2</v>
      </c>
      <c r="F667" s="29" t="s">
        <v>426</v>
      </c>
      <c r="G667" s="29"/>
      <c r="H667" s="29"/>
      <c r="I667" s="29" t="s">
        <v>431</v>
      </c>
      <c r="J667" s="47">
        <f t="shared" si="34"/>
        <v>23000</v>
      </c>
      <c r="K667" s="29">
        <f>VLOOKUP($C667,청소코드!$C$4:$J$188,8,FALSE)</f>
        <v>23000</v>
      </c>
      <c r="L667" s="32"/>
      <c r="M667" s="31"/>
      <c r="N667" s="32"/>
      <c r="O667" s="32"/>
    </row>
    <row r="668" spans="1:15" customFormat="1" ht="12.75" customHeight="1">
      <c r="A668" s="30">
        <v>46101</v>
      </c>
      <c r="B668" s="29" t="str">
        <f t="shared" si="33"/>
        <v>금</v>
      </c>
      <c r="C668" s="29" t="s">
        <v>826</v>
      </c>
      <c r="D668" s="29" t="str">
        <f>VLOOKUP($C668,청소코드!$C$4:$J$188,3,FALSE)</f>
        <v>예건 602</v>
      </c>
      <c r="E668" s="29">
        <f>VLOOKUP($C668,청소코드!$C$4:$J$188,4,FALSE)</f>
        <v>1</v>
      </c>
      <c r="F668" s="29" t="s">
        <v>401</v>
      </c>
      <c r="G668" s="29"/>
      <c r="H668" s="29"/>
      <c r="I668" s="29" t="s">
        <v>431</v>
      </c>
      <c r="J668" s="47">
        <f t="shared" si="34"/>
        <v>18000</v>
      </c>
      <c r="K668" s="29">
        <f>VLOOKUP($C668,청소코드!$C$4:$J$188,8,FALSE)</f>
        <v>18000</v>
      </c>
      <c r="L668" s="32"/>
      <c r="M668" s="31"/>
      <c r="N668" s="32"/>
      <c r="O668" s="32"/>
    </row>
    <row r="669" spans="1:15" customFormat="1" ht="12.75" customHeight="1">
      <c r="A669" s="30">
        <v>46101</v>
      </c>
      <c r="B669" s="29" t="str">
        <f t="shared" ref="B669:B700" si="35">TEXT(A669,"aaa")</f>
        <v>금</v>
      </c>
      <c r="C669" s="29" t="s">
        <v>827</v>
      </c>
      <c r="D669" s="29" t="str">
        <f>VLOOKUP($C669,청소코드!$C$4:$J$188,3,FALSE)</f>
        <v>청광1차 207</v>
      </c>
      <c r="E669" s="29">
        <f>VLOOKUP($C669,청소코드!$C$4:$J$188,4,FALSE)</f>
        <v>0</v>
      </c>
      <c r="F669" s="29" t="s">
        <v>426</v>
      </c>
      <c r="G669" s="29"/>
      <c r="H669" s="29"/>
      <c r="I669" s="29" t="s">
        <v>431</v>
      </c>
      <c r="J669" s="47">
        <f t="shared" ref="J669:J700" si="36">SUM(K669:O669)</f>
        <v>10000</v>
      </c>
      <c r="K669" s="29">
        <f>VLOOKUP($C669,청소코드!$C$4:$J$188,8,FALSE)</f>
        <v>10000</v>
      </c>
      <c r="L669" s="32"/>
      <c r="M669" s="31"/>
      <c r="N669" s="32"/>
      <c r="O669" s="32"/>
    </row>
    <row r="670" spans="1:15" customFormat="1" ht="12.75" customHeight="1">
      <c r="A670" s="49">
        <v>46102</v>
      </c>
      <c r="B670" s="50" t="str">
        <f t="shared" si="35"/>
        <v>토</v>
      </c>
      <c r="C670" s="29" t="s">
        <v>829</v>
      </c>
      <c r="D670" s="29" t="str">
        <f>VLOOKUP($C670,청소코드!$C$4:$J$188,3,FALSE)</f>
        <v>성우 304</v>
      </c>
      <c r="E670" s="29">
        <f>VLOOKUP($C670,청소코드!$C$4:$J$188,4,FALSE)</f>
        <v>2</v>
      </c>
      <c r="F670" s="29" t="s">
        <v>437</v>
      </c>
      <c r="G670" s="29"/>
      <c r="H670" s="29"/>
      <c r="I670" s="29" t="s">
        <v>865</v>
      </c>
      <c r="J670" s="47">
        <f t="shared" si="36"/>
        <v>23000</v>
      </c>
      <c r="K670" s="29">
        <f>VLOOKUP($C670,청소코드!$C$4:$J$188,8,FALSE)</f>
        <v>23000</v>
      </c>
      <c r="L670" s="32"/>
      <c r="M670" s="31"/>
      <c r="N670" s="32"/>
      <c r="O670" s="32"/>
    </row>
    <row r="671" spans="1:15" customFormat="1" ht="12.75" customHeight="1">
      <c r="A671" s="30">
        <v>46102</v>
      </c>
      <c r="B671" s="29" t="str">
        <f t="shared" si="35"/>
        <v>토</v>
      </c>
      <c r="C671" s="29" t="s">
        <v>830</v>
      </c>
      <c r="D671" s="29" t="str">
        <f>VLOOKUP($C671,청소코드!$C$4:$J$188,3,FALSE)</f>
        <v>성우 903</v>
      </c>
      <c r="E671" s="29">
        <f>VLOOKUP($C671,청소코드!$C$4:$J$188,4,FALSE)</f>
        <v>3</v>
      </c>
      <c r="F671" s="29" t="s">
        <v>437</v>
      </c>
      <c r="G671" s="29"/>
      <c r="H671" s="29"/>
      <c r="I671" s="29" t="s">
        <v>865</v>
      </c>
      <c r="J671" s="47">
        <f t="shared" si="36"/>
        <v>30000</v>
      </c>
      <c r="K671" s="29">
        <f>VLOOKUP($C671,청소코드!$C$4:$J$188,8,FALSE)</f>
        <v>30000</v>
      </c>
      <c r="L671" s="32"/>
      <c r="M671" s="31"/>
      <c r="N671" s="32"/>
      <c r="O671" s="32"/>
    </row>
    <row r="672" spans="1:15" customFormat="1" ht="12.75" customHeight="1">
      <c r="A672" s="30">
        <v>46102</v>
      </c>
      <c r="B672" s="29" t="str">
        <f t="shared" si="35"/>
        <v>토</v>
      </c>
      <c r="C672" s="29" t="s">
        <v>831</v>
      </c>
      <c r="D672" s="29" t="str">
        <f>VLOOKUP($C672,청소코드!$C$4:$J$188,3,FALSE)</f>
        <v>si 602</v>
      </c>
      <c r="E672" s="29">
        <f>VLOOKUP($C672,청소코드!$C$4:$J$188,4,FALSE)</f>
        <v>1</v>
      </c>
      <c r="F672" s="29" t="s">
        <v>437</v>
      </c>
      <c r="G672" s="29" t="s">
        <v>864</v>
      </c>
      <c r="H672" s="29"/>
      <c r="I672" s="29" t="s">
        <v>865</v>
      </c>
      <c r="J672" s="47">
        <f t="shared" si="36"/>
        <v>25000</v>
      </c>
      <c r="K672" s="29">
        <f>VLOOKUP($C672,청소코드!$C$4:$J$188,8,FALSE)</f>
        <v>20000</v>
      </c>
      <c r="L672" s="32">
        <v>5000</v>
      </c>
      <c r="M672" s="31"/>
      <c r="N672" s="32"/>
      <c r="O672" s="32"/>
    </row>
    <row r="673" spans="1:15" customFormat="1" ht="12.75" customHeight="1">
      <c r="A673" s="30">
        <v>46102</v>
      </c>
      <c r="B673" s="29" t="str">
        <f t="shared" si="35"/>
        <v>토</v>
      </c>
      <c r="C673" s="29" t="s">
        <v>832</v>
      </c>
      <c r="D673" s="29" t="str">
        <f>VLOOKUP($C673,청소코드!$C$4:$J$188,3,FALSE)</f>
        <v>대치동 102호</v>
      </c>
      <c r="E673" s="29">
        <f>VLOOKUP($C673,청소코드!$C$4:$J$188,4,FALSE)</f>
        <v>1</v>
      </c>
      <c r="F673" s="29" t="s">
        <v>845</v>
      </c>
      <c r="G673" s="29"/>
      <c r="H673" s="29"/>
      <c r="I673" s="29" t="s">
        <v>865</v>
      </c>
      <c r="J673" s="47">
        <f t="shared" si="36"/>
        <v>18000</v>
      </c>
      <c r="K673" s="29">
        <f>VLOOKUP($C673,청소코드!$C$4:$J$188,8,FALSE)</f>
        <v>18000</v>
      </c>
      <c r="L673" s="32"/>
      <c r="M673" s="31"/>
      <c r="N673" s="32"/>
      <c r="O673" s="32"/>
    </row>
    <row r="674" spans="1:15" customFormat="1" ht="12.75" customHeight="1">
      <c r="A674" s="30">
        <v>46102</v>
      </c>
      <c r="B674" s="29" t="str">
        <f t="shared" si="35"/>
        <v>토</v>
      </c>
      <c r="C674" s="29" t="s">
        <v>833</v>
      </c>
      <c r="D674" s="29" t="str">
        <f>VLOOKUP($C674,청소코드!$C$4:$J$188,3,FALSE)</f>
        <v>예건 204</v>
      </c>
      <c r="E674" s="29">
        <f>VLOOKUP($C674,청소코드!$C$4:$J$188,4,FALSE)</f>
        <v>1</v>
      </c>
      <c r="F674" s="29" t="s">
        <v>426</v>
      </c>
      <c r="G674" s="29" t="s">
        <v>851</v>
      </c>
      <c r="H674" s="29"/>
      <c r="I674" s="29" t="s">
        <v>865</v>
      </c>
      <c r="J674" s="47">
        <f t="shared" si="36"/>
        <v>23000</v>
      </c>
      <c r="K674" s="29">
        <f>VLOOKUP($C674,청소코드!$C$4:$J$188,8,FALSE)</f>
        <v>18000</v>
      </c>
      <c r="L674" s="32">
        <v>5000</v>
      </c>
      <c r="M674" s="31"/>
      <c r="N674" s="32"/>
      <c r="O674" s="32"/>
    </row>
    <row r="675" spans="1:15" customFormat="1" ht="12.75" customHeight="1">
      <c r="A675" s="30">
        <v>46102</v>
      </c>
      <c r="B675" s="29" t="str">
        <f t="shared" si="35"/>
        <v>토</v>
      </c>
      <c r="C675" s="29" t="s">
        <v>834</v>
      </c>
      <c r="D675" s="29" t="str">
        <f>VLOOKUP($C675,청소코드!$C$4:$J$188,3,FALSE)</f>
        <v>예건 702</v>
      </c>
      <c r="E675" s="29">
        <f>VLOOKUP($C675,청소코드!$C$4:$J$188,4,FALSE)</f>
        <v>1</v>
      </c>
      <c r="F675" s="29" t="s">
        <v>426</v>
      </c>
      <c r="G675" s="29" t="s">
        <v>863</v>
      </c>
      <c r="H675" s="29"/>
      <c r="I675" s="29" t="s">
        <v>865</v>
      </c>
      <c r="J675" s="47">
        <f t="shared" si="36"/>
        <v>23000</v>
      </c>
      <c r="K675" s="29">
        <f>VLOOKUP($C675,청소코드!$C$4:$J$188,8,FALSE)</f>
        <v>18000</v>
      </c>
      <c r="L675" s="32">
        <v>5000</v>
      </c>
      <c r="M675" s="31"/>
      <c r="N675" s="32"/>
      <c r="O675" s="32"/>
    </row>
    <row r="676" spans="1:15" customFormat="1" ht="12.75" customHeight="1">
      <c r="A676" s="30">
        <v>46102</v>
      </c>
      <c r="B676" s="29" t="str">
        <f t="shared" si="35"/>
        <v>토</v>
      </c>
      <c r="C676" s="29" t="s">
        <v>835</v>
      </c>
      <c r="D676" s="29" t="str">
        <f>VLOOKUP($C676,청소코드!$C$4:$J$188,3,FALSE)</f>
        <v>더하임 1002</v>
      </c>
      <c r="E676" s="29">
        <f>VLOOKUP($C676,청소코드!$C$4:$J$188,4,FALSE)</f>
        <v>1</v>
      </c>
      <c r="F676" s="29" t="s">
        <v>401</v>
      </c>
      <c r="G676" s="29"/>
      <c r="H676" s="29"/>
      <c r="I676" s="29" t="s">
        <v>865</v>
      </c>
      <c r="J676" s="47">
        <f t="shared" si="36"/>
        <v>18000</v>
      </c>
      <c r="K676" s="29">
        <f>VLOOKUP($C676,청소코드!$C$4:$J$188,8,FALSE)</f>
        <v>18000</v>
      </c>
      <c r="L676" s="32"/>
      <c r="M676" s="31"/>
      <c r="N676" s="32"/>
      <c r="O676" s="32"/>
    </row>
    <row r="677" spans="1:15" customFormat="1" ht="12.75" customHeight="1">
      <c r="A677" s="30">
        <v>46102</v>
      </c>
      <c r="B677" s="29" t="str">
        <f t="shared" si="35"/>
        <v>토</v>
      </c>
      <c r="C677" s="29" t="s">
        <v>836</v>
      </c>
      <c r="D677" s="29" t="str">
        <f>VLOOKUP($C677,청소코드!$C$4:$J$188,3,FALSE)</f>
        <v>더하임 1003</v>
      </c>
      <c r="E677" s="29">
        <f>VLOOKUP($C677,청소코드!$C$4:$J$188,4,FALSE)</f>
        <v>1</v>
      </c>
      <c r="F677" s="29" t="s">
        <v>401</v>
      </c>
      <c r="G677" s="29" t="s">
        <v>863</v>
      </c>
      <c r="H677" s="29"/>
      <c r="I677" s="29" t="s">
        <v>865</v>
      </c>
      <c r="J677" s="47">
        <f t="shared" si="36"/>
        <v>23000</v>
      </c>
      <c r="K677" s="29">
        <f>VLOOKUP($C677,청소코드!$C$4:$J$188,8,FALSE)</f>
        <v>18000</v>
      </c>
      <c r="L677" s="32">
        <v>5000</v>
      </c>
      <c r="M677" s="31"/>
      <c r="N677" s="32"/>
      <c r="O677" s="32"/>
    </row>
    <row r="678" spans="1:15" customFormat="1" ht="12.75" customHeight="1">
      <c r="A678" s="30">
        <v>46102</v>
      </c>
      <c r="B678" s="29" t="str">
        <f t="shared" si="35"/>
        <v>토</v>
      </c>
      <c r="C678" s="29" t="s">
        <v>837</v>
      </c>
      <c r="D678" s="29" t="str">
        <f>VLOOKUP($C678,청소코드!$C$4:$J$188,3,FALSE)</f>
        <v>오앤 401</v>
      </c>
      <c r="E678" s="29">
        <f>VLOOKUP($C678,청소코드!$C$4:$J$188,4,FALSE)</f>
        <v>1</v>
      </c>
      <c r="F678" s="29" t="s">
        <v>401</v>
      </c>
      <c r="G678" s="29"/>
      <c r="H678" s="29"/>
      <c r="I678" s="29" t="s">
        <v>865</v>
      </c>
      <c r="J678" s="47">
        <f t="shared" si="36"/>
        <v>18000</v>
      </c>
      <c r="K678" s="29">
        <f>VLOOKUP($C678,청소코드!$C$4:$J$188,8,FALSE)</f>
        <v>18000</v>
      </c>
      <c r="L678" s="32"/>
      <c r="M678" s="31"/>
      <c r="N678" s="32"/>
      <c r="O678" s="32"/>
    </row>
    <row r="679" spans="1:15" customFormat="1" ht="12.75" customHeight="1">
      <c r="A679" s="30">
        <v>46102</v>
      </c>
      <c r="B679" s="29" t="str">
        <f t="shared" si="35"/>
        <v>토</v>
      </c>
      <c r="C679" s="29" t="s">
        <v>838</v>
      </c>
      <c r="D679" s="29" t="str">
        <f>VLOOKUP($C679,청소코드!$C$4:$J$188,3,FALSE)</f>
        <v>더하임 306</v>
      </c>
      <c r="E679" s="29">
        <f>VLOOKUP($C679,청소코드!$C$4:$J$188,4,FALSE)</f>
        <v>1.5</v>
      </c>
      <c r="F679" s="29" t="s">
        <v>846</v>
      </c>
      <c r="G679" s="29" t="s">
        <v>863</v>
      </c>
      <c r="H679" s="29"/>
      <c r="I679" s="29" t="s">
        <v>865</v>
      </c>
      <c r="J679" s="47">
        <f t="shared" si="36"/>
        <v>25000</v>
      </c>
      <c r="K679" s="29">
        <f>VLOOKUP($C679,청소코드!$C$4:$J$188,8,FALSE)</f>
        <v>20000</v>
      </c>
      <c r="L679" s="32">
        <v>5000</v>
      </c>
      <c r="M679" s="31"/>
      <c r="N679" s="32"/>
      <c r="O679" s="32"/>
    </row>
    <row r="680" spans="1:15" customFormat="1" ht="12.75" customHeight="1">
      <c r="A680" s="30">
        <v>46102</v>
      </c>
      <c r="B680" s="29" t="str">
        <f t="shared" si="35"/>
        <v>토</v>
      </c>
      <c r="C680" s="29" t="s">
        <v>839</v>
      </c>
      <c r="D680" s="29" t="str">
        <f>VLOOKUP($C680,청소코드!$C$4:$J$188,3,FALSE)</f>
        <v>동구햇살 1203</v>
      </c>
      <c r="E680" s="29" t="str">
        <f>VLOOKUP($C680,청소코드!$C$4:$J$188,4,FALSE)</f>
        <v>복</v>
      </c>
      <c r="F680" s="29" t="s">
        <v>847</v>
      </c>
      <c r="G680" s="29" t="s">
        <v>863</v>
      </c>
      <c r="H680" s="29"/>
      <c r="I680" s="29" t="s">
        <v>865</v>
      </c>
      <c r="J680" s="47">
        <f t="shared" si="36"/>
        <v>25000</v>
      </c>
      <c r="K680" s="29">
        <f>VLOOKUP($C680,청소코드!$C$4:$J$188,8,FALSE)</f>
        <v>20000</v>
      </c>
      <c r="L680" s="32">
        <v>5000</v>
      </c>
      <c r="M680" s="31"/>
      <c r="N680" s="32"/>
      <c r="O680" s="32"/>
    </row>
    <row r="681" spans="1:15" customFormat="1" ht="12.75" customHeight="1">
      <c r="A681" s="30">
        <v>46102</v>
      </c>
      <c r="B681" s="29" t="str">
        <f t="shared" si="35"/>
        <v>토</v>
      </c>
      <c r="C681" s="29" t="s">
        <v>840</v>
      </c>
      <c r="D681" s="29" t="str">
        <f>VLOOKUP($C681,청소코드!$C$4:$J$188,3,FALSE)</f>
        <v>청광1차 1303</v>
      </c>
      <c r="E681" s="29">
        <f>VLOOKUP($C681,청소코드!$C$4:$J$188,4,FALSE)</f>
        <v>1</v>
      </c>
      <c r="F681" s="29" t="s">
        <v>847</v>
      </c>
      <c r="G681" s="29" t="s">
        <v>850</v>
      </c>
      <c r="H681" s="29"/>
      <c r="I681" s="29" t="s">
        <v>865</v>
      </c>
      <c r="J681" s="47">
        <f t="shared" si="36"/>
        <v>23000</v>
      </c>
      <c r="K681" s="29">
        <f>VLOOKUP($C681,청소코드!$C$4:$J$188,8,FALSE)</f>
        <v>18000</v>
      </c>
      <c r="L681" s="32">
        <v>5000</v>
      </c>
      <c r="M681" s="31"/>
      <c r="N681" s="32"/>
      <c r="O681" s="32"/>
    </row>
    <row r="682" spans="1:15" customFormat="1" ht="12.75" customHeight="1">
      <c r="A682" s="30">
        <v>46102</v>
      </c>
      <c r="B682" s="29" t="str">
        <f t="shared" si="35"/>
        <v>토</v>
      </c>
      <c r="C682" s="29" t="s">
        <v>841</v>
      </c>
      <c r="D682" s="29" t="str">
        <f>VLOOKUP($C682,청소코드!$C$4:$J$188,3,FALSE)</f>
        <v>청광3차 507</v>
      </c>
      <c r="E682" s="29">
        <f>VLOOKUP($C682,청소코드!$C$4:$J$188,4,FALSE)</f>
        <v>1</v>
      </c>
      <c r="F682" s="29" t="s">
        <v>848</v>
      </c>
      <c r="G682" s="29" t="s">
        <v>863</v>
      </c>
      <c r="H682" s="29"/>
      <c r="I682" s="29" t="s">
        <v>865</v>
      </c>
      <c r="J682" s="47">
        <f t="shared" si="36"/>
        <v>23000</v>
      </c>
      <c r="K682" s="29">
        <f>VLOOKUP($C682,청소코드!$C$4:$J$188,8,FALSE)</f>
        <v>18000</v>
      </c>
      <c r="L682" s="32">
        <v>5000</v>
      </c>
      <c r="M682" s="31"/>
      <c r="N682" s="32"/>
      <c r="O682" s="32"/>
    </row>
    <row r="683" spans="1:15" customFormat="1" ht="12.75" customHeight="1">
      <c r="A683" s="30">
        <v>46102</v>
      </c>
      <c r="B683" s="29" t="str">
        <f t="shared" si="35"/>
        <v>토</v>
      </c>
      <c r="C683" s="29" t="s">
        <v>842</v>
      </c>
      <c r="D683" s="29" t="str">
        <f>VLOOKUP($C683,청소코드!$C$4:$J$188,3,FALSE)</f>
        <v>청광3차 806</v>
      </c>
      <c r="E683" s="29">
        <f>VLOOKUP($C683,청소코드!$C$4:$J$188,4,FALSE)</f>
        <v>1</v>
      </c>
      <c r="F683" s="29" t="s">
        <v>848</v>
      </c>
      <c r="G683" s="29"/>
      <c r="H683" s="29"/>
      <c r="I683" s="29" t="s">
        <v>865</v>
      </c>
      <c r="J683" s="47">
        <f t="shared" si="36"/>
        <v>18000</v>
      </c>
      <c r="K683" s="29">
        <f>VLOOKUP($C683,청소코드!$C$4:$J$188,8,FALSE)</f>
        <v>18000</v>
      </c>
      <c r="L683" s="32"/>
      <c r="M683" s="31"/>
      <c r="N683" s="32"/>
      <c r="O683" s="32"/>
    </row>
    <row r="684" spans="1:15" customFormat="1" ht="12.75" customHeight="1">
      <c r="A684" s="30">
        <v>46102</v>
      </c>
      <c r="B684" s="29" t="str">
        <f t="shared" si="35"/>
        <v>토</v>
      </c>
      <c r="C684" s="29" t="s">
        <v>843</v>
      </c>
      <c r="D684" s="29" t="str">
        <f>VLOOKUP($C684,청소코드!$C$4:$J$188,3,FALSE)</f>
        <v>하람휴 1001</v>
      </c>
      <c r="E684" s="29">
        <f>VLOOKUP($C684,청소코드!$C$4:$J$188,4,FALSE)</f>
        <v>2</v>
      </c>
      <c r="F684" s="29" t="s">
        <v>849</v>
      </c>
      <c r="G684" s="29" t="s">
        <v>864</v>
      </c>
      <c r="H684" s="29"/>
      <c r="I684" s="29" t="s">
        <v>865</v>
      </c>
      <c r="J684" s="47">
        <f t="shared" si="36"/>
        <v>28000</v>
      </c>
      <c r="K684" s="29">
        <f>VLOOKUP($C684,청소코드!$C$4:$J$188,8,FALSE)</f>
        <v>23000</v>
      </c>
      <c r="L684" s="32">
        <v>5000</v>
      </c>
      <c r="M684" s="31"/>
      <c r="N684" s="32"/>
      <c r="O684" s="32"/>
    </row>
    <row r="685" spans="1:15" customFormat="1" ht="12.75" customHeight="1">
      <c r="A685" s="30">
        <v>46102</v>
      </c>
      <c r="B685" s="29" t="str">
        <f t="shared" si="35"/>
        <v>토</v>
      </c>
      <c r="C685" s="29" t="s">
        <v>844</v>
      </c>
      <c r="D685" s="29" t="str">
        <f>VLOOKUP($C685,청소코드!$C$4:$J$188,3,FALSE)</f>
        <v>청광1차 207</v>
      </c>
      <c r="E685" s="29">
        <f>VLOOKUP($C685,청소코드!$C$4:$J$188,4,FALSE)</f>
        <v>0</v>
      </c>
      <c r="F685" s="29" t="s">
        <v>426</v>
      </c>
      <c r="G685" s="29"/>
      <c r="H685" s="29"/>
      <c r="I685" s="29" t="s">
        <v>865</v>
      </c>
      <c r="J685" s="47">
        <f t="shared" si="36"/>
        <v>10000</v>
      </c>
      <c r="K685" s="29">
        <f>VLOOKUP($C685,청소코드!$C$4:$J$188,8,FALSE)</f>
        <v>10000</v>
      </c>
      <c r="L685" s="32"/>
      <c r="M685" s="31"/>
      <c r="N685" s="32"/>
      <c r="O685" s="32"/>
    </row>
    <row r="686" spans="1:15" customFormat="1" ht="12.75" customHeight="1">
      <c r="A686" s="49">
        <v>46103</v>
      </c>
      <c r="B686" s="50" t="str">
        <f t="shared" si="35"/>
        <v>일</v>
      </c>
      <c r="C686" s="29" t="s">
        <v>852</v>
      </c>
      <c r="D686" s="29" t="str">
        <f>VLOOKUP($C686,청소코드!$C$4:$J$188,3,FALSE)</f>
        <v>태상 501</v>
      </c>
      <c r="E686" s="29">
        <f>VLOOKUP($C686,청소코드!$C$4:$J$188,4,FALSE)</f>
        <v>2</v>
      </c>
      <c r="F686" s="29" t="s">
        <v>437</v>
      </c>
      <c r="G686" s="29"/>
      <c r="H686" s="29"/>
      <c r="I686" s="29" t="s">
        <v>865</v>
      </c>
      <c r="J686" s="47">
        <f t="shared" si="36"/>
        <v>23000</v>
      </c>
      <c r="K686" s="29">
        <f>VLOOKUP($C686,청소코드!$C$4:$J$188,8,FALSE)</f>
        <v>23000</v>
      </c>
      <c r="L686" s="32"/>
      <c r="M686" s="31"/>
      <c r="N686" s="32"/>
      <c r="O686" s="32"/>
    </row>
    <row r="687" spans="1:15" customFormat="1" ht="12.75" customHeight="1">
      <c r="A687" s="30">
        <v>46103</v>
      </c>
      <c r="B687" s="29" t="str">
        <f t="shared" si="35"/>
        <v>일</v>
      </c>
      <c r="C687" s="29" t="s">
        <v>837</v>
      </c>
      <c r="D687" s="29" t="str">
        <f>VLOOKUP($C687,청소코드!$C$4:$J$188,3,FALSE)</f>
        <v>오앤 401</v>
      </c>
      <c r="E687" s="29">
        <f>VLOOKUP($C687,청소코드!$C$4:$J$188,4,FALSE)</f>
        <v>1</v>
      </c>
      <c r="F687" s="29" t="s">
        <v>437</v>
      </c>
      <c r="G687" s="29"/>
      <c r="H687" s="29"/>
      <c r="I687" s="29" t="s">
        <v>865</v>
      </c>
      <c r="J687" s="47">
        <f t="shared" si="36"/>
        <v>18000</v>
      </c>
      <c r="K687" s="29">
        <f>VLOOKUP($C687,청소코드!$C$4:$J$188,8,FALSE)</f>
        <v>18000</v>
      </c>
      <c r="L687" s="32"/>
      <c r="M687" s="31"/>
      <c r="N687" s="32"/>
      <c r="O687" s="32"/>
    </row>
    <row r="688" spans="1:15" customFormat="1" ht="12.75" customHeight="1">
      <c r="A688" s="30">
        <v>46103</v>
      </c>
      <c r="B688" s="29" t="str">
        <f t="shared" si="35"/>
        <v>일</v>
      </c>
      <c r="C688" s="29" t="s">
        <v>833</v>
      </c>
      <c r="D688" s="29" t="str">
        <f>VLOOKUP($C688,청소코드!$C$4:$J$188,3,FALSE)</f>
        <v>예건 204</v>
      </c>
      <c r="E688" s="29">
        <f>VLOOKUP($C688,청소코드!$C$4:$J$188,4,FALSE)</f>
        <v>1</v>
      </c>
      <c r="F688" s="29" t="s">
        <v>853</v>
      </c>
      <c r="G688" s="29"/>
      <c r="H688" s="29"/>
      <c r="I688" s="29" t="s">
        <v>865</v>
      </c>
      <c r="J688" s="47">
        <f t="shared" si="36"/>
        <v>18000</v>
      </c>
      <c r="K688" s="29">
        <f>VLOOKUP($C688,청소코드!$C$4:$J$188,8,FALSE)</f>
        <v>18000</v>
      </c>
      <c r="L688" s="32"/>
      <c r="M688" s="31"/>
      <c r="N688" s="32"/>
      <c r="O688" s="32"/>
    </row>
    <row r="689" spans="1:15" customFormat="1" ht="12.75" customHeight="1">
      <c r="A689" s="30">
        <v>46103</v>
      </c>
      <c r="B689" s="29" t="str">
        <f t="shared" si="35"/>
        <v>일</v>
      </c>
      <c r="C689" s="29" t="s">
        <v>834</v>
      </c>
      <c r="D689" s="29" t="str">
        <f>VLOOKUP($C689,청소코드!$C$4:$J$188,3,FALSE)</f>
        <v>예건 702</v>
      </c>
      <c r="E689" s="29">
        <f>VLOOKUP($C689,청소코드!$C$4:$J$188,4,FALSE)</f>
        <v>1</v>
      </c>
      <c r="F689" s="29" t="s">
        <v>426</v>
      </c>
      <c r="G689" s="29"/>
      <c r="H689" s="29"/>
      <c r="I689" s="29" t="s">
        <v>865</v>
      </c>
      <c r="J689" s="47">
        <f t="shared" si="36"/>
        <v>18000</v>
      </c>
      <c r="K689" s="29">
        <f>VLOOKUP($C689,청소코드!$C$4:$J$188,8,FALSE)</f>
        <v>18000</v>
      </c>
      <c r="L689" s="32"/>
      <c r="M689" s="31"/>
      <c r="N689" s="32"/>
      <c r="O689" s="32"/>
    </row>
    <row r="690" spans="1:15" customFormat="1" ht="12.75" customHeight="1">
      <c r="A690" s="30">
        <v>46103</v>
      </c>
      <c r="B690" s="29" t="str">
        <f t="shared" si="35"/>
        <v>일</v>
      </c>
      <c r="C690" s="29" t="s">
        <v>835</v>
      </c>
      <c r="D690" s="29" t="str">
        <f>VLOOKUP($C690,청소코드!$C$4:$J$188,3,FALSE)</f>
        <v>더하임 1002</v>
      </c>
      <c r="E690" s="29">
        <f>VLOOKUP($C690,청소코드!$C$4:$J$188,4,FALSE)</f>
        <v>1</v>
      </c>
      <c r="F690" s="29" t="s">
        <v>859</v>
      </c>
      <c r="G690" s="29" t="s">
        <v>864</v>
      </c>
      <c r="H690" s="29"/>
      <c r="I690" s="29" t="s">
        <v>865</v>
      </c>
      <c r="J690" s="47">
        <f t="shared" si="36"/>
        <v>23000</v>
      </c>
      <c r="K690" s="29">
        <f>VLOOKUP($C690,청소코드!$C$4:$J$188,8,FALSE)</f>
        <v>18000</v>
      </c>
      <c r="L690" s="32">
        <v>5000</v>
      </c>
      <c r="M690" s="31"/>
      <c r="N690" s="32"/>
      <c r="O690" s="32"/>
    </row>
    <row r="691" spans="1:15" customFormat="1" ht="12.75" customHeight="1">
      <c r="A691" s="30">
        <v>46103</v>
      </c>
      <c r="B691" s="29" t="str">
        <f t="shared" si="35"/>
        <v>일</v>
      </c>
      <c r="C691" s="29" t="s">
        <v>854</v>
      </c>
      <c r="D691" s="29" t="str">
        <f>VLOOKUP($C691,청소코드!$C$4:$J$188,3,FALSE)</f>
        <v>더하임 204</v>
      </c>
      <c r="E691" s="29">
        <f>VLOOKUP($C691,청소코드!$C$4:$J$188,4,FALSE)</f>
        <v>1</v>
      </c>
      <c r="F691" s="29" t="s">
        <v>859</v>
      </c>
      <c r="G691" s="29"/>
      <c r="H691" s="29"/>
      <c r="I691" s="29" t="s">
        <v>865</v>
      </c>
      <c r="J691" s="47">
        <f t="shared" si="36"/>
        <v>18000</v>
      </c>
      <c r="K691" s="29">
        <f>VLOOKUP($C691,청소코드!$C$4:$J$188,8,FALSE)</f>
        <v>18000</v>
      </c>
      <c r="L691" s="32"/>
      <c r="M691" s="31"/>
      <c r="N691" s="32"/>
      <c r="O691" s="32"/>
    </row>
    <row r="692" spans="1:15" customFormat="1" ht="12.75" customHeight="1">
      <c r="A692" s="30">
        <v>46103</v>
      </c>
      <c r="B692" s="29" t="str">
        <f t="shared" si="35"/>
        <v>일</v>
      </c>
      <c r="C692" s="29" t="s">
        <v>855</v>
      </c>
      <c r="D692" s="29" t="str">
        <f>VLOOKUP($C692,청소코드!$C$4:$J$188,3,FALSE)</f>
        <v>더하임 305</v>
      </c>
      <c r="E692" s="29">
        <f>VLOOKUP($C692,청소코드!$C$4:$J$188,4,FALSE)</f>
        <v>1</v>
      </c>
      <c r="F692" s="29" t="s">
        <v>859</v>
      </c>
      <c r="G692" s="29"/>
      <c r="H692" s="29"/>
      <c r="I692" s="29" t="s">
        <v>865</v>
      </c>
      <c r="J692" s="47">
        <f t="shared" si="36"/>
        <v>18000</v>
      </c>
      <c r="K692" s="29">
        <f>VLOOKUP($C692,청소코드!$C$4:$J$188,8,FALSE)</f>
        <v>18000</v>
      </c>
      <c r="L692" s="32"/>
      <c r="M692" s="31"/>
      <c r="N692" s="32"/>
      <c r="O692" s="32"/>
    </row>
    <row r="693" spans="1:15" customFormat="1" ht="12.75" customHeight="1">
      <c r="A693" s="30">
        <v>46103</v>
      </c>
      <c r="B693" s="29" t="str">
        <f t="shared" si="35"/>
        <v>일</v>
      </c>
      <c r="C693" s="29" t="s">
        <v>829</v>
      </c>
      <c r="D693" s="29" t="str">
        <f>VLOOKUP($C693,청소코드!$C$4:$J$188,3,FALSE)</f>
        <v>성우 304</v>
      </c>
      <c r="E693" s="29">
        <f>VLOOKUP($C693,청소코드!$C$4:$J$188,4,FALSE)</f>
        <v>2</v>
      </c>
      <c r="F693" s="29" t="s">
        <v>401</v>
      </c>
      <c r="G693" s="29"/>
      <c r="H693" s="29"/>
      <c r="I693" s="29" t="s">
        <v>865</v>
      </c>
      <c r="J693" s="47">
        <f t="shared" si="36"/>
        <v>23000</v>
      </c>
      <c r="K693" s="29">
        <f>VLOOKUP($C693,청소코드!$C$4:$J$188,8,FALSE)</f>
        <v>23000</v>
      </c>
      <c r="L693" s="32"/>
      <c r="M693" s="31"/>
      <c r="N693" s="32"/>
      <c r="O693" s="32"/>
    </row>
    <row r="694" spans="1:15" customFormat="1" ht="12.75" customHeight="1">
      <c r="A694" s="30">
        <v>46103</v>
      </c>
      <c r="B694" s="29" t="str">
        <f t="shared" si="35"/>
        <v>일</v>
      </c>
      <c r="C694" s="29" t="s">
        <v>840</v>
      </c>
      <c r="D694" s="29" t="str">
        <f>VLOOKUP($C694,청소코드!$C$4:$J$188,3,FALSE)</f>
        <v>청광1차 1303</v>
      </c>
      <c r="E694" s="29">
        <f>VLOOKUP($C694,청소코드!$C$4:$J$188,4,FALSE)</f>
        <v>1</v>
      </c>
      <c r="F694" s="29" t="s">
        <v>847</v>
      </c>
      <c r="G694" s="29"/>
      <c r="H694" s="29"/>
      <c r="I694" s="29" t="s">
        <v>865</v>
      </c>
      <c r="J694" s="47">
        <f t="shared" si="36"/>
        <v>18000</v>
      </c>
      <c r="K694" s="29">
        <f>VLOOKUP($C694,청소코드!$C$4:$J$188,8,FALSE)</f>
        <v>18000</v>
      </c>
      <c r="L694" s="32"/>
      <c r="M694" s="31"/>
      <c r="N694" s="32"/>
      <c r="O694" s="32"/>
    </row>
    <row r="695" spans="1:15" customFormat="1" ht="12.75" customHeight="1">
      <c r="A695" s="30">
        <v>46103</v>
      </c>
      <c r="B695" s="29" t="str">
        <f t="shared" si="35"/>
        <v>일</v>
      </c>
      <c r="C695" s="29" t="s">
        <v>856</v>
      </c>
      <c r="D695" s="29" t="str">
        <f>VLOOKUP($C695,청소코드!$C$4:$J$188,3,FALSE)</f>
        <v>르센티 1801</v>
      </c>
      <c r="E695" s="29" t="str">
        <f>VLOOKUP($C695,청소코드!$C$4:$J$188,4,FALSE)</f>
        <v>복</v>
      </c>
      <c r="F695" s="29" t="s">
        <v>847</v>
      </c>
      <c r="G695" s="29"/>
      <c r="H695" s="29"/>
      <c r="I695" s="29" t="s">
        <v>865</v>
      </c>
      <c r="J695" s="47">
        <f t="shared" si="36"/>
        <v>20000</v>
      </c>
      <c r="K695" s="29">
        <f>VLOOKUP($C695,청소코드!$C$4:$J$188,8,FALSE)</f>
        <v>20000</v>
      </c>
      <c r="L695" s="32"/>
      <c r="M695" s="31"/>
      <c r="N695" s="32"/>
      <c r="O695" s="32"/>
    </row>
    <row r="696" spans="1:15" customFormat="1" ht="12.75" customHeight="1">
      <c r="A696" s="30">
        <v>46103</v>
      </c>
      <c r="B696" s="29" t="str">
        <f t="shared" si="35"/>
        <v>일</v>
      </c>
      <c r="C696" s="29" t="s">
        <v>857</v>
      </c>
      <c r="D696" s="29" t="str">
        <f>VLOOKUP($C696,청소코드!$C$4:$J$188,3,FALSE)</f>
        <v>오금스타 205</v>
      </c>
      <c r="E696" s="29">
        <f>VLOOKUP($C696,청소코드!$C$4:$J$188,4,FALSE)</f>
        <v>1</v>
      </c>
      <c r="F696" s="29" t="s">
        <v>860</v>
      </c>
      <c r="G696" s="29"/>
      <c r="H696" s="29"/>
      <c r="I696" s="29" t="s">
        <v>865</v>
      </c>
      <c r="J696" s="47">
        <f t="shared" si="36"/>
        <v>20000</v>
      </c>
      <c r="K696" s="29">
        <f>VLOOKUP($C696,청소코드!$C$4:$J$188,8,FALSE)</f>
        <v>18000</v>
      </c>
      <c r="L696" s="32">
        <v>2000</v>
      </c>
      <c r="M696" s="31"/>
      <c r="N696" s="32"/>
      <c r="O696" s="32"/>
    </row>
    <row r="697" spans="1:15" customFormat="1" ht="12.75" customHeight="1">
      <c r="A697" s="30">
        <v>46103</v>
      </c>
      <c r="B697" s="29" t="str">
        <f t="shared" si="35"/>
        <v>일</v>
      </c>
      <c r="C697" s="29" t="s">
        <v>858</v>
      </c>
      <c r="D697" s="29" t="str">
        <f>VLOOKUP($C697,청소코드!$C$4:$J$188,3,FALSE)</f>
        <v>오금스타 402</v>
      </c>
      <c r="E697" s="29">
        <f>VLOOKUP($C697,청소코드!$C$4:$J$188,4,FALSE)</f>
        <v>1</v>
      </c>
      <c r="F697" s="29" t="s">
        <v>860</v>
      </c>
      <c r="G697" s="29"/>
      <c r="H697" s="29"/>
      <c r="I697" s="29" t="s">
        <v>865</v>
      </c>
      <c r="J697" s="47">
        <f t="shared" si="36"/>
        <v>20000</v>
      </c>
      <c r="K697" s="29">
        <f>VLOOKUP($C697,청소코드!$C$4:$J$188,8,FALSE)</f>
        <v>18000</v>
      </c>
      <c r="L697" s="32">
        <v>2000</v>
      </c>
      <c r="M697" s="31"/>
      <c r="N697" s="32"/>
      <c r="O697" s="32"/>
    </row>
    <row r="698" spans="1:15" customFormat="1" ht="12.75" customHeight="1">
      <c r="A698" s="30">
        <v>46103</v>
      </c>
      <c r="B698" s="29" t="str">
        <f t="shared" si="35"/>
        <v>일</v>
      </c>
      <c r="C698" s="29" t="s">
        <v>841</v>
      </c>
      <c r="D698" s="29" t="str">
        <f>VLOOKUP($C698,청소코드!$C$4:$J$188,3,FALSE)</f>
        <v>청광3차 507</v>
      </c>
      <c r="E698" s="29">
        <f>VLOOKUP($C698,청소코드!$C$4:$J$188,4,FALSE)</f>
        <v>1</v>
      </c>
      <c r="F698" s="29" t="s">
        <v>848</v>
      </c>
      <c r="G698" s="29"/>
      <c r="H698" s="29"/>
      <c r="I698" s="29" t="s">
        <v>865</v>
      </c>
      <c r="J698" s="47">
        <f t="shared" si="36"/>
        <v>18000</v>
      </c>
      <c r="K698" s="29">
        <f>VLOOKUP($C698,청소코드!$C$4:$J$188,8,FALSE)</f>
        <v>18000</v>
      </c>
      <c r="L698" s="32"/>
      <c r="M698" s="31"/>
      <c r="N698" s="32"/>
      <c r="O698" s="32"/>
    </row>
    <row r="699" spans="1:15" customFormat="1" ht="12.75" customHeight="1">
      <c r="A699" s="30">
        <v>46103</v>
      </c>
      <c r="B699" s="29" t="str">
        <f t="shared" si="35"/>
        <v>일</v>
      </c>
      <c r="C699" s="29" t="s">
        <v>842</v>
      </c>
      <c r="D699" s="29" t="str">
        <f>VLOOKUP($C699,청소코드!$C$4:$J$188,3,FALSE)</f>
        <v>청광3차 806</v>
      </c>
      <c r="E699" s="29">
        <f>VLOOKUP($C699,청소코드!$C$4:$J$188,4,FALSE)</f>
        <v>1</v>
      </c>
      <c r="F699" s="29" t="s">
        <v>848</v>
      </c>
      <c r="G699" s="29"/>
      <c r="H699" s="29"/>
      <c r="I699" s="29" t="s">
        <v>865</v>
      </c>
      <c r="J699" s="47">
        <f t="shared" si="36"/>
        <v>18000</v>
      </c>
      <c r="K699" s="29">
        <f>VLOOKUP($C699,청소코드!$C$4:$J$188,8,FALSE)</f>
        <v>18000</v>
      </c>
      <c r="L699" s="32"/>
      <c r="M699" s="31"/>
      <c r="N699" s="32"/>
      <c r="O699" s="32"/>
    </row>
    <row r="700" spans="1:15" customFormat="1" ht="12.75" customHeight="1">
      <c r="A700" s="30">
        <v>46103</v>
      </c>
      <c r="B700" s="29" t="str">
        <f t="shared" si="35"/>
        <v>일</v>
      </c>
      <c r="C700" s="29" t="s">
        <v>843</v>
      </c>
      <c r="D700" s="29" t="str">
        <f>VLOOKUP($C700,청소코드!$C$4:$J$188,3,FALSE)</f>
        <v>하람휴 1001</v>
      </c>
      <c r="E700" s="29">
        <f>VLOOKUP($C700,청소코드!$C$4:$J$188,4,FALSE)</f>
        <v>2</v>
      </c>
      <c r="F700" s="29" t="s">
        <v>849</v>
      </c>
      <c r="G700" s="29"/>
      <c r="H700" s="29"/>
      <c r="I700" s="29" t="s">
        <v>865</v>
      </c>
      <c r="J700" s="47">
        <f t="shared" si="36"/>
        <v>23000</v>
      </c>
      <c r="K700" s="29">
        <f>VLOOKUP($C700,청소코드!$C$4:$J$188,8,FALSE)</f>
        <v>23000</v>
      </c>
      <c r="L700" s="32"/>
      <c r="M700" s="31"/>
      <c r="N700" s="32"/>
      <c r="O700" s="32"/>
    </row>
    <row r="701" spans="1:15" customFormat="1" ht="12.75" customHeight="1">
      <c r="A701" s="30">
        <v>46103</v>
      </c>
      <c r="B701" s="29" t="str">
        <f t="shared" ref="B701:B713" si="37">TEXT(A701,"aaa")</f>
        <v>일</v>
      </c>
      <c r="C701" s="29" t="s">
        <v>861</v>
      </c>
      <c r="D701" s="29" t="str">
        <f>VLOOKUP($C701,청소코드!$C$4:$J$188,3,FALSE)</f>
        <v>성우 402</v>
      </c>
      <c r="E701" s="29">
        <f>VLOOKUP($C701,청소코드!$C$4:$J$188,4,FALSE)</f>
        <v>3</v>
      </c>
      <c r="F701" s="29" t="s">
        <v>846</v>
      </c>
      <c r="G701" s="29"/>
      <c r="H701" s="29"/>
      <c r="I701" s="29" t="s">
        <v>865</v>
      </c>
      <c r="J701" s="47">
        <f t="shared" ref="J701:J713" si="38">SUM(K701:O701)</f>
        <v>30000</v>
      </c>
      <c r="K701" s="29">
        <f>VLOOKUP($C701,청소코드!$C$4:$J$188,8,FALSE)</f>
        <v>30000</v>
      </c>
      <c r="L701" s="32"/>
      <c r="M701" s="31"/>
      <c r="N701" s="32"/>
      <c r="O701" s="32"/>
    </row>
    <row r="702" spans="1:15" customFormat="1" ht="12.75" customHeight="1">
      <c r="A702" s="30">
        <v>46103</v>
      </c>
      <c r="B702" s="29" t="str">
        <f t="shared" si="37"/>
        <v>일</v>
      </c>
      <c r="C702" s="29" t="s">
        <v>830</v>
      </c>
      <c r="D702" s="29" t="str">
        <f>VLOOKUP($C702,청소코드!$C$4:$J$188,3,FALSE)</f>
        <v>성우 903</v>
      </c>
      <c r="E702" s="29">
        <f>VLOOKUP($C702,청소코드!$C$4:$J$188,4,FALSE)</f>
        <v>3</v>
      </c>
      <c r="F702" s="29" t="s">
        <v>846</v>
      </c>
      <c r="G702" s="29"/>
      <c r="H702" s="29"/>
      <c r="I702" s="29" t="s">
        <v>865</v>
      </c>
      <c r="J702" s="47">
        <f t="shared" si="38"/>
        <v>30000</v>
      </c>
      <c r="K702" s="29">
        <f>VLOOKUP($C702,청소코드!$C$4:$J$188,8,FALSE)</f>
        <v>30000</v>
      </c>
      <c r="L702" s="32"/>
      <c r="M702" s="31"/>
      <c r="N702" s="32"/>
      <c r="O702" s="32"/>
    </row>
    <row r="703" spans="1:15" customFormat="1" ht="12.75" customHeight="1">
      <c r="A703" s="30">
        <v>46103</v>
      </c>
      <c r="B703" s="29" t="str">
        <f t="shared" si="37"/>
        <v>일</v>
      </c>
      <c r="C703" s="29" t="s">
        <v>862</v>
      </c>
      <c r="D703" s="29" t="str">
        <f>VLOOKUP($C703,청소코드!$C$4:$J$188,3,FALSE)</f>
        <v>대치동 103호</v>
      </c>
      <c r="E703" s="29">
        <f>VLOOKUP($C703,청소코드!$C$4:$J$188,4,FALSE)</f>
        <v>1.5</v>
      </c>
      <c r="F703" s="29" t="s">
        <v>845</v>
      </c>
      <c r="G703" s="29" t="s">
        <v>864</v>
      </c>
      <c r="H703" s="29"/>
      <c r="I703" s="29" t="s">
        <v>865</v>
      </c>
      <c r="J703" s="47">
        <f t="shared" si="38"/>
        <v>25000</v>
      </c>
      <c r="K703" s="29">
        <f>VLOOKUP($C703,청소코드!$C$4:$J$188,8,FALSE)</f>
        <v>20000</v>
      </c>
      <c r="L703" s="32">
        <v>5000</v>
      </c>
      <c r="M703" s="31"/>
      <c r="N703" s="32"/>
      <c r="O703" s="32"/>
    </row>
    <row r="704" spans="1:15" customFormat="1" ht="12.75" customHeight="1">
      <c r="A704" s="30">
        <v>46103</v>
      </c>
      <c r="B704" s="29" t="str">
        <f t="shared" si="37"/>
        <v>일</v>
      </c>
      <c r="C704" s="29" t="s">
        <v>844</v>
      </c>
      <c r="D704" s="29" t="str">
        <f>VLOOKUP($C704,청소코드!$C$4:$J$188,3,FALSE)</f>
        <v>청광1차 207</v>
      </c>
      <c r="E704" s="29">
        <f>VLOOKUP($C704,청소코드!$C$4:$J$188,4,FALSE)</f>
        <v>0</v>
      </c>
      <c r="F704" s="29" t="s">
        <v>426</v>
      </c>
      <c r="G704" s="29"/>
      <c r="H704" s="29"/>
      <c r="I704" s="29" t="s">
        <v>865</v>
      </c>
      <c r="J704" s="47">
        <f t="shared" si="38"/>
        <v>10000</v>
      </c>
      <c r="K704" s="29">
        <f>VLOOKUP($C704,청소코드!$C$4:$J$188,8,FALSE)</f>
        <v>10000</v>
      </c>
      <c r="L704" s="32"/>
      <c r="M704" s="31"/>
      <c r="N704" s="32"/>
      <c r="O704" s="32"/>
    </row>
    <row r="705" spans="1:15" customFormat="1" ht="12.75" customHeight="1">
      <c r="A705" s="49">
        <v>46104</v>
      </c>
      <c r="B705" s="50" t="str">
        <f t="shared" si="37"/>
        <v>월</v>
      </c>
      <c r="C705" s="29" t="s">
        <v>336</v>
      </c>
      <c r="D705" s="29" t="str">
        <f>VLOOKUP($C705,청소코드!$C$4:$J$188,3,FALSE)</f>
        <v>예건 205</v>
      </c>
      <c r="E705" s="29">
        <f>VLOOKUP($C705,청소코드!$C$4:$J$188,4,FALSE)</f>
        <v>1</v>
      </c>
      <c r="F705" s="29" t="s">
        <v>429</v>
      </c>
      <c r="G705" s="29"/>
      <c r="H705" s="29"/>
      <c r="I705" s="29" t="s">
        <v>431</v>
      </c>
      <c r="J705" s="47">
        <f t="shared" si="38"/>
        <v>18000</v>
      </c>
      <c r="K705" s="29">
        <f>VLOOKUP($C705,청소코드!$C$4:$J$188,8,FALSE)</f>
        <v>18000</v>
      </c>
      <c r="L705" s="32"/>
      <c r="M705" s="31"/>
      <c r="N705" s="32"/>
      <c r="O705" s="32"/>
    </row>
    <row r="706" spans="1:15" customFormat="1" ht="12.75" customHeight="1">
      <c r="A706" s="30">
        <v>46104</v>
      </c>
      <c r="B706" s="29" t="str">
        <f t="shared" si="37"/>
        <v>월</v>
      </c>
      <c r="C706" s="29" t="s">
        <v>497</v>
      </c>
      <c r="D706" s="29" t="str">
        <f>VLOOKUP($C706,청소코드!$C$4:$J$188,3,FALSE)</f>
        <v>더하임 1005</v>
      </c>
      <c r="E706" s="29">
        <f>VLOOKUP($C706,청소코드!$C$4:$J$188,4,FALSE)</f>
        <v>1</v>
      </c>
      <c r="F706" s="29" t="s">
        <v>401</v>
      </c>
      <c r="G706" s="29"/>
      <c r="H706" s="29"/>
      <c r="I706" s="29" t="s">
        <v>431</v>
      </c>
      <c r="J706" s="47">
        <f t="shared" si="38"/>
        <v>18000</v>
      </c>
      <c r="K706" s="29">
        <f>VLOOKUP($C706,청소코드!$C$4:$J$188,8,FALSE)</f>
        <v>18000</v>
      </c>
      <c r="L706" s="32"/>
      <c r="M706" s="31"/>
      <c r="N706" s="32"/>
      <c r="O706" s="32"/>
    </row>
    <row r="707" spans="1:15" customFormat="1" ht="12.75" customHeight="1">
      <c r="A707" s="30">
        <v>46104</v>
      </c>
      <c r="B707" s="29" t="str">
        <f t="shared" si="37"/>
        <v>월</v>
      </c>
      <c r="C707" s="29" t="s">
        <v>364</v>
      </c>
      <c r="D707" s="29" t="str">
        <f>VLOOKUP($C707,청소코드!$C$4:$J$188,3,FALSE)</f>
        <v>더하임 305</v>
      </c>
      <c r="E707" s="29">
        <f>VLOOKUP($C707,청소코드!$C$4:$J$188,4,FALSE)</f>
        <v>1</v>
      </c>
      <c r="F707" s="29" t="s">
        <v>401</v>
      </c>
      <c r="G707" s="29"/>
      <c r="H707" s="29"/>
      <c r="I707" s="29" t="s">
        <v>431</v>
      </c>
      <c r="J707" s="47">
        <f t="shared" si="38"/>
        <v>18000</v>
      </c>
      <c r="K707" s="29">
        <f>VLOOKUP($C707,청소코드!$C$4:$J$188,8,FALSE)</f>
        <v>18000</v>
      </c>
      <c r="L707" s="32"/>
      <c r="M707" s="31"/>
      <c r="N707" s="32"/>
      <c r="O707" s="32"/>
    </row>
    <row r="708" spans="1:15" customFormat="1" ht="12.75" customHeight="1">
      <c r="A708" s="30">
        <v>46104</v>
      </c>
      <c r="B708" s="29" t="str">
        <f t="shared" si="37"/>
        <v>월</v>
      </c>
      <c r="C708" s="29" t="s">
        <v>291</v>
      </c>
      <c r="D708" s="29" t="str">
        <f>VLOOKUP($C708,청소코드!$C$4:$J$188,3,FALSE)</f>
        <v>한양립스 503</v>
      </c>
      <c r="E708" s="29">
        <f>VLOOKUP($C708,청소코드!$C$4:$J$188,4,FALSE)</f>
        <v>1</v>
      </c>
      <c r="F708" s="29" t="s">
        <v>426</v>
      </c>
      <c r="G708" s="29"/>
      <c r="H708" s="29"/>
      <c r="I708" s="29" t="s">
        <v>431</v>
      </c>
      <c r="J708" s="47">
        <f t="shared" si="38"/>
        <v>18000</v>
      </c>
      <c r="K708" s="29">
        <f>VLOOKUP($C708,청소코드!$C$4:$J$188,8,FALSE)</f>
        <v>18000</v>
      </c>
      <c r="L708" s="32"/>
      <c r="M708" s="31"/>
      <c r="N708" s="32"/>
      <c r="O708" s="32"/>
    </row>
    <row r="709" spans="1:15" customFormat="1" ht="12.75" customHeight="1">
      <c r="A709" s="30">
        <v>46104</v>
      </c>
      <c r="B709" s="29" t="str">
        <f t="shared" si="37"/>
        <v>월</v>
      </c>
      <c r="C709" s="29" t="s">
        <v>292</v>
      </c>
      <c r="D709" s="29" t="str">
        <f>VLOOKUP($C709,청소코드!$C$4:$J$188,3,FALSE)</f>
        <v>오앤 401</v>
      </c>
      <c r="E709" s="29">
        <f>VLOOKUP($C709,청소코드!$C$4:$J$188,4,FALSE)</f>
        <v>1</v>
      </c>
      <c r="F709" s="29" t="s">
        <v>437</v>
      </c>
      <c r="G709" s="29"/>
      <c r="H709" s="29"/>
      <c r="I709" s="29" t="s">
        <v>431</v>
      </c>
      <c r="J709" s="47">
        <f t="shared" si="38"/>
        <v>18000</v>
      </c>
      <c r="K709" s="29">
        <f>VLOOKUP($C709,청소코드!$C$4:$J$188,8,FALSE)</f>
        <v>18000</v>
      </c>
      <c r="L709" s="32"/>
      <c r="M709" s="31"/>
      <c r="N709" s="32"/>
      <c r="O709" s="32"/>
    </row>
    <row r="710" spans="1:15" customFormat="1" ht="12.75" customHeight="1">
      <c r="A710" s="30">
        <v>46104</v>
      </c>
      <c r="B710" s="29" t="str">
        <f t="shared" si="37"/>
        <v>월</v>
      </c>
      <c r="C710" s="29" t="s">
        <v>339</v>
      </c>
      <c r="D710" s="29" t="str">
        <f>VLOOKUP($C710,청소코드!$C$4:$J$188,3,FALSE)</f>
        <v>센텀 2차 606</v>
      </c>
      <c r="E710" s="29">
        <f>VLOOKUP($C710,청소코드!$C$4:$J$188,4,FALSE)</f>
        <v>1.5</v>
      </c>
      <c r="F710" s="29" t="s">
        <v>437</v>
      </c>
      <c r="G710" s="29"/>
      <c r="H710" s="29"/>
      <c r="I710" s="29" t="s">
        <v>431</v>
      </c>
      <c r="J710" s="47">
        <f t="shared" si="38"/>
        <v>20000</v>
      </c>
      <c r="K710" s="29">
        <f>VLOOKUP($C710,청소코드!$C$4:$J$188,8,FALSE)</f>
        <v>20000</v>
      </c>
      <c r="L710" s="32"/>
      <c r="M710" s="31"/>
      <c r="N710" s="32"/>
      <c r="O710" s="32"/>
    </row>
    <row r="711" spans="1:15" customFormat="1" ht="12.75" customHeight="1">
      <c r="A711" s="30">
        <v>46104</v>
      </c>
      <c r="B711" s="29" t="str">
        <f t="shared" si="37"/>
        <v>월</v>
      </c>
      <c r="C711" s="29" t="s">
        <v>369</v>
      </c>
      <c r="D711" s="29" t="str">
        <f>VLOOKUP($C711,청소코드!$C$4:$J$188,3,FALSE)</f>
        <v>성우 402</v>
      </c>
      <c r="E711" s="29">
        <f>VLOOKUP($C711,청소코드!$C$4:$J$188,4,FALSE)</f>
        <v>3</v>
      </c>
      <c r="F711" s="29" t="s">
        <v>438</v>
      </c>
      <c r="G711" s="29"/>
      <c r="H711" s="29"/>
      <c r="I711" s="29" t="s">
        <v>431</v>
      </c>
      <c r="J711" s="47">
        <f t="shared" si="38"/>
        <v>30000</v>
      </c>
      <c r="K711" s="29">
        <f>VLOOKUP($C711,청소코드!$C$4:$J$188,8,FALSE)</f>
        <v>30000</v>
      </c>
      <c r="L711" s="32"/>
      <c r="M711" s="31"/>
      <c r="N711" s="32"/>
      <c r="O711" s="32"/>
    </row>
    <row r="712" spans="1:15" customFormat="1" ht="12.75" customHeight="1">
      <c r="A712" s="30">
        <v>46104</v>
      </c>
      <c r="B712" s="29" t="str">
        <f t="shared" si="37"/>
        <v>월</v>
      </c>
      <c r="C712" s="29" t="s">
        <v>393</v>
      </c>
      <c r="D712" s="29" t="str">
        <f>VLOOKUP($C712,청소코드!$C$4:$J$188,3,FALSE)</f>
        <v>대치동 103호</v>
      </c>
      <c r="E712" s="29">
        <f>VLOOKUP($C712,청소코드!$C$4:$J$188,4,FALSE)</f>
        <v>1.5</v>
      </c>
      <c r="F712" s="29" t="s">
        <v>499</v>
      </c>
      <c r="G712" s="29"/>
      <c r="H712" s="29"/>
      <c r="I712" s="29" t="s">
        <v>439</v>
      </c>
      <c r="J712" s="47">
        <f t="shared" si="38"/>
        <v>20000</v>
      </c>
      <c r="K712" s="29">
        <f>VLOOKUP($C712,청소코드!$C$4:$J$188,8,FALSE)</f>
        <v>20000</v>
      </c>
      <c r="L712" s="32"/>
      <c r="M712" s="31"/>
      <c r="N712" s="32"/>
      <c r="O712" s="32"/>
    </row>
    <row r="713" spans="1:15" customFormat="1" ht="12.75" customHeight="1">
      <c r="A713" s="30">
        <v>46104</v>
      </c>
      <c r="B713" s="29" t="str">
        <f t="shared" si="37"/>
        <v>월</v>
      </c>
      <c r="C713" s="29" t="s">
        <v>416</v>
      </c>
      <c r="D713" s="29" t="str">
        <f>VLOOKUP($C713,청소코드!$C$4:$J$188,3,FALSE)</f>
        <v>청광1차 207</v>
      </c>
      <c r="E713" s="29">
        <f>VLOOKUP($C713,청소코드!$C$4:$J$188,4,FALSE)</f>
        <v>0</v>
      </c>
      <c r="F713" s="29" t="s">
        <v>426</v>
      </c>
      <c r="G713" s="29"/>
      <c r="H713" s="29"/>
      <c r="I713" s="29" t="s">
        <v>431</v>
      </c>
      <c r="J713" s="47">
        <f t="shared" si="38"/>
        <v>10000</v>
      </c>
      <c r="K713" s="29">
        <f>VLOOKUP($C713,청소코드!$C$4:$J$188,8,FALSE)</f>
        <v>10000</v>
      </c>
      <c r="L713" s="32"/>
      <c r="M713" s="31"/>
      <c r="N713" s="32"/>
      <c r="O713" s="32"/>
    </row>
    <row r="714" spans="1:15" customFormat="1" ht="12.75" customHeight="1">
      <c r="A714" s="49">
        <v>46105</v>
      </c>
      <c r="B714" s="50" t="str">
        <f t="shared" ref="B714:B745" si="39">TEXT(A714,"aaa")</f>
        <v>화</v>
      </c>
      <c r="C714" s="29" t="s">
        <v>336</v>
      </c>
      <c r="D714" s="29" t="str">
        <f>VLOOKUP($C714,청소코드!$C$4:$J$188,3,FALSE)</f>
        <v>예건 205</v>
      </c>
      <c r="E714" s="29">
        <f>VLOOKUP($C714,청소코드!$C$4:$J$188,4,FALSE)</f>
        <v>1</v>
      </c>
      <c r="F714" s="29" t="s">
        <v>401</v>
      </c>
      <c r="G714" s="29"/>
      <c r="H714" s="29"/>
      <c r="I714" s="29" t="s">
        <v>431</v>
      </c>
      <c r="J714" s="47">
        <f t="shared" ref="J714:J745" si="40">SUM(K714:O714)</f>
        <v>18000</v>
      </c>
      <c r="K714" s="29">
        <f>VLOOKUP($C714,청소코드!$C$4:$J$188,8,FALSE)</f>
        <v>18000</v>
      </c>
      <c r="L714" s="32"/>
      <c r="M714" s="31"/>
      <c r="N714" s="32"/>
      <c r="O714" s="32"/>
    </row>
    <row r="715" spans="1:15" customFormat="1" ht="12.75" customHeight="1">
      <c r="A715" s="30">
        <v>46105</v>
      </c>
      <c r="B715" s="29" t="str">
        <f t="shared" si="39"/>
        <v>화</v>
      </c>
      <c r="C715" s="29" t="s">
        <v>371</v>
      </c>
      <c r="D715" s="29" t="str">
        <f>VLOOKUP($C715,청소코드!$C$4:$J$188,3,FALSE)</f>
        <v>예건 602</v>
      </c>
      <c r="E715" s="29">
        <f>VLOOKUP($C715,청소코드!$C$4:$J$188,4,FALSE)</f>
        <v>1</v>
      </c>
      <c r="F715" s="29" t="s">
        <v>438</v>
      </c>
      <c r="G715" s="29"/>
      <c r="H715" s="29"/>
      <c r="I715" s="29" t="s">
        <v>431</v>
      </c>
      <c r="J715" s="47">
        <f t="shared" si="40"/>
        <v>18000</v>
      </c>
      <c r="K715" s="29">
        <f>VLOOKUP($C715,청소코드!$C$4:$J$188,8,FALSE)</f>
        <v>18000</v>
      </c>
      <c r="L715" s="32"/>
      <c r="M715" s="31"/>
      <c r="N715" s="32"/>
      <c r="O715" s="32"/>
    </row>
    <row r="716" spans="1:15" customFormat="1" ht="12.75" customHeight="1">
      <c r="A716" s="30">
        <v>46105</v>
      </c>
      <c r="B716" s="29" t="str">
        <f t="shared" si="39"/>
        <v>화</v>
      </c>
      <c r="C716" s="29" t="s">
        <v>373</v>
      </c>
      <c r="D716" s="29" t="str">
        <f>VLOOKUP($C716,청소코드!$C$4:$J$188,3,FALSE)</f>
        <v>더하임 204</v>
      </c>
      <c r="E716" s="29">
        <f>VLOOKUP($C716,청소코드!$C$4:$J$188,4,FALSE)</f>
        <v>1</v>
      </c>
      <c r="F716" s="29" t="s">
        <v>426</v>
      </c>
      <c r="G716" s="29"/>
      <c r="H716" s="29"/>
      <c r="I716" s="29" t="s">
        <v>431</v>
      </c>
      <c r="J716" s="47">
        <f t="shared" si="40"/>
        <v>18000</v>
      </c>
      <c r="K716" s="29">
        <f>VLOOKUP($C716,청소코드!$C$4:$J$188,8,FALSE)</f>
        <v>18000</v>
      </c>
      <c r="L716" s="32"/>
      <c r="M716" s="31"/>
      <c r="N716" s="32"/>
      <c r="O716" s="32"/>
    </row>
    <row r="717" spans="1:15" customFormat="1" ht="12.75" customHeight="1">
      <c r="A717" s="30">
        <v>46105</v>
      </c>
      <c r="B717" s="29" t="str">
        <f t="shared" si="39"/>
        <v>화</v>
      </c>
      <c r="C717" s="29" t="s">
        <v>364</v>
      </c>
      <c r="D717" s="29" t="str">
        <f>VLOOKUP($C717,청소코드!$C$4:$J$188,3,FALSE)</f>
        <v>더하임 305</v>
      </c>
      <c r="E717" s="29">
        <f>VLOOKUP($C717,청소코드!$C$4:$J$188,4,FALSE)</f>
        <v>1</v>
      </c>
      <c r="F717" s="29" t="s">
        <v>426</v>
      </c>
      <c r="G717" s="29"/>
      <c r="H717" s="29"/>
      <c r="I717" s="29" t="s">
        <v>431</v>
      </c>
      <c r="J717" s="47">
        <f t="shared" si="40"/>
        <v>18000</v>
      </c>
      <c r="K717" s="29">
        <f>VLOOKUP($C717,청소코드!$C$4:$J$188,8,FALSE)</f>
        <v>18000</v>
      </c>
      <c r="L717" s="32"/>
      <c r="M717" s="31"/>
      <c r="N717" s="32"/>
      <c r="O717" s="32"/>
    </row>
    <row r="718" spans="1:15" customFormat="1" ht="12.75" customHeight="1">
      <c r="A718" s="30">
        <v>46105</v>
      </c>
      <c r="B718" s="29" t="str">
        <f t="shared" si="39"/>
        <v>화</v>
      </c>
      <c r="C718" s="29" t="s">
        <v>360</v>
      </c>
      <c r="D718" s="29" t="str">
        <f>VLOOKUP($C718,청소코드!$C$4:$J$188,3,FALSE)</f>
        <v>더하임 306</v>
      </c>
      <c r="E718" s="29">
        <f>VLOOKUP($C718,청소코드!$C$4:$J$188,4,FALSE)</f>
        <v>1.5</v>
      </c>
      <c r="F718" s="29" t="s">
        <v>429</v>
      </c>
      <c r="G718" s="29"/>
      <c r="H718" s="29"/>
      <c r="I718" s="29" t="s">
        <v>439</v>
      </c>
      <c r="J718" s="47">
        <f t="shared" si="40"/>
        <v>50000</v>
      </c>
      <c r="K718" s="29">
        <f>VLOOKUP($C718,청소코드!$C$4:$J$188,8,FALSE)</f>
        <v>20000</v>
      </c>
      <c r="L718" s="32">
        <v>30000</v>
      </c>
      <c r="M718" s="31"/>
      <c r="N718" s="32"/>
      <c r="O718" s="32"/>
    </row>
    <row r="719" spans="1:15" customFormat="1" ht="12.75" customHeight="1">
      <c r="A719" s="30">
        <v>46105</v>
      </c>
      <c r="B719" s="29" t="str">
        <f t="shared" si="39"/>
        <v>화</v>
      </c>
      <c r="C719" s="29" t="s">
        <v>287</v>
      </c>
      <c r="D719" s="29" t="str">
        <f>VLOOKUP($C719,청소코드!$C$4:$J$188,3,FALSE)</f>
        <v>청광3차 1412</v>
      </c>
      <c r="E719" s="29">
        <f>VLOOKUP($C719,청소코드!$C$4:$J$188,4,FALSE)</f>
        <v>1</v>
      </c>
      <c r="F719" s="29" t="s">
        <v>449</v>
      </c>
      <c r="G719" s="29"/>
      <c r="H719" s="29"/>
      <c r="I719" s="29" t="s">
        <v>431</v>
      </c>
      <c r="J719" s="47">
        <f t="shared" si="40"/>
        <v>18000</v>
      </c>
      <c r="K719" s="29">
        <f>VLOOKUP($C719,청소코드!$C$4:$J$188,8,FALSE)</f>
        <v>18000</v>
      </c>
      <c r="L719" s="32"/>
      <c r="M719" s="31"/>
      <c r="N719" s="32"/>
      <c r="O719" s="32"/>
    </row>
    <row r="720" spans="1:15" customFormat="1" ht="12.75" customHeight="1">
      <c r="A720" s="30">
        <v>46105</v>
      </c>
      <c r="B720" s="29" t="str">
        <f t="shared" si="39"/>
        <v>화</v>
      </c>
      <c r="C720" s="29" t="s">
        <v>315</v>
      </c>
      <c r="D720" s="29" t="str">
        <f>VLOOKUP($C720,청소코드!$C$4:$J$188,3,FALSE)</f>
        <v>동구햇살 1203</v>
      </c>
      <c r="E720" s="29" t="str">
        <f>VLOOKUP($C720,청소코드!$C$4:$J$188,4,FALSE)</f>
        <v>복</v>
      </c>
      <c r="F720" s="29" t="s">
        <v>449</v>
      </c>
      <c r="G720" s="29"/>
      <c r="H720" s="29"/>
      <c r="I720" s="29" t="s">
        <v>431</v>
      </c>
      <c r="J720" s="47">
        <f t="shared" si="40"/>
        <v>20000</v>
      </c>
      <c r="K720" s="29">
        <f>VLOOKUP($C720,청소코드!$C$4:$J$188,8,FALSE)</f>
        <v>20000</v>
      </c>
      <c r="L720" s="32"/>
      <c r="M720" s="31"/>
      <c r="N720" s="32"/>
      <c r="O720" s="32"/>
    </row>
    <row r="721" spans="1:15" customFormat="1" ht="12.75" customHeight="1">
      <c r="A721" s="30">
        <v>46105</v>
      </c>
      <c r="B721" s="29" t="str">
        <f t="shared" si="39"/>
        <v>화</v>
      </c>
      <c r="C721" s="29" t="s">
        <v>416</v>
      </c>
      <c r="D721" s="29" t="str">
        <f>VLOOKUP($C721,청소코드!$C$4:$J$188,3,FALSE)</f>
        <v>청광1차 207</v>
      </c>
      <c r="E721" s="29">
        <f>VLOOKUP($C721,청소코드!$C$4:$J$188,4,FALSE)</f>
        <v>0</v>
      </c>
      <c r="F721" s="29" t="s">
        <v>426</v>
      </c>
      <c r="G721" s="29"/>
      <c r="H721" s="29"/>
      <c r="I721" s="29" t="s">
        <v>439</v>
      </c>
      <c r="J721" s="47">
        <f t="shared" si="40"/>
        <v>10000</v>
      </c>
      <c r="K721" s="29">
        <f>VLOOKUP($C721,청소코드!$C$4:$J$188,8,FALSE)</f>
        <v>10000</v>
      </c>
      <c r="L721" s="32"/>
      <c r="M721" s="31"/>
      <c r="N721" s="32"/>
      <c r="O721" s="32"/>
    </row>
    <row r="722" spans="1:15" customFormat="1" ht="12.75" customHeight="1">
      <c r="A722" s="49">
        <v>46106</v>
      </c>
      <c r="B722" s="50" t="str">
        <f t="shared" si="39"/>
        <v>수</v>
      </c>
      <c r="C722" s="29" t="s">
        <v>393</v>
      </c>
      <c r="D722" s="29" t="str">
        <f>VLOOKUP($C722,청소코드!$C$4:$J$188,3,FALSE)</f>
        <v>대치동 103호</v>
      </c>
      <c r="E722" s="29">
        <f>VLOOKUP($C722,청소코드!$C$4:$J$188,4,FALSE)</f>
        <v>1.5</v>
      </c>
      <c r="F722" s="29" t="s">
        <v>499</v>
      </c>
      <c r="G722" s="29"/>
      <c r="H722" s="29"/>
      <c r="I722" s="29" t="s">
        <v>877</v>
      </c>
      <c r="J722" s="47">
        <f t="shared" si="40"/>
        <v>20000</v>
      </c>
      <c r="K722" s="29">
        <f>VLOOKUP($C722,청소코드!$C$4:$J$188,8,FALSE)</f>
        <v>20000</v>
      </c>
      <c r="L722" s="32"/>
      <c r="M722" s="31"/>
      <c r="N722" s="32"/>
      <c r="O722" s="32"/>
    </row>
    <row r="723" spans="1:15" customFormat="1" ht="12.75" customHeight="1">
      <c r="A723" s="30">
        <v>46106</v>
      </c>
      <c r="B723" s="29" t="str">
        <f t="shared" si="39"/>
        <v>수</v>
      </c>
      <c r="C723" s="29" t="s">
        <v>417</v>
      </c>
      <c r="D723" s="29" t="str">
        <f>VLOOKUP($C723,청소코드!$C$4:$J$188,3,FALSE)</f>
        <v>더하임 504</v>
      </c>
      <c r="E723" s="29">
        <f>VLOOKUP($C723,청소코드!$C$4:$J$188,4,FALSE)</f>
        <v>1</v>
      </c>
      <c r="F723" s="29" t="s">
        <v>452</v>
      </c>
      <c r="G723" s="29"/>
      <c r="H723" s="29"/>
      <c r="I723" s="29" t="s">
        <v>431</v>
      </c>
      <c r="J723" s="47">
        <f t="shared" si="40"/>
        <v>18000</v>
      </c>
      <c r="K723" s="29">
        <f>VLOOKUP($C723,청소코드!$C$4:$J$188,8,FALSE)</f>
        <v>18000</v>
      </c>
      <c r="L723" s="32"/>
      <c r="M723" s="31"/>
      <c r="N723" s="32"/>
      <c r="O723" s="32"/>
    </row>
    <row r="724" spans="1:15" customFormat="1" ht="12.75" customHeight="1">
      <c r="A724" s="30">
        <v>46106</v>
      </c>
      <c r="B724" s="29" t="str">
        <f t="shared" si="39"/>
        <v>수</v>
      </c>
      <c r="C724" s="29" t="s">
        <v>364</v>
      </c>
      <c r="D724" s="29" t="str">
        <f>VLOOKUP($C724,청소코드!$C$4:$J$188,3,FALSE)</f>
        <v>더하임 305</v>
      </c>
      <c r="E724" s="29">
        <f>VLOOKUP($C724,청소코드!$C$4:$J$188,4,FALSE)</f>
        <v>1</v>
      </c>
      <c r="F724" s="29" t="s">
        <v>452</v>
      </c>
      <c r="G724" s="29"/>
      <c r="H724" s="29"/>
      <c r="I724" s="29" t="s">
        <v>431</v>
      </c>
      <c r="J724" s="47">
        <f t="shared" si="40"/>
        <v>18000</v>
      </c>
      <c r="K724" s="29">
        <f>VLOOKUP($C724,청소코드!$C$4:$J$188,8,FALSE)</f>
        <v>18000</v>
      </c>
      <c r="L724" s="32"/>
      <c r="M724" s="31"/>
      <c r="N724" s="32"/>
      <c r="O724" s="32"/>
    </row>
    <row r="725" spans="1:15" customFormat="1" ht="12.75" customHeight="1">
      <c r="A725" s="30">
        <v>46106</v>
      </c>
      <c r="B725" s="29" t="str">
        <f t="shared" si="39"/>
        <v>수</v>
      </c>
      <c r="C725" s="29" t="s">
        <v>361</v>
      </c>
      <c r="D725" s="29" t="str">
        <f>VLOOKUP($C725,청소코드!$C$4:$J$188,3,FALSE)</f>
        <v>더하임 506</v>
      </c>
      <c r="E725" s="29">
        <f>VLOOKUP($C725,청소코드!$C$4:$J$188,4,FALSE)</f>
        <v>1.5</v>
      </c>
      <c r="F725" s="29" t="s">
        <v>452</v>
      </c>
      <c r="G725" s="29"/>
      <c r="H725" s="29"/>
      <c r="I725" s="29" t="s">
        <v>431</v>
      </c>
      <c r="J725" s="47">
        <f t="shared" si="40"/>
        <v>20000</v>
      </c>
      <c r="K725" s="29">
        <f>VLOOKUP($C725,청소코드!$C$4:$J$188,8,FALSE)</f>
        <v>20000</v>
      </c>
      <c r="L725" s="32"/>
      <c r="M725" s="31"/>
      <c r="N725" s="32"/>
      <c r="O725" s="32"/>
    </row>
    <row r="726" spans="1:15" customFormat="1" ht="12.75" customHeight="1">
      <c r="A726" s="30">
        <v>46106</v>
      </c>
      <c r="B726" s="29" t="str">
        <f t="shared" si="39"/>
        <v>수</v>
      </c>
      <c r="C726" s="29" t="s">
        <v>370</v>
      </c>
      <c r="D726" s="29" t="str">
        <f>VLOOKUP($C726,청소코드!$C$4:$J$188,3,FALSE)</f>
        <v>성우 903</v>
      </c>
      <c r="E726" s="29">
        <f>VLOOKUP($C726,청소코드!$C$4:$J$188,4,FALSE)</f>
        <v>3</v>
      </c>
      <c r="F726" s="29" t="s">
        <v>429</v>
      </c>
      <c r="G726" s="29"/>
      <c r="H726" s="29"/>
      <c r="I726" s="29" t="s">
        <v>431</v>
      </c>
      <c r="J726" s="47">
        <f t="shared" si="40"/>
        <v>30000</v>
      </c>
      <c r="K726" s="29">
        <f>VLOOKUP($C726,청소코드!$C$4:$J$188,8,FALSE)</f>
        <v>30000</v>
      </c>
      <c r="L726" s="32"/>
      <c r="M726" s="31"/>
      <c r="N726" s="32"/>
      <c r="O726" s="32"/>
    </row>
    <row r="727" spans="1:15" customFormat="1" ht="12.75" customHeight="1">
      <c r="A727" s="30">
        <v>46106</v>
      </c>
      <c r="B727" s="29" t="str">
        <f t="shared" si="39"/>
        <v>수</v>
      </c>
      <c r="C727" s="29" t="s">
        <v>287</v>
      </c>
      <c r="D727" s="29" t="str">
        <f>VLOOKUP($C727,청소코드!$C$4:$J$188,3,FALSE)</f>
        <v>청광3차 1412</v>
      </c>
      <c r="E727" s="29">
        <f>VLOOKUP($C727,청소코드!$C$4:$J$188,4,FALSE)</f>
        <v>1</v>
      </c>
      <c r="F727" s="29" t="s">
        <v>449</v>
      </c>
      <c r="G727" s="29"/>
      <c r="H727" s="29"/>
      <c r="I727" s="29" t="s">
        <v>431</v>
      </c>
      <c r="J727" s="47">
        <f t="shared" si="40"/>
        <v>18000</v>
      </c>
      <c r="K727" s="29">
        <f>VLOOKUP($C727,청소코드!$C$4:$J$188,8,FALSE)</f>
        <v>18000</v>
      </c>
      <c r="L727" s="32"/>
      <c r="M727" s="31"/>
      <c r="N727" s="32"/>
      <c r="O727" s="32"/>
    </row>
    <row r="728" spans="1:15" customFormat="1" ht="12.75" customHeight="1">
      <c r="A728" s="30">
        <v>46106</v>
      </c>
      <c r="B728" s="29" t="str">
        <f t="shared" si="39"/>
        <v>수</v>
      </c>
      <c r="C728" s="29" t="s">
        <v>315</v>
      </c>
      <c r="D728" s="29" t="str">
        <f>VLOOKUP($C728,청소코드!$C$4:$J$188,3,FALSE)</f>
        <v>동구햇살 1203</v>
      </c>
      <c r="E728" s="29" t="str">
        <f>VLOOKUP($C728,청소코드!$C$4:$J$188,4,FALSE)</f>
        <v>복</v>
      </c>
      <c r="F728" s="29" t="s">
        <v>449</v>
      </c>
      <c r="G728" s="29"/>
      <c r="H728" s="29"/>
      <c r="I728" s="29" t="s">
        <v>431</v>
      </c>
      <c r="J728" s="47">
        <f t="shared" si="40"/>
        <v>20000</v>
      </c>
      <c r="K728" s="29">
        <f>VLOOKUP($C728,청소코드!$C$4:$J$188,8,FALSE)</f>
        <v>20000</v>
      </c>
      <c r="L728" s="32"/>
      <c r="M728" s="31"/>
      <c r="N728" s="32"/>
      <c r="O728" s="32"/>
    </row>
    <row r="729" spans="1:15" customFormat="1" ht="12.75" customHeight="1">
      <c r="A729" s="30">
        <v>46106</v>
      </c>
      <c r="B729" s="29" t="str">
        <f t="shared" si="39"/>
        <v>수</v>
      </c>
      <c r="C729" s="29" t="s">
        <v>291</v>
      </c>
      <c r="D729" s="29" t="str">
        <f>VLOOKUP($C729,청소코드!$C$4:$J$188,3,FALSE)</f>
        <v>한양립스 503</v>
      </c>
      <c r="E729" s="29">
        <f>VLOOKUP($C729,청소코드!$C$4:$J$188,4,FALSE)</f>
        <v>1</v>
      </c>
      <c r="F729" s="29" t="s">
        <v>426</v>
      </c>
      <c r="G729" s="29"/>
      <c r="H729" s="29"/>
      <c r="I729" s="29" t="s">
        <v>431</v>
      </c>
      <c r="J729" s="47">
        <f t="shared" si="40"/>
        <v>18000</v>
      </c>
      <c r="K729" s="29">
        <f>VLOOKUP($C729,청소코드!$C$4:$J$188,8,FALSE)</f>
        <v>18000</v>
      </c>
      <c r="L729" s="32"/>
      <c r="M729" s="31"/>
      <c r="N729" s="32"/>
      <c r="O729" s="32"/>
    </row>
    <row r="730" spans="1:15" customFormat="1" ht="12.75" customHeight="1">
      <c r="A730" s="30">
        <v>46106</v>
      </c>
      <c r="B730" s="29" t="str">
        <f t="shared" si="39"/>
        <v>수</v>
      </c>
      <c r="C730" s="29" t="s">
        <v>416</v>
      </c>
      <c r="D730" s="29" t="str">
        <f>VLOOKUP($C730,청소코드!$C$4:$J$188,3,FALSE)</f>
        <v>청광1차 207</v>
      </c>
      <c r="E730" s="29">
        <f>VLOOKUP($C730,청소코드!$C$4:$J$188,4,FALSE)</f>
        <v>0</v>
      </c>
      <c r="F730" s="29" t="s">
        <v>426</v>
      </c>
      <c r="G730" s="29"/>
      <c r="H730" s="29"/>
      <c r="I730" s="29" t="s">
        <v>431</v>
      </c>
      <c r="J730" s="47">
        <f t="shared" si="40"/>
        <v>10000</v>
      </c>
      <c r="K730" s="29">
        <f>VLOOKUP($C730,청소코드!$C$4:$J$188,8,FALSE)</f>
        <v>10000</v>
      </c>
      <c r="L730" s="32"/>
      <c r="M730" s="31"/>
      <c r="N730" s="32"/>
      <c r="O730" s="32"/>
    </row>
    <row r="731" spans="1:15" customFormat="1" ht="12.75" customHeight="1">
      <c r="A731" s="30">
        <v>46106</v>
      </c>
      <c r="B731" s="29" t="str">
        <f t="shared" si="39"/>
        <v>수</v>
      </c>
      <c r="C731" s="29" t="s">
        <v>869</v>
      </c>
      <c r="D731" s="29" t="str">
        <f>VLOOKUP($C731,청소코드!$C$4:$J$188,3,FALSE)</f>
        <v>더하임 904</v>
      </c>
      <c r="E731" s="29">
        <f>VLOOKUP($C731,청소코드!$C$4:$J$188,4,FALSE)</f>
        <v>1</v>
      </c>
      <c r="F731" s="29" t="s">
        <v>452</v>
      </c>
      <c r="G731" s="29"/>
      <c r="H731" s="29"/>
      <c r="I731" s="29" t="s">
        <v>431</v>
      </c>
      <c r="J731" s="47">
        <f t="shared" si="40"/>
        <v>18000</v>
      </c>
      <c r="K731" s="29">
        <f>VLOOKUP($C731,청소코드!$C$4:$J$188,8,FALSE)</f>
        <v>18000</v>
      </c>
      <c r="L731" s="32"/>
      <c r="M731" s="31"/>
      <c r="N731" s="32"/>
      <c r="O731" s="32"/>
    </row>
    <row r="732" spans="1:15" customFormat="1" ht="12.75" customHeight="1">
      <c r="A732" s="49">
        <v>46107</v>
      </c>
      <c r="B732" s="50" t="str">
        <f t="shared" si="39"/>
        <v>목</v>
      </c>
      <c r="C732" s="29" t="s">
        <v>417</v>
      </c>
      <c r="D732" s="29" t="str">
        <f>VLOOKUP($C732,청소코드!$C$4:$J$188,3,FALSE)</f>
        <v>더하임 504</v>
      </c>
      <c r="E732" s="29">
        <f>VLOOKUP($C732,청소코드!$C$4:$J$188,4,FALSE)</f>
        <v>1</v>
      </c>
      <c r="F732" s="29" t="s">
        <v>437</v>
      </c>
      <c r="G732" s="29"/>
      <c r="H732" s="29"/>
      <c r="I732" s="29" t="s">
        <v>439</v>
      </c>
      <c r="J732" s="47">
        <f t="shared" si="40"/>
        <v>18000</v>
      </c>
      <c r="K732" s="29">
        <f>VLOOKUP($C732,청소코드!$C$4:$J$188,8,FALSE)</f>
        <v>18000</v>
      </c>
      <c r="L732" s="32"/>
      <c r="M732" s="31"/>
      <c r="N732" s="32"/>
      <c r="O732" s="32"/>
    </row>
    <row r="733" spans="1:15" customFormat="1" ht="12.75" customHeight="1">
      <c r="A733" s="30">
        <v>46107</v>
      </c>
      <c r="B733" s="29" t="str">
        <f t="shared" si="39"/>
        <v>목</v>
      </c>
      <c r="C733" s="29" t="s">
        <v>370</v>
      </c>
      <c r="D733" s="29" t="str">
        <f>VLOOKUP($C733,청소코드!$C$4:$J$188,3,FALSE)</f>
        <v>성우 903</v>
      </c>
      <c r="E733" s="29">
        <f>VLOOKUP($C733,청소코드!$C$4:$J$188,4,FALSE)</f>
        <v>3</v>
      </c>
      <c r="F733" s="29" t="s">
        <v>426</v>
      </c>
      <c r="G733" s="29"/>
      <c r="H733" s="29"/>
      <c r="I733" s="29" t="s">
        <v>431</v>
      </c>
      <c r="J733" s="47">
        <f t="shared" si="40"/>
        <v>30000</v>
      </c>
      <c r="K733" s="29">
        <f>VLOOKUP($C733,청소코드!$C$4:$J$188,8,FALSE)</f>
        <v>30000</v>
      </c>
      <c r="L733" s="32"/>
      <c r="M733" s="31"/>
      <c r="N733" s="32"/>
      <c r="O733" s="32"/>
    </row>
    <row r="734" spans="1:15" customFormat="1" ht="12.75" customHeight="1">
      <c r="A734" s="30">
        <v>46107</v>
      </c>
      <c r="B734" s="29" t="str">
        <f t="shared" si="39"/>
        <v>목</v>
      </c>
      <c r="C734" s="29" t="s">
        <v>291</v>
      </c>
      <c r="D734" s="29" t="str">
        <f>VLOOKUP($C734,청소코드!$C$4:$J$188,3,FALSE)</f>
        <v>한양립스 503</v>
      </c>
      <c r="E734" s="29">
        <f>VLOOKUP($C734,청소코드!$C$4:$J$188,4,FALSE)</f>
        <v>1</v>
      </c>
      <c r="F734" s="29" t="s">
        <v>401</v>
      </c>
      <c r="G734" s="29"/>
      <c r="H734" s="29"/>
      <c r="I734" s="29" t="s">
        <v>431</v>
      </c>
      <c r="J734" s="47">
        <f t="shared" si="40"/>
        <v>18000</v>
      </c>
      <c r="K734" s="29">
        <f>VLOOKUP($C734,청소코드!$C$4:$J$188,8,FALSE)</f>
        <v>18000</v>
      </c>
      <c r="L734" s="32"/>
      <c r="M734" s="31"/>
      <c r="N734" s="32"/>
      <c r="O734" s="32"/>
    </row>
    <row r="735" spans="1:15" customFormat="1" ht="12.75" customHeight="1">
      <c r="A735" s="30">
        <v>46107</v>
      </c>
      <c r="B735" s="29" t="str">
        <f t="shared" si="39"/>
        <v>목</v>
      </c>
      <c r="C735" s="29" t="s">
        <v>416</v>
      </c>
      <c r="D735" s="29" t="str">
        <f>VLOOKUP($C735,청소코드!$C$4:$J$188,3,FALSE)</f>
        <v>청광1차 207</v>
      </c>
      <c r="E735" s="29">
        <f>VLOOKUP($C735,청소코드!$C$4:$J$188,4,FALSE)</f>
        <v>0</v>
      </c>
      <c r="F735" s="29" t="s">
        <v>426</v>
      </c>
      <c r="G735" s="29"/>
      <c r="H735" s="29"/>
      <c r="I735" s="29" t="s">
        <v>431</v>
      </c>
      <c r="J735" s="47">
        <f t="shared" si="40"/>
        <v>10000</v>
      </c>
      <c r="K735" s="29">
        <f>VLOOKUP($C735,청소코드!$C$4:$J$188,8,FALSE)</f>
        <v>10000</v>
      </c>
      <c r="L735" s="32"/>
      <c r="M735" s="31"/>
      <c r="N735" s="32"/>
      <c r="O735" s="32"/>
    </row>
    <row r="736" spans="1:15" customFormat="1" ht="12.75" customHeight="1">
      <c r="A736" s="49">
        <v>46108</v>
      </c>
      <c r="B736" s="50" t="str">
        <f t="shared" si="39"/>
        <v>금</v>
      </c>
      <c r="C736" s="29" t="s">
        <v>878</v>
      </c>
      <c r="D736" s="29" t="str">
        <f>VLOOKUP($C736,청소코드!$C$4:$J$188,3,FALSE)</f>
        <v>동구햇살 1203</v>
      </c>
      <c r="E736" s="29" t="str">
        <f>VLOOKUP($C736,청소코드!$C$4:$J$188,4,FALSE)</f>
        <v>복</v>
      </c>
      <c r="F736" s="29" t="s">
        <v>892</v>
      </c>
      <c r="G736" s="29"/>
      <c r="H736" s="29"/>
      <c r="I736" s="29" t="s">
        <v>899</v>
      </c>
      <c r="J736" s="47">
        <f t="shared" si="40"/>
        <v>20000</v>
      </c>
      <c r="K736" s="29">
        <f>VLOOKUP($C736,청소코드!$C$4:$J$188,8,FALSE)</f>
        <v>20000</v>
      </c>
      <c r="L736" s="32"/>
      <c r="M736" s="31"/>
      <c r="N736" s="32"/>
      <c r="O736" s="32"/>
    </row>
    <row r="737" spans="1:15" customFormat="1" ht="12.75" customHeight="1">
      <c r="A737" s="30">
        <v>46108</v>
      </c>
      <c r="B737" s="29" t="str">
        <f t="shared" si="39"/>
        <v>금</v>
      </c>
      <c r="C737" s="29" t="s">
        <v>879</v>
      </c>
      <c r="D737" s="29" t="str">
        <f>VLOOKUP($C737,청소코드!$C$4:$J$188,3,FALSE)</f>
        <v>뉴시티 1413</v>
      </c>
      <c r="E737" s="29">
        <f>VLOOKUP($C737,청소코드!$C$4:$J$188,4,FALSE)</f>
        <v>1</v>
      </c>
      <c r="F737" s="29" t="s">
        <v>612</v>
      </c>
      <c r="G737" s="29"/>
      <c r="H737" s="29"/>
      <c r="I737" s="29" t="s">
        <v>431</v>
      </c>
      <c r="J737" s="47">
        <f t="shared" si="40"/>
        <v>50000</v>
      </c>
      <c r="K737" s="29">
        <f>VLOOKUP($C737,청소코드!$C$4:$J$188,8,FALSE)</f>
        <v>18000</v>
      </c>
      <c r="L737" s="32">
        <v>32000</v>
      </c>
      <c r="M737" s="31"/>
      <c r="N737" s="32"/>
      <c r="O737" s="32"/>
    </row>
    <row r="738" spans="1:15" customFormat="1" ht="12.75" customHeight="1">
      <c r="A738" s="30">
        <v>46108</v>
      </c>
      <c r="B738" s="29" t="str">
        <f t="shared" si="39"/>
        <v>금</v>
      </c>
      <c r="C738" s="29" t="s">
        <v>880</v>
      </c>
      <c r="D738" s="29" t="str">
        <f>VLOOKUP($C738,청소코드!$C$4:$J$188,3,FALSE)</f>
        <v>더하임 1003</v>
      </c>
      <c r="E738" s="29">
        <f>VLOOKUP($C738,청소코드!$C$4:$J$188,4,FALSE)</f>
        <v>1</v>
      </c>
      <c r="F738" s="29" t="s">
        <v>437</v>
      </c>
      <c r="G738" s="29"/>
      <c r="H738" s="29"/>
      <c r="I738" s="29" t="s">
        <v>431</v>
      </c>
      <c r="J738" s="47">
        <f t="shared" si="40"/>
        <v>18000</v>
      </c>
      <c r="K738" s="29">
        <f>VLOOKUP($C738,청소코드!$C$4:$J$188,8,FALSE)</f>
        <v>18000</v>
      </c>
      <c r="L738" s="32"/>
      <c r="M738" s="31"/>
      <c r="N738" s="32"/>
      <c r="O738" s="32"/>
    </row>
    <row r="739" spans="1:15" customFormat="1" ht="12.75" customHeight="1">
      <c r="A739" s="30">
        <v>46108</v>
      </c>
      <c r="B739" s="29" t="str">
        <f t="shared" si="39"/>
        <v>금</v>
      </c>
      <c r="C739" s="29" t="s">
        <v>881</v>
      </c>
      <c r="D739" s="29" t="str">
        <f>VLOOKUP($C739,청소코드!$C$4:$J$188,3,FALSE)</f>
        <v>더하임 504</v>
      </c>
      <c r="E739" s="29">
        <f>VLOOKUP($C739,청소코드!$C$4:$J$188,4,FALSE)</f>
        <v>1</v>
      </c>
      <c r="F739" s="29" t="s">
        <v>437</v>
      </c>
      <c r="G739" s="29"/>
      <c r="H739" s="29"/>
      <c r="I739" s="29" t="s">
        <v>431</v>
      </c>
      <c r="J739" s="47">
        <f t="shared" si="40"/>
        <v>18000</v>
      </c>
      <c r="K739" s="29">
        <f>VLOOKUP($C739,청소코드!$C$4:$J$188,8,FALSE)</f>
        <v>18000</v>
      </c>
      <c r="L739" s="32"/>
      <c r="M739" s="31"/>
      <c r="N739" s="32"/>
      <c r="O739" s="32"/>
    </row>
    <row r="740" spans="1:15" customFormat="1" ht="12.75" customHeight="1">
      <c r="A740" s="30">
        <v>46108</v>
      </c>
      <c r="B740" s="29" t="str">
        <f t="shared" si="39"/>
        <v>금</v>
      </c>
      <c r="C740" s="29" t="s">
        <v>882</v>
      </c>
      <c r="D740" s="29" t="str">
        <f>VLOOKUP($C740,청소코드!$C$4:$J$188,3,FALSE)</f>
        <v>si 502</v>
      </c>
      <c r="E740" s="29">
        <f>VLOOKUP($C740,청소코드!$C$4:$J$188,4,FALSE)</f>
        <v>1</v>
      </c>
      <c r="F740" s="29" t="s">
        <v>437</v>
      </c>
      <c r="G740" s="29"/>
      <c r="H740" s="29"/>
      <c r="I740" s="29" t="s">
        <v>431</v>
      </c>
      <c r="J740" s="47">
        <f t="shared" si="40"/>
        <v>20000</v>
      </c>
      <c r="K740" s="29">
        <f>VLOOKUP($C740,청소코드!$C$4:$J$188,8,FALSE)</f>
        <v>20000</v>
      </c>
      <c r="L740" s="32"/>
      <c r="M740" s="31"/>
      <c r="N740" s="32"/>
      <c r="O740" s="32"/>
    </row>
    <row r="741" spans="1:15" customFormat="1" ht="12.75" customHeight="1">
      <c r="A741" s="30">
        <v>46108</v>
      </c>
      <c r="B741" s="29" t="str">
        <f t="shared" si="39"/>
        <v>금</v>
      </c>
      <c r="C741" s="29" t="s">
        <v>883</v>
      </c>
      <c r="D741" s="29" t="str">
        <f>VLOOKUP($C741,청소코드!$C$4:$J$188,3,FALSE)</f>
        <v>청광3차 1416</v>
      </c>
      <c r="E741" s="29">
        <f>VLOOKUP($C741,청소코드!$C$4:$J$188,4,FALSE)</f>
        <v>1</v>
      </c>
      <c r="F741" s="29" t="s">
        <v>449</v>
      </c>
      <c r="G741" s="29"/>
      <c r="H741" s="29"/>
      <c r="I741" s="29" t="s">
        <v>431</v>
      </c>
      <c r="J741" s="47">
        <f t="shared" si="40"/>
        <v>18000</v>
      </c>
      <c r="K741" s="29">
        <f>VLOOKUP($C741,청소코드!$C$4:$J$188,8,FALSE)</f>
        <v>18000</v>
      </c>
      <c r="L741" s="32"/>
      <c r="M741" s="31"/>
      <c r="N741" s="32"/>
      <c r="O741" s="32"/>
    </row>
    <row r="742" spans="1:15" customFormat="1" ht="12.75" customHeight="1">
      <c r="A742" s="30">
        <v>46108</v>
      </c>
      <c r="B742" s="29" t="str">
        <f t="shared" si="39"/>
        <v>금</v>
      </c>
      <c r="C742" s="29" t="s">
        <v>884</v>
      </c>
      <c r="D742" s="29" t="str">
        <f>VLOOKUP($C742,청소코드!$C$4:$J$188,3,FALSE)</f>
        <v>강동QV 1604</v>
      </c>
      <c r="E742" s="29">
        <f>VLOOKUP($C742,청소코드!$C$4:$J$188,4,FALSE)</f>
        <v>1</v>
      </c>
      <c r="F742" s="29" t="s">
        <v>449</v>
      </c>
      <c r="G742" s="29"/>
      <c r="H742" s="29"/>
      <c r="I742" s="29" t="s">
        <v>431</v>
      </c>
      <c r="J742" s="47">
        <f t="shared" si="40"/>
        <v>18000</v>
      </c>
      <c r="K742" s="29">
        <f>VLOOKUP($C742,청소코드!$C$4:$J$188,8,FALSE)</f>
        <v>18000</v>
      </c>
      <c r="L742" s="32"/>
      <c r="M742" s="31"/>
      <c r="N742" s="32"/>
      <c r="O742" s="32"/>
    </row>
    <row r="743" spans="1:15" customFormat="1" ht="12.75" customHeight="1">
      <c r="A743" s="30">
        <v>46108</v>
      </c>
      <c r="B743" s="29" t="str">
        <f t="shared" si="39"/>
        <v>금</v>
      </c>
      <c r="C743" s="29" t="s">
        <v>885</v>
      </c>
      <c r="D743" s="29" t="str">
        <f>VLOOKUP($C743,청소코드!$C$4:$J$188,3,FALSE)</f>
        <v>오금스타 303</v>
      </c>
      <c r="E743" s="29">
        <f>VLOOKUP($C743,청소코드!$C$4:$J$188,4,FALSE)</f>
        <v>1</v>
      </c>
      <c r="F743" s="29" t="s">
        <v>449</v>
      </c>
      <c r="G743" s="29" t="s">
        <v>898</v>
      </c>
      <c r="H743" s="29"/>
      <c r="I743" s="29" t="s">
        <v>431</v>
      </c>
      <c r="J743" s="47">
        <f t="shared" si="40"/>
        <v>33000</v>
      </c>
      <c r="K743" s="29">
        <f>VLOOKUP($C743,청소코드!$C$4:$J$188,8,FALSE)</f>
        <v>18000</v>
      </c>
      <c r="L743" s="32">
        <v>5000</v>
      </c>
      <c r="M743" s="31"/>
      <c r="N743" s="32">
        <v>10000</v>
      </c>
      <c r="O743" s="32"/>
    </row>
    <row r="744" spans="1:15" customFormat="1" ht="12.75" customHeight="1">
      <c r="A744" s="30">
        <v>46108</v>
      </c>
      <c r="B744" s="29" t="str">
        <f t="shared" si="39"/>
        <v>금</v>
      </c>
      <c r="C744" s="29" t="s">
        <v>886</v>
      </c>
      <c r="D744" s="29" t="str">
        <f>VLOOKUP($C744,청소코드!$C$4:$J$188,3,FALSE)</f>
        <v>예건 702</v>
      </c>
      <c r="E744" s="29">
        <f>VLOOKUP($C744,청소코드!$C$4:$J$188,4,FALSE)</f>
        <v>1</v>
      </c>
      <c r="F744" s="29" t="s">
        <v>893</v>
      </c>
      <c r="G744" s="29"/>
      <c r="H744" s="29"/>
      <c r="I744" s="29" t="s">
        <v>431</v>
      </c>
      <c r="J744" s="47">
        <f t="shared" si="40"/>
        <v>18000</v>
      </c>
      <c r="K744" s="29">
        <f>VLOOKUP($C744,청소코드!$C$4:$J$188,8,FALSE)</f>
        <v>18000</v>
      </c>
      <c r="L744" s="32"/>
      <c r="M744" s="31"/>
      <c r="N744" s="32"/>
      <c r="O744" s="32"/>
    </row>
    <row r="745" spans="1:15" customFormat="1" ht="12.75" customHeight="1">
      <c r="A745" s="30">
        <v>46108</v>
      </c>
      <c r="B745" s="29" t="str">
        <f t="shared" si="39"/>
        <v>금</v>
      </c>
      <c r="C745" s="29" t="s">
        <v>887</v>
      </c>
      <c r="D745" s="29" t="str">
        <f>VLOOKUP($C745,청소코드!$C$4:$J$188,3,FALSE)</f>
        <v>르센티 1801</v>
      </c>
      <c r="E745" s="29" t="str">
        <f>VLOOKUP($C745,청소코드!$C$4:$J$188,4,FALSE)</f>
        <v>복</v>
      </c>
      <c r="F745" s="29" t="s">
        <v>893</v>
      </c>
      <c r="G745" s="29"/>
      <c r="H745" s="29"/>
      <c r="I745" s="29" t="s">
        <v>431</v>
      </c>
      <c r="J745" s="47">
        <f t="shared" si="40"/>
        <v>20000</v>
      </c>
      <c r="K745" s="29">
        <f>VLOOKUP($C745,청소코드!$C$4:$J$188,8,FALSE)</f>
        <v>20000</v>
      </c>
      <c r="L745" s="32"/>
      <c r="M745" s="31"/>
      <c r="N745" s="32"/>
      <c r="O745" s="32"/>
    </row>
    <row r="746" spans="1:15" customFormat="1" ht="12.75" customHeight="1">
      <c r="A746" s="30">
        <v>46108</v>
      </c>
      <c r="B746" s="29" t="str">
        <f t="shared" ref="B746:B777" si="41">TEXT(A746,"aaa")</f>
        <v>금</v>
      </c>
      <c r="C746" s="29" t="s">
        <v>888</v>
      </c>
      <c r="D746" s="29" t="str">
        <f>VLOOKUP($C746,청소코드!$C$4:$J$188,3,FALSE)</f>
        <v>더하임 901</v>
      </c>
      <c r="E746" s="29">
        <f>VLOOKUP($C746,청소코드!$C$4:$J$188,4,FALSE)</f>
        <v>1</v>
      </c>
      <c r="F746" s="29" t="s">
        <v>894</v>
      </c>
      <c r="G746" s="29"/>
      <c r="H746" s="29"/>
      <c r="I746" s="29" t="s">
        <v>431</v>
      </c>
      <c r="J746" s="47">
        <f t="shared" ref="J746:J777" si="42">SUM(K746:O746)</f>
        <v>18000</v>
      </c>
      <c r="K746" s="29">
        <f>VLOOKUP($C746,청소코드!$C$4:$J$188,8,FALSE)</f>
        <v>18000</v>
      </c>
      <c r="L746" s="32"/>
      <c r="M746" s="31"/>
      <c r="N746" s="32"/>
      <c r="O746" s="32"/>
    </row>
    <row r="747" spans="1:15" customFormat="1" ht="12.75" customHeight="1">
      <c r="A747" s="30">
        <v>46108</v>
      </c>
      <c r="B747" s="29" t="str">
        <f t="shared" si="41"/>
        <v>금</v>
      </c>
      <c r="C747" s="29" t="s">
        <v>889</v>
      </c>
      <c r="D747" s="29" t="str">
        <f>VLOOKUP($C747,청소코드!$C$4:$J$188,3,FALSE)</f>
        <v>더하임 904</v>
      </c>
      <c r="E747" s="29">
        <f>VLOOKUP($C747,청소코드!$C$4:$J$188,4,FALSE)</f>
        <v>1</v>
      </c>
      <c r="F747" s="29" t="s">
        <v>894</v>
      </c>
      <c r="G747" s="29"/>
      <c r="H747" s="29"/>
      <c r="I747" s="29" t="s">
        <v>431</v>
      </c>
      <c r="J747" s="47">
        <f t="shared" si="42"/>
        <v>18000</v>
      </c>
      <c r="K747" s="29">
        <f>VLOOKUP($C747,청소코드!$C$4:$J$188,8,FALSE)</f>
        <v>18000</v>
      </c>
      <c r="L747" s="32"/>
      <c r="M747" s="31"/>
      <c r="N747" s="32"/>
      <c r="O747" s="32"/>
    </row>
    <row r="748" spans="1:15" customFormat="1" ht="12.75" customHeight="1">
      <c r="A748" s="30">
        <v>46108</v>
      </c>
      <c r="B748" s="29" t="str">
        <f t="shared" si="41"/>
        <v>금</v>
      </c>
      <c r="C748" s="29" t="s">
        <v>890</v>
      </c>
      <c r="D748" s="29" t="str">
        <f>VLOOKUP($C748,청소코드!$C$4:$J$188,3,FALSE)</f>
        <v>방학 709</v>
      </c>
      <c r="E748" s="29" t="str">
        <f>VLOOKUP($C748,청소코드!$C$4:$J$188,4,FALSE)</f>
        <v>복</v>
      </c>
      <c r="F748" s="29" t="s">
        <v>895</v>
      </c>
      <c r="G748" s="29"/>
      <c r="H748" s="29"/>
      <c r="I748" s="29" t="s">
        <v>431</v>
      </c>
      <c r="J748" s="47">
        <f t="shared" si="42"/>
        <v>34000</v>
      </c>
      <c r="K748" s="29">
        <f>VLOOKUP($C748,청소코드!$C$4:$J$188,8,FALSE)</f>
        <v>25000</v>
      </c>
      <c r="L748" s="32"/>
      <c r="M748" s="31"/>
      <c r="N748" s="32">
        <v>9000</v>
      </c>
      <c r="O748" s="32"/>
    </row>
    <row r="749" spans="1:15" customFormat="1" ht="12.75" customHeight="1">
      <c r="A749" s="30">
        <v>46108</v>
      </c>
      <c r="B749" s="29" t="str">
        <f t="shared" si="41"/>
        <v>금</v>
      </c>
      <c r="C749" s="29" t="s">
        <v>891</v>
      </c>
      <c r="D749" s="29" t="str">
        <f>VLOOKUP($C749,청소코드!$C$4:$J$188,3,FALSE)</f>
        <v>대치동 103호</v>
      </c>
      <c r="E749" s="29">
        <f>VLOOKUP($C749,청소코드!$C$4:$J$188,4,FALSE)</f>
        <v>1.5</v>
      </c>
      <c r="F749" s="29" t="s">
        <v>896</v>
      </c>
      <c r="G749" s="29"/>
      <c r="H749" s="29"/>
      <c r="I749" s="29" t="s">
        <v>431</v>
      </c>
      <c r="J749" s="47">
        <f t="shared" si="42"/>
        <v>20000</v>
      </c>
      <c r="K749" s="29">
        <f>VLOOKUP($C749,청소코드!$C$4:$J$188,8,FALSE)</f>
        <v>20000</v>
      </c>
      <c r="L749" s="32"/>
      <c r="M749" s="31"/>
      <c r="N749" s="32"/>
      <c r="O749" s="32"/>
    </row>
    <row r="750" spans="1:15" customFormat="1" ht="12.75" customHeight="1">
      <c r="A750" s="30">
        <v>46108</v>
      </c>
      <c r="B750" s="29" t="str">
        <f t="shared" si="41"/>
        <v>금</v>
      </c>
      <c r="C750" s="29" t="s">
        <v>897</v>
      </c>
      <c r="D750" s="29" t="str">
        <f>VLOOKUP($C750,청소코드!$C$4:$J$188,3,FALSE)</f>
        <v>청광1차 207</v>
      </c>
      <c r="E750" s="29">
        <f>VLOOKUP($C750,청소코드!$C$4:$J$188,4,FALSE)</f>
        <v>0</v>
      </c>
      <c r="F750" s="29" t="s">
        <v>426</v>
      </c>
      <c r="G750" s="29"/>
      <c r="H750" s="29"/>
      <c r="I750" s="29" t="s">
        <v>431</v>
      </c>
      <c r="J750" s="47">
        <f t="shared" si="42"/>
        <v>10000</v>
      </c>
      <c r="K750" s="29">
        <f>VLOOKUP($C750,청소코드!$C$4:$J$188,8,FALSE)</f>
        <v>10000</v>
      </c>
      <c r="L750" s="32"/>
      <c r="M750" s="31"/>
      <c r="N750" s="32"/>
      <c r="O750" s="32"/>
    </row>
    <row r="751" spans="1:15" customFormat="1" ht="12.75" customHeight="1">
      <c r="A751" s="49">
        <v>46109</v>
      </c>
      <c r="B751" s="50" t="str">
        <f t="shared" si="41"/>
        <v>토</v>
      </c>
      <c r="C751" s="29" t="s">
        <v>900</v>
      </c>
      <c r="D751" s="29" t="str">
        <f>VLOOKUP($C751,청소코드!$C$4:$J$188,3,FALSE)</f>
        <v>센텀 2차 406</v>
      </c>
      <c r="E751" s="29">
        <f>VLOOKUP($C751,청소코드!$C$4:$J$188,4,FALSE)</f>
        <v>1.5</v>
      </c>
      <c r="F751" s="29" t="s">
        <v>918</v>
      </c>
      <c r="G751" s="29"/>
      <c r="H751" s="29"/>
      <c r="I751" s="29" t="s">
        <v>926</v>
      </c>
      <c r="J751" s="47">
        <f t="shared" si="42"/>
        <v>20000</v>
      </c>
      <c r="K751" s="29">
        <f>VLOOKUP($C751,청소코드!$C$4:$J$188,8,FALSE)</f>
        <v>20000</v>
      </c>
      <c r="L751" s="32"/>
      <c r="M751" s="31"/>
      <c r="N751" s="32"/>
      <c r="O751" s="32"/>
    </row>
    <row r="752" spans="1:15" customFormat="1" ht="12.75" customHeight="1">
      <c r="A752" s="30">
        <v>46109</v>
      </c>
      <c r="B752" s="29" t="str">
        <f t="shared" si="41"/>
        <v>토</v>
      </c>
      <c r="C752" s="29" t="s">
        <v>901</v>
      </c>
      <c r="D752" s="29" t="str">
        <f>VLOOKUP($C752,청소코드!$C$4:$J$188,3,FALSE)</f>
        <v>청광1차 1303</v>
      </c>
      <c r="E752" s="29">
        <f>VLOOKUP($C752,청소코드!$C$4:$J$188,4,FALSE)</f>
        <v>1</v>
      </c>
      <c r="F752" s="29" t="s">
        <v>437</v>
      </c>
      <c r="G752" s="29"/>
      <c r="H752" s="29"/>
      <c r="I752" s="29" t="s">
        <v>431</v>
      </c>
      <c r="J752" s="47">
        <f t="shared" si="42"/>
        <v>18000</v>
      </c>
      <c r="K752" s="29">
        <f>VLOOKUP($C752,청소코드!$C$4:$J$188,8,FALSE)</f>
        <v>18000</v>
      </c>
      <c r="L752" s="32"/>
      <c r="M752" s="31"/>
      <c r="N752" s="32"/>
      <c r="O752" s="32"/>
    </row>
    <row r="753" spans="1:15" customFormat="1" ht="12.75" customHeight="1">
      <c r="A753" s="30">
        <v>46109</v>
      </c>
      <c r="B753" s="29" t="str">
        <f t="shared" si="41"/>
        <v>토</v>
      </c>
      <c r="C753" s="29" t="s">
        <v>902</v>
      </c>
      <c r="D753" s="29" t="str">
        <f>VLOOKUP($C753,청소코드!$C$4:$J$188,3,FALSE)</f>
        <v>은성 603</v>
      </c>
      <c r="E753" s="29">
        <f>VLOOKUP($C753,청소코드!$C$4:$J$188,4,FALSE)</f>
        <v>1</v>
      </c>
      <c r="F753" s="29" t="s">
        <v>919</v>
      </c>
      <c r="G753" s="29"/>
      <c r="H753" s="29"/>
      <c r="I753" s="29" t="s">
        <v>927</v>
      </c>
      <c r="J753" s="47">
        <f t="shared" si="42"/>
        <v>18000</v>
      </c>
      <c r="K753" s="29">
        <f>VLOOKUP($C753,청소코드!$C$4:$J$188,8,FALSE)</f>
        <v>18000</v>
      </c>
      <c r="L753" s="32"/>
      <c r="M753" s="31"/>
      <c r="N753" s="32"/>
      <c r="O753" s="32"/>
    </row>
    <row r="754" spans="1:15" customFormat="1" ht="12.75" customHeight="1">
      <c r="A754" s="30">
        <v>46109</v>
      </c>
      <c r="B754" s="29" t="str">
        <f t="shared" si="41"/>
        <v>토</v>
      </c>
      <c r="C754" s="29" t="s">
        <v>903</v>
      </c>
      <c r="D754" s="29" t="str">
        <f>VLOOKUP($C754,청소코드!$C$4:$J$188,3,FALSE)</f>
        <v>오앤 401</v>
      </c>
      <c r="E754" s="29">
        <f>VLOOKUP($C754,청소코드!$C$4:$J$188,4,FALSE)</f>
        <v>1</v>
      </c>
      <c r="F754" s="29" t="s">
        <v>437</v>
      </c>
      <c r="G754" s="29"/>
      <c r="H754" s="29"/>
      <c r="I754" s="29" t="s">
        <v>431</v>
      </c>
      <c r="J754" s="47">
        <f t="shared" si="42"/>
        <v>18000</v>
      </c>
      <c r="K754" s="29">
        <f>VLOOKUP($C754,청소코드!$C$4:$J$188,8,FALSE)</f>
        <v>18000</v>
      </c>
      <c r="L754" s="32"/>
      <c r="M754" s="31"/>
      <c r="N754" s="32"/>
      <c r="O754" s="32"/>
    </row>
    <row r="755" spans="1:15" customFormat="1" ht="12.75" customHeight="1">
      <c r="A755" s="30">
        <v>46109</v>
      </c>
      <c r="B755" s="29" t="str">
        <f t="shared" si="41"/>
        <v>토</v>
      </c>
      <c r="C755" s="29" t="s">
        <v>904</v>
      </c>
      <c r="D755" s="29" t="str">
        <f>VLOOKUP($C755,청소코드!$C$4:$J$188,3,FALSE)</f>
        <v>청광3차 1416</v>
      </c>
      <c r="E755" s="29">
        <f>VLOOKUP($C755,청소코드!$C$4:$J$188,4,FALSE)</f>
        <v>1</v>
      </c>
      <c r="F755" s="29" t="s">
        <v>449</v>
      </c>
      <c r="G755" s="29"/>
      <c r="H755" s="29"/>
      <c r="I755" s="29" t="s">
        <v>431</v>
      </c>
      <c r="J755" s="47">
        <f t="shared" si="42"/>
        <v>18000</v>
      </c>
      <c r="K755" s="29">
        <f>VLOOKUP($C755,청소코드!$C$4:$J$188,8,FALSE)</f>
        <v>18000</v>
      </c>
      <c r="L755" s="32"/>
      <c r="M755" s="31"/>
      <c r="N755" s="32"/>
      <c r="O755" s="32"/>
    </row>
    <row r="756" spans="1:15" customFormat="1" ht="12.75" customHeight="1">
      <c r="A756" s="30">
        <v>46109</v>
      </c>
      <c r="B756" s="29" t="str">
        <f t="shared" si="41"/>
        <v>토</v>
      </c>
      <c r="C756" s="29" t="s">
        <v>905</v>
      </c>
      <c r="D756" s="29" t="str">
        <f>VLOOKUP($C756,청소코드!$C$4:$J$188,3,FALSE)</f>
        <v>청광3차 507</v>
      </c>
      <c r="E756" s="29">
        <f>VLOOKUP($C756,청소코드!$C$4:$J$188,4,FALSE)</f>
        <v>1</v>
      </c>
      <c r="F756" s="29" t="s">
        <v>449</v>
      </c>
      <c r="G756" s="29"/>
      <c r="H756" s="29"/>
      <c r="I756" s="29" t="s">
        <v>431</v>
      </c>
      <c r="J756" s="47">
        <f t="shared" si="42"/>
        <v>18000</v>
      </c>
      <c r="K756" s="29">
        <f>VLOOKUP($C756,청소코드!$C$4:$J$188,8,FALSE)</f>
        <v>18000</v>
      </c>
      <c r="L756" s="32"/>
      <c r="M756" s="31"/>
      <c r="N756" s="32"/>
      <c r="O756" s="32"/>
    </row>
    <row r="757" spans="1:15" customFormat="1" ht="12.75" customHeight="1">
      <c r="A757" s="30">
        <v>46109</v>
      </c>
      <c r="B757" s="29" t="str">
        <f t="shared" si="41"/>
        <v>토</v>
      </c>
      <c r="C757" s="29" t="s">
        <v>906</v>
      </c>
      <c r="D757" s="29" t="str">
        <f>VLOOKUP($C757,청소코드!$C$4:$J$188,3,FALSE)</f>
        <v>강동QV 1604</v>
      </c>
      <c r="E757" s="29">
        <f>VLOOKUP($C757,청소코드!$C$4:$J$188,4,FALSE)</f>
        <v>1</v>
      </c>
      <c r="F757" s="29" t="s">
        <v>919</v>
      </c>
      <c r="G757" s="29"/>
      <c r="H757" s="29"/>
      <c r="I757" s="29" t="s">
        <v>431</v>
      </c>
      <c r="J757" s="47">
        <f t="shared" si="42"/>
        <v>18000</v>
      </c>
      <c r="K757" s="29">
        <f>VLOOKUP($C757,청소코드!$C$4:$J$188,8,FALSE)</f>
        <v>18000</v>
      </c>
      <c r="L757" s="32"/>
      <c r="M757" s="31"/>
      <c r="N757" s="32"/>
      <c r="O757" s="32"/>
    </row>
    <row r="758" spans="1:15" customFormat="1" ht="12.75" customHeight="1">
      <c r="A758" s="30">
        <v>46109</v>
      </c>
      <c r="B758" s="29" t="str">
        <f t="shared" si="41"/>
        <v>토</v>
      </c>
      <c r="C758" s="29" t="s">
        <v>907</v>
      </c>
      <c r="D758" s="29" t="str">
        <f>VLOOKUP($C758,청소코드!$C$4:$J$188,3,FALSE)</f>
        <v>르센티 1801</v>
      </c>
      <c r="E758" s="29" t="str">
        <f>VLOOKUP($C758,청소코드!$C$4:$J$188,4,FALSE)</f>
        <v>복</v>
      </c>
      <c r="F758" s="29" t="s">
        <v>919</v>
      </c>
      <c r="G758" s="29"/>
      <c r="H758" s="29"/>
      <c r="I758" s="29" t="s">
        <v>431</v>
      </c>
      <c r="J758" s="47">
        <f t="shared" si="42"/>
        <v>20000</v>
      </c>
      <c r="K758" s="29">
        <f>VLOOKUP($C758,청소코드!$C$4:$J$188,8,FALSE)</f>
        <v>20000</v>
      </c>
      <c r="L758" s="32"/>
      <c r="M758" s="31"/>
      <c r="N758" s="32"/>
      <c r="O758" s="32"/>
    </row>
    <row r="759" spans="1:15" customFormat="1" ht="12.75" customHeight="1">
      <c r="A759" s="30">
        <v>46109</v>
      </c>
      <c r="B759" s="29" t="str">
        <f t="shared" si="41"/>
        <v>토</v>
      </c>
      <c r="C759" s="29" t="s">
        <v>908</v>
      </c>
      <c r="D759" s="29" t="str">
        <f>VLOOKUP($C759,청소코드!$C$4:$J$188,3,FALSE)</f>
        <v>더하임 1003</v>
      </c>
      <c r="E759" s="29">
        <f>VLOOKUP($C759,청소코드!$C$4:$J$188,4,FALSE)</f>
        <v>1</v>
      </c>
      <c r="F759" s="29" t="s">
        <v>920</v>
      </c>
      <c r="G759" s="29"/>
      <c r="H759" s="29"/>
      <c r="I759" s="29" t="s">
        <v>431</v>
      </c>
      <c r="J759" s="47">
        <f t="shared" si="42"/>
        <v>18000</v>
      </c>
      <c r="K759" s="29">
        <f>VLOOKUP($C759,청소코드!$C$4:$J$188,8,FALSE)</f>
        <v>18000</v>
      </c>
      <c r="L759" s="32"/>
      <c r="M759" s="31"/>
      <c r="N759" s="32"/>
      <c r="O759" s="32"/>
    </row>
    <row r="760" spans="1:15" customFormat="1" ht="12.75" customHeight="1">
      <c r="A760" s="30">
        <v>46109</v>
      </c>
      <c r="B760" s="29" t="str">
        <f t="shared" si="41"/>
        <v>토</v>
      </c>
      <c r="C760" s="29" t="s">
        <v>909</v>
      </c>
      <c r="D760" s="29" t="str">
        <f>VLOOKUP($C760,청소코드!$C$4:$J$188,3,FALSE)</f>
        <v>더하임 1005</v>
      </c>
      <c r="E760" s="29">
        <f>VLOOKUP($C760,청소코드!$C$4:$J$188,4,FALSE)</f>
        <v>1</v>
      </c>
      <c r="F760" s="29" t="s">
        <v>920</v>
      </c>
      <c r="G760" s="29"/>
      <c r="H760" s="29"/>
      <c r="I760" s="29" t="s">
        <v>431</v>
      </c>
      <c r="J760" s="47">
        <f t="shared" si="42"/>
        <v>18000</v>
      </c>
      <c r="K760" s="29">
        <f>VLOOKUP($C760,청소코드!$C$4:$J$188,8,FALSE)</f>
        <v>18000</v>
      </c>
      <c r="L760" s="32"/>
      <c r="M760" s="31"/>
      <c r="N760" s="32"/>
      <c r="O760" s="32"/>
    </row>
    <row r="761" spans="1:15" customFormat="1" ht="12.75" customHeight="1">
      <c r="A761" s="30">
        <v>46109</v>
      </c>
      <c r="B761" s="29" t="str">
        <f t="shared" si="41"/>
        <v>토</v>
      </c>
      <c r="C761" s="29" t="s">
        <v>910</v>
      </c>
      <c r="D761" s="29" t="str">
        <f>VLOOKUP($C761,청소코드!$C$4:$J$188,3,FALSE)</f>
        <v>더하임 1006</v>
      </c>
      <c r="E761" s="29">
        <f>VLOOKUP($C761,청소코드!$C$4:$J$188,4,FALSE)</f>
        <v>1.5</v>
      </c>
      <c r="F761" s="29" t="s">
        <v>920</v>
      </c>
      <c r="G761" s="29" t="s">
        <v>928</v>
      </c>
      <c r="H761" s="29"/>
      <c r="I761" s="29" t="s">
        <v>431</v>
      </c>
      <c r="J761" s="47">
        <f t="shared" si="42"/>
        <v>25000</v>
      </c>
      <c r="K761" s="29">
        <f>VLOOKUP($C761,청소코드!$C$4:$J$188,8,FALSE)</f>
        <v>20000</v>
      </c>
      <c r="L761" s="32">
        <v>5000</v>
      </c>
      <c r="M761" s="31"/>
      <c r="N761" s="32"/>
      <c r="O761" s="32"/>
    </row>
    <row r="762" spans="1:15" customFormat="1" ht="12.75" customHeight="1">
      <c r="A762" s="30">
        <v>46109</v>
      </c>
      <c r="B762" s="29" t="str">
        <f t="shared" si="41"/>
        <v>토</v>
      </c>
      <c r="C762" s="29" t="s">
        <v>911</v>
      </c>
      <c r="D762" s="29" t="str">
        <f>VLOOKUP($C762,청소코드!$C$4:$J$188,3,FALSE)</f>
        <v>si 502</v>
      </c>
      <c r="E762" s="29">
        <f>VLOOKUP($C762,청소코드!$C$4:$J$188,4,FALSE)</f>
        <v>1</v>
      </c>
      <c r="F762" s="29" t="s">
        <v>921</v>
      </c>
      <c r="G762" s="29"/>
      <c r="H762" s="29"/>
      <c r="I762" s="29" t="s">
        <v>431</v>
      </c>
      <c r="J762" s="47">
        <f t="shared" si="42"/>
        <v>22000</v>
      </c>
      <c r="K762" s="29">
        <f>VLOOKUP($C762,청소코드!$C$4:$J$188,8,FALSE)</f>
        <v>20000</v>
      </c>
      <c r="L762" s="32">
        <v>2000</v>
      </c>
      <c r="M762" s="31"/>
      <c r="N762" s="32"/>
      <c r="O762" s="32"/>
    </row>
    <row r="763" spans="1:15" customFormat="1" ht="12.75" customHeight="1">
      <c r="A763" s="30">
        <v>46109</v>
      </c>
      <c r="B763" s="29" t="str">
        <f t="shared" si="41"/>
        <v>토</v>
      </c>
      <c r="C763" s="29" t="s">
        <v>912</v>
      </c>
      <c r="D763" s="29" t="str">
        <f>VLOOKUP($C763,청소코드!$C$4:$J$188,3,FALSE)</f>
        <v>오금스타 205</v>
      </c>
      <c r="E763" s="29">
        <f>VLOOKUP($C763,청소코드!$C$4:$J$188,4,FALSE)</f>
        <v>1</v>
      </c>
      <c r="F763" s="29" t="s">
        <v>921</v>
      </c>
      <c r="G763" s="29"/>
      <c r="H763" s="29"/>
      <c r="I763" s="29" t="s">
        <v>927</v>
      </c>
      <c r="J763" s="47">
        <f t="shared" si="42"/>
        <v>20000</v>
      </c>
      <c r="K763" s="29">
        <f>VLOOKUP($C763,청소코드!$C$4:$J$188,8,FALSE)</f>
        <v>18000</v>
      </c>
      <c r="L763" s="32">
        <v>2000</v>
      </c>
      <c r="M763" s="31"/>
      <c r="N763" s="32"/>
      <c r="O763" s="32"/>
    </row>
    <row r="764" spans="1:15" customFormat="1" ht="12.75" customHeight="1">
      <c r="A764" s="30">
        <v>46109</v>
      </c>
      <c r="B764" s="29" t="str">
        <f t="shared" si="41"/>
        <v>토</v>
      </c>
      <c r="C764" s="29" t="s">
        <v>913</v>
      </c>
      <c r="D764" s="29" t="str">
        <f>VLOOKUP($C764,청소코드!$C$4:$J$188,3,FALSE)</f>
        <v>하람휴 1001</v>
      </c>
      <c r="E764" s="29">
        <f>VLOOKUP($C764,청소코드!$C$4:$J$188,4,FALSE)</f>
        <v>2</v>
      </c>
      <c r="F764" s="29" t="s">
        <v>922</v>
      </c>
      <c r="G764" s="29"/>
      <c r="H764" s="29"/>
      <c r="I764" s="29" t="s">
        <v>927</v>
      </c>
      <c r="J764" s="47">
        <f t="shared" si="42"/>
        <v>23000</v>
      </c>
      <c r="K764" s="29">
        <f>VLOOKUP($C764,청소코드!$C$4:$J$188,8,FALSE)</f>
        <v>23000</v>
      </c>
      <c r="L764" s="32"/>
      <c r="M764" s="31"/>
      <c r="N764" s="32"/>
      <c r="O764" s="32"/>
    </row>
    <row r="765" spans="1:15" customFormat="1" ht="12.75" customHeight="1">
      <c r="A765" s="30">
        <v>46109</v>
      </c>
      <c r="B765" s="29" t="str">
        <f t="shared" si="41"/>
        <v>토</v>
      </c>
      <c r="C765" s="29" t="s">
        <v>914</v>
      </c>
      <c r="D765" s="29" t="str">
        <f>VLOOKUP($C765,청소코드!$C$4:$J$188,3,FALSE)</f>
        <v>예건 303</v>
      </c>
      <c r="E765" s="29">
        <f>VLOOKUP($C765,청소코드!$C$4:$J$188,4,FALSE)</f>
        <v>2</v>
      </c>
      <c r="F765" s="29" t="s">
        <v>923</v>
      </c>
      <c r="G765" s="29"/>
      <c r="H765" s="29"/>
      <c r="I765" s="29" t="s">
        <v>927</v>
      </c>
      <c r="J765" s="47">
        <f t="shared" si="42"/>
        <v>23000</v>
      </c>
      <c r="K765" s="29">
        <f>VLOOKUP($C765,청소코드!$C$4:$J$188,8,FALSE)</f>
        <v>23000</v>
      </c>
      <c r="L765" s="32"/>
      <c r="M765" s="31"/>
      <c r="N765" s="32"/>
      <c r="O765" s="32"/>
    </row>
    <row r="766" spans="1:15" customFormat="1" ht="12.75" customHeight="1">
      <c r="A766" s="30">
        <v>46109</v>
      </c>
      <c r="B766" s="29" t="str">
        <f t="shared" si="41"/>
        <v>토</v>
      </c>
      <c r="C766" s="29" t="s">
        <v>915</v>
      </c>
      <c r="D766" s="29" t="str">
        <f>VLOOKUP($C766,청소코드!$C$4:$J$188,3,FALSE)</f>
        <v>성우 304</v>
      </c>
      <c r="E766" s="29">
        <f>VLOOKUP($C766,청소코드!$C$4:$J$188,4,FALSE)</f>
        <v>2</v>
      </c>
      <c r="F766" s="29" t="s">
        <v>923</v>
      </c>
      <c r="G766" s="29"/>
      <c r="H766" s="29"/>
      <c r="I766" s="29" t="s">
        <v>927</v>
      </c>
      <c r="J766" s="47">
        <f t="shared" si="42"/>
        <v>23000</v>
      </c>
      <c r="K766" s="29">
        <f>VLOOKUP($C766,청소코드!$C$4:$J$188,8,FALSE)</f>
        <v>23000</v>
      </c>
      <c r="L766" s="32"/>
      <c r="M766" s="31"/>
      <c r="N766" s="32"/>
      <c r="O766" s="32"/>
    </row>
    <row r="767" spans="1:15" customFormat="1" ht="12.75" customHeight="1">
      <c r="A767" s="30">
        <v>46109</v>
      </c>
      <c r="B767" s="29" t="str">
        <f t="shared" si="41"/>
        <v>토</v>
      </c>
      <c r="C767" s="29" t="s">
        <v>916</v>
      </c>
      <c r="D767" s="29" t="str">
        <f>VLOOKUP($C767,청소코드!$C$4:$J$188,3,FALSE)</f>
        <v>성우 402</v>
      </c>
      <c r="E767" s="29">
        <f>VLOOKUP($C767,청소코드!$C$4:$J$188,4,FALSE)</f>
        <v>3</v>
      </c>
      <c r="F767" s="29" t="s">
        <v>923</v>
      </c>
      <c r="G767" s="29"/>
      <c r="H767" s="29"/>
      <c r="I767" s="29" t="s">
        <v>927</v>
      </c>
      <c r="J767" s="47">
        <f t="shared" si="42"/>
        <v>30000</v>
      </c>
      <c r="K767" s="29">
        <f>VLOOKUP($C767,청소코드!$C$4:$J$188,8,FALSE)</f>
        <v>30000</v>
      </c>
      <c r="L767" s="32"/>
      <c r="M767" s="31"/>
      <c r="N767" s="32"/>
      <c r="O767" s="32"/>
    </row>
    <row r="768" spans="1:15" customFormat="1" ht="12.75" customHeight="1">
      <c r="A768" s="30">
        <v>46109</v>
      </c>
      <c r="B768" s="29" t="str">
        <f t="shared" si="41"/>
        <v>토</v>
      </c>
      <c r="C768" s="29" t="s">
        <v>917</v>
      </c>
      <c r="D768" s="29" t="str">
        <f>VLOOKUP($C768,청소코드!$C$4:$J$188,3,FALSE)</f>
        <v>대치동 103호</v>
      </c>
      <c r="E768" s="29">
        <f>VLOOKUP($C768,청소코드!$C$4:$J$188,4,FALSE)</f>
        <v>1.5</v>
      </c>
      <c r="F768" s="29" t="s">
        <v>924</v>
      </c>
      <c r="G768" s="29"/>
      <c r="H768" s="29"/>
      <c r="I768" s="29" t="s">
        <v>927</v>
      </c>
      <c r="J768" s="47">
        <f t="shared" si="42"/>
        <v>20000</v>
      </c>
      <c r="K768" s="29">
        <f>VLOOKUP($C768,청소코드!$C$4:$J$188,8,FALSE)</f>
        <v>20000</v>
      </c>
      <c r="L768" s="32"/>
      <c r="M768" s="31"/>
      <c r="N768" s="32"/>
      <c r="O768" s="32"/>
    </row>
    <row r="769" spans="1:15" customFormat="1" ht="12.75" customHeight="1">
      <c r="A769" s="30">
        <v>46109</v>
      </c>
      <c r="B769" s="29" t="str">
        <f t="shared" si="41"/>
        <v>토</v>
      </c>
      <c r="C769" s="29" t="s">
        <v>925</v>
      </c>
      <c r="D769" s="29" t="str">
        <f>VLOOKUP($C769,청소코드!$C$4:$J$188,3,FALSE)</f>
        <v>청광1차 207</v>
      </c>
      <c r="E769" s="29">
        <f>VLOOKUP($C769,청소코드!$C$4:$J$188,4,FALSE)</f>
        <v>0</v>
      </c>
      <c r="F769" s="29" t="s">
        <v>920</v>
      </c>
      <c r="G769" s="29"/>
      <c r="H769" s="29"/>
      <c r="I769" s="29" t="s">
        <v>927</v>
      </c>
      <c r="J769" s="47">
        <f t="shared" si="42"/>
        <v>10000</v>
      </c>
      <c r="K769" s="29">
        <f>VLOOKUP($C769,청소코드!$C$4:$J$188,8,FALSE)</f>
        <v>10000</v>
      </c>
      <c r="L769" s="32"/>
      <c r="M769" s="31"/>
      <c r="N769" s="32"/>
      <c r="O769" s="32"/>
    </row>
    <row r="770" spans="1:15" customFormat="1" ht="12.75" customHeight="1">
      <c r="A770" s="49">
        <v>46110</v>
      </c>
      <c r="B770" s="50" t="str">
        <f t="shared" si="41"/>
        <v>일</v>
      </c>
      <c r="C770" s="29" t="s">
        <v>929</v>
      </c>
      <c r="D770" s="29" t="str">
        <f>VLOOKUP($C770,청소코드!$C$4:$J$188,3,FALSE)</f>
        <v>예건 303</v>
      </c>
      <c r="E770" s="29">
        <f>VLOOKUP($C770,청소코드!$C$4:$J$188,4,FALSE)</f>
        <v>2</v>
      </c>
      <c r="F770" s="29" t="s">
        <v>941</v>
      </c>
      <c r="G770" s="29"/>
      <c r="H770" s="29"/>
      <c r="I770" s="29" t="s">
        <v>945</v>
      </c>
      <c r="J770" s="47">
        <f t="shared" si="42"/>
        <v>23000</v>
      </c>
      <c r="K770" s="29">
        <f>VLOOKUP($C770,청소코드!$C$4:$J$188,8,FALSE)</f>
        <v>23000</v>
      </c>
      <c r="L770" s="32"/>
      <c r="M770" s="31"/>
      <c r="N770" s="32"/>
      <c r="O770" s="32"/>
    </row>
    <row r="771" spans="1:15" customFormat="1" ht="12.75" customHeight="1">
      <c r="A771" s="30">
        <v>46110</v>
      </c>
      <c r="B771" s="29" t="str">
        <f t="shared" si="41"/>
        <v>일</v>
      </c>
      <c r="C771" s="29" t="s">
        <v>930</v>
      </c>
      <c r="D771" s="29" t="str">
        <f>VLOOKUP($C771,청소코드!$C$4:$J$188,3,FALSE)</f>
        <v>길동다성 506</v>
      </c>
      <c r="E771" s="29">
        <f>VLOOKUP($C771,청소코드!$C$4:$J$188,4,FALSE)</f>
        <v>1</v>
      </c>
      <c r="F771" s="29" t="s">
        <v>426</v>
      </c>
      <c r="G771" s="29"/>
      <c r="H771" s="29"/>
      <c r="I771" s="29" t="s">
        <v>431</v>
      </c>
      <c r="J771" s="47">
        <f t="shared" si="42"/>
        <v>18000</v>
      </c>
      <c r="K771" s="29">
        <f>VLOOKUP($C771,청소코드!$C$4:$J$188,8,FALSE)</f>
        <v>18000</v>
      </c>
      <c r="L771" s="32"/>
      <c r="M771" s="31"/>
      <c r="N771" s="32"/>
      <c r="O771" s="32"/>
    </row>
    <row r="772" spans="1:15" customFormat="1" ht="12.75" customHeight="1">
      <c r="A772" s="30">
        <v>46110</v>
      </c>
      <c r="B772" s="29" t="str">
        <f t="shared" si="41"/>
        <v>일</v>
      </c>
      <c r="C772" s="29" t="s">
        <v>931</v>
      </c>
      <c r="D772" s="29" t="str">
        <f>VLOOKUP($C772,청소코드!$C$4:$J$188,3,FALSE)</f>
        <v>강동QV 1604</v>
      </c>
      <c r="E772" s="29">
        <f>VLOOKUP($C772,청소코드!$C$4:$J$188,4,FALSE)</f>
        <v>1</v>
      </c>
      <c r="F772" s="29" t="s">
        <v>426</v>
      </c>
      <c r="G772" s="29"/>
      <c r="H772" s="29"/>
      <c r="I772" s="29" t="s">
        <v>431</v>
      </c>
      <c r="J772" s="47">
        <f t="shared" si="42"/>
        <v>18000</v>
      </c>
      <c r="K772" s="29">
        <f>VLOOKUP($C772,청소코드!$C$4:$J$188,8,FALSE)</f>
        <v>18000</v>
      </c>
      <c r="L772" s="32"/>
      <c r="M772" s="31"/>
      <c r="N772" s="32"/>
      <c r="O772" s="32"/>
    </row>
    <row r="773" spans="1:15" customFormat="1" ht="12.75" customHeight="1">
      <c r="A773" s="30">
        <v>46110</v>
      </c>
      <c r="B773" s="29" t="str">
        <f t="shared" si="41"/>
        <v>일</v>
      </c>
      <c r="C773" s="29" t="s">
        <v>932</v>
      </c>
      <c r="D773" s="29" t="str">
        <f>VLOOKUP($C773,청소코드!$C$4:$J$188,3,FALSE)</f>
        <v>청광3차 1416</v>
      </c>
      <c r="E773" s="29">
        <f>VLOOKUP($C773,청소코드!$C$4:$J$188,4,FALSE)</f>
        <v>1</v>
      </c>
      <c r="F773" s="29" t="s">
        <v>449</v>
      </c>
      <c r="G773" s="29"/>
      <c r="H773" s="29"/>
      <c r="I773" s="29" t="s">
        <v>431</v>
      </c>
      <c r="J773" s="47">
        <f t="shared" si="42"/>
        <v>18000</v>
      </c>
      <c r="K773" s="29">
        <f>VLOOKUP($C773,청소코드!$C$4:$J$188,8,FALSE)</f>
        <v>18000</v>
      </c>
      <c r="L773" s="32"/>
      <c r="M773" s="31"/>
      <c r="N773" s="32"/>
      <c r="O773" s="32"/>
    </row>
    <row r="774" spans="1:15" customFormat="1" ht="12.75" customHeight="1">
      <c r="A774" s="30">
        <v>46110</v>
      </c>
      <c r="B774" s="29" t="str">
        <f t="shared" si="41"/>
        <v>일</v>
      </c>
      <c r="C774" s="29" t="s">
        <v>933</v>
      </c>
      <c r="D774" s="29" t="str">
        <f>VLOOKUP($C774,청소코드!$C$4:$J$188,3,FALSE)</f>
        <v>청광3차 507</v>
      </c>
      <c r="E774" s="29">
        <f>VLOOKUP($C774,청소코드!$C$4:$J$188,4,FALSE)</f>
        <v>1</v>
      </c>
      <c r="F774" s="29" t="s">
        <v>449</v>
      </c>
      <c r="G774" s="29"/>
      <c r="H774" s="29"/>
      <c r="I774" s="29" t="s">
        <v>945</v>
      </c>
      <c r="J774" s="47">
        <f t="shared" si="42"/>
        <v>18000</v>
      </c>
      <c r="K774" s="29">
        <f>VLOOKUP($C774,청소코드!$C$4:$J$188,8,FALSE)</f>
        <v>18000</v>
      </c>
      <c r="L774" s="32"/>
      <c r="M774" s="31"/>
      <c r="N774" s="32"/>
      <c r="O774" s="32"/>
    </row>
    <row r="775" spans="1:15" customFormat="1" ht="12.75" customHeight="1">
      <c r="A775" s="30">
        <v>46110</v>
      </c>
      <c r="B775" s="29" t="str">
        <f t="shared" si="41"/>
        <v>일</v>
      </c>
      <c r="C775" s="29" t="s">
        <v>934</v>
      </c>
      <c r="D775" s="29" t="str">
        <f>VLOOKUP($C775,청소코드!$C$4:$J$188,3,FALSE)</f>
        <v>태상 501</v>
      </c>
      <c r="E775" s="29">
        <f>VLOOKUP($C775,청소코드!$C$4:$J$188,4,FALSE)</f>
        <v>2</v>
      </c>
      <c r="F775" s="29" t="s">
        <v>401</v>
      </c>
      <c r="G775" s="29" t="s">
        <v>944</v>
      </c>
      <c r="H775" s="29"/>
      <c r="I775" s="29" t="s">
        <v>431</v>
      </c>
      <c r="J775" s="47">
        <f t="shared" si="42"/>
        <v>28000</v>
      </c>
      <c r="K775" s="29">
        <f>VLOOKUP($C775,청소코드!$C$4:$J$188,8,FALSE)</f>
        <v>23000</v>
      </c>
      <c r="L775" s="32">
        <v>5000</v>
      </c>
      <c r="M775" s="31"/>
      <c r="N775" s="32"/>
      <c r="O775" s="32"/>
    </row>
    <row r="776" spans="1:15" customFormat="1" ht="12.75" customHeight="1">
      <c r="A776" s="30">
        <v>46110</v>
      </c>
      <c r="B776" s="29" t="str">
        <f t="shared" si="41"/>
        <v>일</v>
      </c>
      <c r="C776" s="29" t="s">
        <v>935</v>
      </c>
      <c r="D776" s="29" t="str">
        <f>VLOOKUP($C776,청소코드!$C$4:$J$188,3,FALSE)</f>
        <v>si 602</v>
      </c>
      <c r="E776" s="29">
        <f>VLOOKUP($C776,청소코드!$C$4:$J$188,4,FALSE)</f>
        <v>1</v>
      </c>
      <c r="F776" s="29" t="s">
        <v>401</v>
      </c>
      <c r="H776" s="29"/>
      <c r="I776" s="29" t="s">
        <v>945</v>
      </c>
      <c r="J776" s="47">
        <f t="shared" si="42"/>
        <v>20000</v>
      </c>
      <c r="K776" s="29">
        <f>VLOOKUP($C776,청소코드!$C$4:$J$188,8,FALSE)</f>
        <v>20000</v>
      </c>
      <c r="M776" s="31"/>
      <c r="N776" s="32"/>
      <c r="O776" s="32"/>
    </row>
    <row r="777" spans="1:15" customFormat="1" ht="12.75" customHeight="1">
      <c r="A777" s="30">
        <v>46110</v>
      </c>
      <c r="B777" s="29" t="str">
        <f t="shared" si="41"/>
        <v>일</v>
      </c>
      <c r="C777" s="29" t="s">
        <v>936</v>
      </c>
      <c r="D777" s="29" t="str">
        <f>VLOOKUP($C777,청소코드!$C$4:$J$188,3,FALSE)</f>
        <v>오금스타 205</v>
      </c>
      <c r="E777" s="29">
        <f>VLOOKUP($C777,청소코드!$C$4:$J$188,4,FALSE)</f>
        <v>1</v>
      </c>
      <c r="F777" s="29" t="s">
        <v>545</v>
      </c>
      <c r="G777" s="29"/>
      <c r="H777" s="29"/>
      <c r="I777" s="29" t="s">
        <v>945</v>
      </c>
      <c r="J777" s="47">
        <f t="shared" si="42"/>
        <v>20000</v>
      </c>
      <c r="K777" s="29">
        <f>VLOOKUP($C777,청소코드!$C$4:$J$188,8,FALSE)</f>
        <v>18000</v>
      </c>
      <c r="L777" s="32">
        <v>2000</v>
      </c>
      <c r="M777" s="31"/>
      <c r="N777" s="32"/>
      <c r="O777" s="32"/>
    </row>
    <row r="778" spans="1:15" customFormat="1" ht="12.75" customHeight="1">
      <c r="A778" s="30">
        <v>46110</v>
      </c>
      <c r="B778" s="29" t="str">
        <f t="shared" ref="B778:B798" si="43">TEXT(A778,"aaa")</f>
        <v>일</v>
      </c>
      <c r="C778" s="29" t="s">
        <v>937</v>
      </c>
      <c r="D778" s="29" t="str">
        <f>VLOOKUP($C778,청소코드!$C$4:$J$188,3,FALSE)</f>
        <v>오금스타 402</v>
      </c>
      <c r="E778" s="29">
        <f>VLOOKUP($C778,청소코드!$C$4:$J$188,4,FALSE)</f>
        <v>1</v>
      </c>
      <c r="F778" s="29" t="s">
        <v>545</v>
      </c>
      <c r="G778" s="29"/>
      <c r="H778" s="29"/>
      <c r="I778" s="29" t="s">
        <v>431</v>
      </c>
      <c r="J778" s="47">
        <f t="shared" ref="J778:J795" si="44">SUM(K778:O778)</f>
        <v>20000</v>
      </c>
      <c r="K778" s="29">
        <f>VLOOKUP($C778,청소코드!$C$4:$J$188,8,FALSE)</f>
        <v>18000</v>
      </c>
      <c r="L778" s="32">
        <v>2000</v>
      </c>
      <c r="M778" s="31"/>
      <c r="N778" s="32"/>
      <c r="O778" s="32"/>
    </row>
    <row r="779" spans="1:15" customFormat="1" ht="12.75" customHeight="1">
      <c r="A779" s="30">
        <v>46110</v>
      </c>
      <c r="B779" s="29" t="str">
        <f t="shared" si="43"/>
        <v>일</v>
      </c>
      <c r="C779" s="29" t="s">
        <v>938</v>
      </c>
      <c r="D779" s="29" t="str">
        <f>VLOOKUP($C779,청소코드!$C$4:$J$188,3,FALSE)</f>
        <v>센텀 2차 406</v>
      </c>
      <c r="E779" s="29">
        <f>VLOOKUP($C779,청소코드!$C$4:$J$188,4,FALSE)</f>
        <v>1.5</v>
      </c>
      <c r="F779" s="29" t="s">
        <v>942</v>
      </c>
      <c r="G779" s="29"/>
      <c r="H779" s="29"/>
      <c r="I779" s="29" t="s">
        <v>431</v>
      </c>
      <c r="J779" s="47">
        <f t="shared" si="44"/>
        <v>20000</v>
      </c>
      <c r="K779" s="29">
        <f>VLOOKUP($C779,청소코드!$C$4:$J$188,8,FALSE)</f>
        <v>20000</v>
      </c>
      <c r="L779" s="32"/>
      <c r="M779" s="31"/>
      <c r="N779" s="32"/>
      <c r="O779" s="32"/>
    </row>
    <row r="780" spans="1:15" customFormat="1" ht="12.75" customHeight="1">
      <c r="A780" s="30">
        <v>46110</v>
      </c>
      <c r="B780" s="29" t="str">
        <f t="shared" si="43"/>
        <v>일</v>
      </c>
      <c r="C780" s="29" t="s">
        <v>939</v>
      </c>
      <c r="D780" s="29" t="str">
        <f>VLOOKUP($C780,청소코드!$C$4:$J$188,3,FALSE)</f>
        <v>은성 603</v>
      </c>
      <c r="E780" s="29">
        <f>VLOOKUP($C780,청소코드!$C$4:$J$188,4,FALSE)</f>
        <v>1</v>
      </c>
      <c r="F780" s="29" t="s">
        <v>437</v>
      </c>
      <c r="G780" s="29"/>
      <c r="H780" s="29"/>
      <c r="I780" s="29" t="s">
        <v>431</v>
      </c>
      <c r="J780" s="47">
        <f t="shared" si="44"/>
        <v>18000</v>
      </c>
      <c r="K780" s="29">
        <f>VLOOKUP($C780,청소코드!$C$4:$J$188,8,FALSE)</f>
        <v>18000</v>
      </c>
      <c r="L780" s="32"/>
      <c r="M780" s="31"/>
      <c r="N780" s="32"/>
      <c r="O780" s="32"/>
    </row>
    <row r="781" spans="1:15" customFormat="1" ht="12.75" customHeight="1">
      <c r="A781" s="30">
        <v>46110</v>
      </c>
      <c r="B781" s="29" t="str">
        <f t="shared" si="43"/>
        <v>일</v>
      </c>
      <c r="C781" s="29" t="s">
        <v>940</v>
      </c>
      <c r="D781" s="29" t="str">
        <f>VLOOKUP($C781,청소코드!$C$4:$J$188,3,FALSE)</f>
        <v>하람휴 1001</v>
      </c>
      <c r="E781" s="29">
        <f>VLOOKUP($C781,청소코드!$C$4:$J$188,4,FALSE)</f>
        <v>2</v>
      </c>
      <c r="F781" s="29" t="s">
        <v>408</v>
      </c>
      <c r="G781" s="29"/>
      <c r="H781" s="29"/>
      <c r="I781" s="29" t="s">
        <v>431</v>
      </c>
      <c r="J781" s="47">
        <f t="shared" si="44"/>
        <v>23000</v>
      </c>
      <c r="K781" s="29">
        <f>VLOOKUP($C781,청소코드!$C$4:$J$188,8,FALSE)</f>
        <v>23000</v>
      </c>
      <c r="L781" s="32"/>
      <c r="M781" s="31"/>
      <c r="N781" s="32"/>
      <c r="O781" s="32"/>
    </row>
    <row r="782" spans="1:15" customFormat="1" ht="12.75" customHeight="1">
      <c r="A782" s="30">
        <v>46110</v>
      </c>
      <c r="B782" s="29" t="str">
        <f t="shared" si="43"/>
        <v>일</v>
      </c>
      <c r="C782" s="29" t="s">
        <v>943</v>
      </c>
      <c r="D782" s="29" t="str">
        <f>VLOOKUP($C782,청소코드!$C$4:$J$188,3,FALSE)</f>
        <v>청광1차 207</v>
      </c>
      <c r="E782" s="29">
        <f>VLOOKUP($C782,청소코드!$C$4:$J$188,4,FALSE)</f>
        <v>0</v>
      </c>
      <c r="F782" s="29" t="s">
        <v>426</v>
      </c>
      <c r="G782" s="29"/>
      <c r="H782" s="29"/>
      <c r="I782" s="29" t="s">
        <v>431</v>
      </c>
      <c r="J782" s="47">
        <f t="shared" si="44"/>
        <v>10000</v>
      </c>
      <c r="K782" s="29">
        <f>VLOOKUP($C782,청소코드!$C$4:$J$188,8,FALSE)</f>
        <v>10000</v>
      </c>
      <c r="L782" s="32"/>
      <c r="M782" s="31"/>
      <c r="N782" s="32"/>
      <c r="O782" s="32"/>
    </row>
    <row r="783" spans="1:15" customFormat="1" ht="12.75" customHeight="1">
      <c r="A783" s="49">
        <v>46111</v>
      </c>
      <c r="B783" s="50" t="str">
        <f t="shared" si="43"/>
        <v>월</v>
      </c>
      <c r="C783" s="29" t="s">
        <v>341</v>
      </c>
      <c r="D783" s="29" t="str">
        <f>VLOOKUP($C783,청소코드!$C$4:$J$188,3,FALSE)</f>
        <v>예건 303</v>
      </c>
      <c r="E783" s="29">
        <f>VLOOKUP($C783,청소코드!$C$4:$J$188,4,FALSE)</f>
        <v>2</v>
      </c>
      <c r="F783" s="29" t="s">
        <v>438</v>
      </c>
      <c r="G783" s="29"/>
      <c r="H783" s="29"/>
      <c r="I783" s="29" t="s">
        <v>439</v>
      </c>
      <c r="J783" s="47">
        <f t="shared" si="44"/>
        <v>23000</v>
      </c>
      <c r="K783" s="29">
        <f>VLOOKUP($C783,청소코드!$C$4:$J$188,8,FALSE)</f>
        <v>23000</v>
      </c>
      <c r="L783" s="32"/>
      <c r="M783" s="31"/>
      <c r="N783" s="32"/>
      <c r="O783" s="32"/>
    </row>
    <row r="784" spans="1:15" customFormat="1" ht="12.75" customHeight="1">
      <c r="A784" s="30">
        <v>46111</v>
      </c>
      <c r="B784" s="29" t="str">
        <f t="shared" si="43"/>
        <v>월</v>
      </c>
      <c r="C784" s="29" t="s">
        <v>498</v>
      </c>
      <c r="D784" s="29" t="str">
        <f>VLOOKUP($C784,청소코드!$C$4:$J$188,3,FALSE)</f>
        <v>더하임 1006</v>
      </c>
      <c r="E784" s="29">
        <f>VLOOKUP($C784,청소코드!$C$4:$J$188,4,FALSE)</f>
        <v>1.5</v>
      </c>
      <c r="F784" s="29" t="s">
        <v>426</v>
      </c>
      <c r="G784" s="29"/>
      <c r="H784" s="29"/>
      <c r="I784" s="29" t="s">
        <v>431</v>
      </c>
      <c r="J784" s="47">
        <f t="shared" si="44"/>
        <v>20000</v>
      </c>
      <c r="K784" s="29">
        <f>VLOOKUP($C784,청소코드!$C$4:$J$188,8,FALSE)</f>
        <v>20000</v>
      </c>
      <c r="L784" s="32"/>
      <c r="M784" s="31"/>
      <c r="N784" s="32"/>
      <c r="O784" s="32"/>
    </row>
    <row r="785" spans="1:15" customFormat="1" ht="12.75" customHeight="1">
      <c r="A785" s="30">
        <v>46111</v>
      </c>
      <c r="B785" s="29" t="str">
        <f t="shared" si="43"/>
        <v>월</v>
      </c>
      <c r="C785" s="29" t="s">
        <v>417</v>
      </c>
      <c r="D785" s="29" t="str">
        <f>VLOOKUP($C785,청소코드!$C$4:$J$188,3,FALSE)</f>
        <v>더하임 504</v>
      </c>
      <c r="E785" s="29">
        <f>VLOOKUP($C785,청소코드!$C$4:$J$188,4,FALSE)</f>
        <v>1</v>
      </c>
      <c r="F785" s="29" t="s">
        <v>426</v>
      </c>
      <c r="G785" s="29"/>
      <c r="H785" s="29"/>
      <c r="I785" s="29" t="s">
        <v>431</v>
      </c>
      <c r="J785" s="47">
        <f t="shared" si="44"/>
        <v>18000</v>
      </c>
      <c r="K785" s="29">
        <f>VLOOKUP($C785,청소코드!$C$4:$J$188,8,FALSE)</f>
        <v>18000</v>
      </c>
      <c r="L785" s="32"/>
      <c r="M785" s="31"/>
      <c r="N785" s="32"/>
      <c r="O785" s="32"/>
    </row>
    <row r="786" spans="1:15" customFormat="1" ht="12.75" customHeight="1">
      <c r="A786" s="30">
        <v>46111</v>
      </c>
      <c r="B786" s="29" t="str">
        <f t="shared" si="43"/>
        <v>월</v>
      </c>
      <c r="C786" s="29" t="s">
        <v>869</v>
      </c>
      <c r="D786" s="29" t="str">
        <f>VLOOKUP($C786,청소코드!$C$4:$J$188,3,FALSE)</f>
        <v>더하임 904</v>
      </c>
      <c r="E786" s="29">
        <f>VLOOKUP($C786,청소코드!$C$4:$J$188,4,FALSE)</f>
        <v>1</v>
      </c>
      <c r="F786" s="29" t="s">
        <v>452</v>
      </c>
      <c r="G786" s="29"/>
      <c r="H786" s="29"/>
      <c r="I786" s="29" t="s">
        <v>431</v>
      </c>
      <c r="J786" s="47">
        <f t="shared" si="44"/>
        <v>18000</v>
      </c>
      <c r="K786" s="29">
        <f>VLOOKUP($C786,청소코드!$C$4:$J$188,8,FALSE)</f>
        <v>18000</v>
      </c>
      <c r="L786" s="32"/>
      <c r="M786" s="31"/>
      <c r="N786" s="32"/>
      <c r="O786" s="32"/>
    </row>
    <row r="787" spans="1:15" customFormat="1" ht="12.75" customHeight="1">
      <c r="A787" s="30">
        <v>46111</v>
      </c>
      <c r="B787" s="29" t="str">
        <f t="shared" si="43"/>
        <v>월</v>
      </c>
      <c r="C787" s="29" t="s">
        <v>872</v>
      </c>
      <c r="D787" s="29" t="str">
        <f>VLOOKUP($C787,청소코드!$C$4:$J$188,3,FALSE)</f>
        <v>더하임 905</v>
      </c>
      <c r="E787" s="29">
        <f>VLOOKUP($C787,청소코드!$C$4:$J$188,4,FALSE)</f>
        <v>1</v>
      </c>
      <c r="F787" s="29" t="s">
        <v>452</v>
      </c>
      <c r="G787" s="29"/>
      <c r="H787" s="29"/>
      <c r="I787" s="29" t="s">
        <v>431</v>
      </c>
      <c r="J787" s="47">
        <f t="shared" si="44"/>
        <v>18000</v>
      </c>
      <c r="K787" s="29">
        <f>VLOOKUP($C787,청소코드!$C$4:$J$188,8,FALSE)</f>
        <v>18000</v>
      </c>
      <c r="L787" s="32"/>
      <c r="M787" s="31"/>
      <c r="N787" s="32"/>
      <c r="O787" s="32"/>
    </row>
    <row r="788" spans="1:15" customFormat="1" ht="12.75" customHeight="1">
      <c r="A788" s="30">
        <v>46111</v>
      </c>
      <c r="B788" s="29" t="str">
        <f t="shared" si="43"/>
        <v>월</v>
      </c>
      <c r="C788" s="29" t="s">
        <v>284</v>
      </c>
      <c r="D788" s="29" t="str">
        <f>VLOOKUP($C788,청소코드!$C$4:$J$188,3,FALSE)</f>
        <v>청광1차 1303</v>
      </c>
      <c r="E788" s="29">
        <f>VLOOKUP($C788,청소코드!$C$4:$J$188,4,FALSE)</f>
        <v>1</v>
      </c>
      <c r="F788" s="29" t="s">
        <v>449</v>
      </c>
      <c r="G788" s="29"/>
      <c r="H788" s="29"/>
      <c r="I788" s="29" t="s">
        <v>431</v>
      </c>
      <c r="J788" s="47">
        <f t="shared" si="44"/>
        <v>18000</v>
      </c>
      <c r="K788" s="29">
        <f>VLOOKUP($C788,청소코드!$C$4:$J$188,8,FALSE)</f>
        <v>18000</v>
      </c>
      <c r="L788" s="32"/>
      <c r="M788" s="31"/>
      <c r="N788" s="32"/>
      <c r="O788" s="32"/>
    </row>
    <row r="789" spans="1:15" customFormat="1" ht="12.75" customHeight="1">
      <c r="A789" s="30">
        <v>46111</v>
      </c>
      <c r="B789" s="29" t="str">
        <f t="shared" si="43"/>
        <v>월</v>
      </c>
      <c r="C789" s="29" t="s">
        <v>315</v>
      </c>
      <c r="D789" s="29" t="str">
        <f>VLOOKUP($C789,청소코드!$C$4:$J$188,3,FALSE)</f>
        <v>동구햇살 1203</v>
      </c>
      <c r="E789" s="29" t="str">
        <f>VLOOKUP($C789,청소코드!$C$4:$J$188,4,FALSE)</f>
        <v>복</v>
      </c>
      <c r="F789" s="29" t="s">
        <v>449</v>
      </c>
      <c r="G789" s="29" t="s">
        <v>898</v>
      </c>
      <c r="H789" s="29"/>
      <c r="I789" s="29" t="s">
        <v>431</v>
      </c>
      <c r="J789" s="47">
        <f t="shared" si="44"/>
        <v>25000</v>
      </c>
      <c r="K789" s="29">
        <f>VLOOKUP($C789,청소코드!$C$4:$J$188,8,FALSE)</f>
        <v>20000</v>
      </c>
      <c r="L789" s="32">
        <v>5000</v>
      </c>
      <c r="M789" s="31"/>
      <c r="N789" s="32"/>
      <c r="O789" s="32"/>
    </row>
    <row r="790" spans="1:15" customFormat="1" ht="12.75" customHeight="1">
      <c r="A790" s="30">
        <v>46111</v>
      </c>
      <c r="B790" s="29" t="str">
        <f t="shared" si="43"/>
        <v>월</v>
      </c>
      <c r="C790" s="29" t="s">
        <v>291</v>
      </c>
      <c r="D790" s="29" t="str">
        <f>VLOOKUP($C790,청소코드!$C$4:$J$188,3,FALSE)</f>
        <v>한양립스 503</v>
      </c>
      <c r="E790" s="29">
        <f>VLOOKUP($C790,청소코드!$C$4:$J$188,4,FALSE)</f>
        <v>1</v>
      </c>
      <c r="F790" s="29" t="s">
        <v>437</v>
      </c>
      <c r="G790" s="29"/>
      <c r="H790" s="29"/>
      <c r="I790" s="29" t="s">
        <v>431</v>
      </c>
      <c r="J790" s="47">
        <f t="shared" si="44"/>
        <v>18000</v>
      </c>
      <c r="K790" s="29">
        <f>VLOOKUP($C790,청소코드!$C$4:$J$188,8,FALSE)</f>
        <v>18000</v>
      </c>
      <c r="L790" s="32"/>
      <c r="M790" s="31"/>
      <c r="N790" s="32"/>
      <c r="O790" s="32"/>
    </row>
    <row r="791" spans="1:15" customFormat="1" ht="12.75" customHeight="1">
      <c r="A791" s="30">
        <v>46111</v>
      </c>
      <c r="B791" s="29" t="str">
        <f t="shared" si="43"/>
        <v>월</v>
      </c>
      <c r="C791" s="29" t="s">
        <v>292</v>
      </c>
      <c r="D791" s="29" t="str">
        <f>VLOOKUP($C791,청소코드!$C$4:$J$188,3,FALSE)</f>
        <v>오앤 401</v>
      </c>
      <c r="E791" s="29">
        <f>VLOOKUP($C791,청소코드!$C$4:$J$188,4,FALSE)</f>
        <v>1</v>
      </c>
      <c r="F791" s="29" t="s">
        <v>437</v>
      </c>
      <c r="G791" s="29"/>
      <c r="H791" s="29"/>
      <c r="I791" s="29" t="s">
        <v>431</v>
      </c>
      <c r="J791" s="47">
        <f t="shared" si="44"/>
        <v>18000</v>
      </c>
      <c r="K791" s="29">
        <f>VLOOKUP($C791,청소코드!$C$4:$J$188,8,FALSE)</f>
        <v>18000</v>
      </c>
      <c r="L791" s="32"/>
      <c r="M791" s="31"/>
      <c r="N791" s="32"/>
      <c r="O791" s="32"/>
    </row>
    <row r="792" spans="1:15" customFormat="1" ht="12.75" customHeight="1">
      <c r="A792" s="30">
        <v>46111</v>
      </c>
      <c r="B792" s="29" t="str">
        <f t="shared" si="43"/>
        <v>월</v>
      </c>
      <c r="C792" s="29" t="s">
        <v>331</v>
      </c>
      <c r="D792" s="29" t="str">
        <f>VLOOKUP($C792,청소코드!$C$4:$J$188,3,FALSE)</f>
        <v>si 502</v>
      </c>
      <c r="E792" s="29">
        <f>VLOOKUP($C792,청소코드!$C$4:$J$188,4,FALSE)</f>
        <v>1</v>
      </c>
      <c r="F792" s="29" t="s">
        <v>401</v>
      </c>
      <c r="G792" s="29"/>
      <c r="H792" s="29"/>
      <c r="I792" s="29" t="s">
        <v>431</v>
      </c>
      <c r="J792" s="47">
        <f t="shared" si="44"/>
        <v>20000</v>
      </c>
      <c r="K792" s="29">
        <f>VLOOKUP($C792,청소코드!$C$4:$J$188,8,FALSE)</f>
        <v>20000</v>
      </c>
      <c r="L792" s="32"/>
      <c r="M792" s="31"/>
      <c r="N792" s="32"/>
      <c r="O792" s="32"/>
    </row>
    <row r="793" spans="1:15" customFormat="1" ht="12.75" customHeight="1">
      <c r="A793" s="30">
        <v>46111</v>
      </c>
      <c r="B793" s="29" t="str">
        <f t="shared" si="43"/>
        <v>월</v>
      </c>
      <c r="C793" s="29" t="s">
        <v>379</v>
      </c>
      <c r="D793" s="29" t="str">
        <f>VLOOKUP($C793,청소코드!$C$4:$J$188,3,FALSE)</f>
        <v>si 602</v>
      </c>
      <c r="E793" s="29">
        <f>VLOOKUP($C793,청소코드!$C$4:$J$188,4,FALSE)</f>
        <v>1</v>
      </c>
      <c r="F793" s="29" t="s">
        <v>401</v>
      </c>
      <c r="G793" s="29"/>
      <c r="H793" s="29"/>
      <c r="I793" s="29" t="s">
        <v>431</v>
      </c>
      <c r="J793" s="47">
        <f t="shared" si="44"/>
        <v>20000</v>
      </c>
      <c r="K793" s="29">
        <f>VLOOKUP($C793,청소코드!$C$4:$J$188,8,FALSE)</f>
        <v>20000</v>
      </c>
      <c r="L793" s="32"/>
      <c r="M793" s="31"/>
      <c r="N793" s="32"/>
      <c r="O793" s="32"/>
    </row>
    <row r="794" spans="1:15" customFormat="1" ht="12.75" customHeight="1">
      <c r="A794" s="30">
        <v>46111</v>
      </c>
      <c r="B794" s="29" t="str">
        <f t="shared" si="43"/>
        <v>월</v>
      </c>
      <c r="C794" s="29" t="s">
        <v>369</v>
      </c>
      <c r="D794" s="29" t="str">
        <f>VLOOKUP($C794,청소코드!$C$4:$J$188,3,FALSE)</f>
        <v>성우 402</v>
      </c>
      <c r="E794" s="29">
        <f>VLOOKUP($C794,청소코드!$C$4:$J$188,4,FALSE)</f>
        <v>3</v>
      </c>
      <c r="F794" s="29" t="s">
        <v>429</v>
      </c>
      <c r="G794" s="29"/>
      <c r="H794" s="29"/>
      <c r="I794" s="29" t="s">
        <v>431</v>
      </c>
      <c r="J794" s="47">
        <f t="shared" si="44"/>
        <v>30000</v>
      </c>
      <c r="K794" s="29">
        <f>VLOOKUP($C794,청소코드!$C$4:$J$188,8,FALSE)</f>
        <v>30000</v>
      </c>
      <c r="L794" s="32"/>
      <c r="M794" s="31"/>
      <c r="N794" s="32"/>
      <c r="O794" s="32"/>
    </row>
    <row r="795" spans="1:15" customFormat="1" ht="12.75" customHeight="1">
      <c r="A795" s="30">
        <v>46111</v>
      </c>
      <c r="B795" s="29" t="str">
        <f t="shared" si="43"/>
        <v>월</v>
      </c>
      <c r="C795" s="29" t="s">
        <v>370</v>
      </c>
      <c r="D795" s="29" t="str">
        <f>VLOOKUP($C795,청소코드!$C$4:$J$188,3,FALSE)</f>
        <v>성우 903</v>
      </c>
      <c r="E795" s="29">
        <f>VLOOKUP($C795,청소코드!$C$4:$J$188,4,FALSE)</f>
        <v>3</v>
      </c>
      <c r="F795" s="29" t="s">
        <v>429</v>
      </c>
      <c r="G795" s="29"/>
      <c r="H795" s="29"/>
      <c r="I795" s="29" t="s">
        <v>947</v>
      </c>
      <c r="J795" s="47">
        <f t="shared" si="44"/>
        <v>30000</v>
      </c>
      <c r="K795" s="29">
        <f>VLOOKUP($C795,청소코드!$C$4:$J$188,8,FALSE)</f>
        <v>30000</v>
      </c>
      <c r="L795" s="32"/>
      <c r="M795" s="31"/>
      <c r="N795" s="32"/>
      <c r="O795" s="32"/>
    </row>
    <row r="796" spans="1:15" customFormat="1" ht="12.75" customHeight="1">
      <c r="A796" s="30">
        <v>46111</v>
      </c>
      <c r="B796" s="29" t="str">
        <f t="shared" si="43"/>
        <v>월</v>
      </c>
      <c r="C796" s="29"/>
      <c r="D796" s="29" t="s">
        <v>946</v>
      </c>
      <c r="E796" s="29" t="e">
        <f>VLOOKUP($C796,청소코드!$C$4:$J$188,4,FALSE)</f>
        <v>#N/A</v>
      </c>
      <c r="F796" s="29" t="s">
        <v>408</v>
      </c>
      <c r="G796" s="29"/>
      <c r="H796" s="29"/>
      <c r="I796" s="29" t="s">
        <v>431</v>
      </c>
      <c r="J796" s="47">
        <v>23000</v>
      </c>
      <c r="K796" s="29" t="e">
        <f>VLOOKUP($C796,청소코드!$C$4:$J$188,8,FALSE)</f>
        <v>#N/A</v>
      </c>
      <c r="L796" s="32"/>
      <c r="M796" s="31"/>
      <c r="N796" s="32"/>
      <c r="O796" s="32"/>
    </row>
    <row r="797" spans="1:15" customFormat="1" ht="12.75" customHeight="1">
      <c r="A797" s="30">
        <v>46111</v>
      </c>
      <c r="B797" s="29" t="str">
        <f t="shared" si="43"/>
        <v>월</v>
      </c>
      <c r="C797" s="29" t="s">
        <v>393</v>
      </c>
      <c r="D797" s="29" t="str">
        <f>VLOOKUP($C797,청소코드!$C$4:$J$188,3,FALSE)</f>
        <v>대치동 103호</v>
      </c>
      <c r="E797" s="29">
        <f>VLOOKUP($C797,청소코드!$C$4:$J$188,4,FALSE)</f>
        <v>1.5</v>
      </c>
      <c r="F797" s="29" t="s">
        <v>499</v>
      </c>
      <c r="G797" s="29"/>
      <c r="H797" s="29"/>
      <c r="I797" s="29" t="s">
        <v>431</v>
      </c>
      <c r="J797" s="47">
        <f t="shared" ref="J797:J828" si="45">SUM(K797:O797)</f>
        <v>20000</v>
      </c>
      <c r="K797" s="29">
        <f>VLOOKUP($C797,청소코드!$C$4:$J$188,8,FALSE)</f>
        <v>20000</v>
      </c>
      <c r="L797" s="32"/>
      <c r="M797" s="31"/>
      <c r="N797" s="32"/>
      <c r="O797" s="32"/>
    </row>
    <row r="798" spans="1:15" customFormat="1" ht="12.75" customHeight="1">
      <c r="A798" s="30">
        <v>46111</v>
      </c>
      <c r="B798" s="29" t="str">
        <f t="shared" si="43"/>
        <v>월</v>
      </c>
      <c r="C798" s="29" t="s">
        <v>416</v>
      </c>
      <c r="D798" s="29" t="str">
        <f>VLOOKUP($C798,청소코드!$C$4:$J$188,3,FALSE)</f>
        <v>청광1차 207</v>
      </c>
      <c r="E798" s="29"/>
      <c r="F798" s="29" t="s">
        <v>426</v>
      </c>
      <c r="G798" s="29"/>
      <c r="H798" s="29"/>
      <c r="I798" s="29" t="s">
        <v>431</v>
      </c>
      <c r="J798" s="47">
        <f t="shared" si="45"/>
        <v>10000</v>
      </c>
      <c r="K798" s="29">
        <f>VLOOKUP($C798,청소코드!$C$4:$J$188,8,FALSE)</f>
        <v>10000</v>
      </c>
      <c r="L798" s="32"/>
      <c r="M798" s="31"/>
      <c r="N798" s="32"/>
      <c r="O798" s="32"/>
    </row>
    <row r="799" spans="1:15" customFormat="1" ht="12.75" customHeight="1">
      <c r="A799" s="49">
        <v>46112</v>
      </c>
      <c r="B799" s="50" t="str">
        <f t="shared" ref="B799:B830" si="46">TEXT(A799,"aaa")</f>
        <v>화</v>
      </c>
      <c r="C799" s="29" t="s">
        <v>869</v>
      </c>
      <c r="D799" s="29" t="str">
        <f>VLOOKUP($C799,청소코드!$C$4:$J$188,3,FALSE)</f>
        <v>더하임 904</v>
      </c>
      <c r="E799" s="29">
        <f>VLOOKUP($C799,청소코드!$C$4:$J$188,4,FALSE)</f>
        <v>1</v>
      </c>
      <c r="F799" s="29" t="s">
        <v>438</v>
      </c>
      <c r="G799" s="29"/>
      <c r="H799" s="29"/>
      <c r="I799" s="29" t="s">
        <v>439</v>
      </c>
      <c r="J799" s="47">
        <f t="shared" si="45"/>
        <v>18000</v>
      </c>
      <c r="K799" s="29">
        <f>VLOOKUP($C799,청소코드!$C$4:$J$188,8,FALSE)</f>
        <v>18000</v>
      </c>
      <c r="L799" s="32"/>
      <c r="M799" s="31"/>
      <c r="N799" s="32"/>
      <c r="O799" s="32"/>
    </row>
    <row r="800" spans="1:15" customFormat="1" ht="12.75" customHeight="1">
      <c r="A800" s="30">
        <v>46112</v>
      </c>
      <c r="B800" s="29" t="str">
        <f t="shared" si="46"/>
        <v>화</v>
      </c>
      <c r="C800" s="29" t="s">
        <v>615</v>
      </c>
      <c r="D800" s="29" t="str">
        <f>VLOOKUP($C800,청소코드!$C$4:$J$188,3,FALSE)</f>
        <v>더하임 1003</v>
      </c>
      <c r="E800" s="29">
        <f>VLOOKUP($C800,청소코드!$C$4:$J$188,4,FALSE)</f>
        <v>1</v>
      </c>
      <c r="F800" s="29" t="s">
        <v>452</v>
      </c>
      <c r="G800" s="29"/>
      <c r="H800" s="29"/>
      <c r="I800" s="29" t="s">
        <v>431</v>
      </c>
      <c r="J800" s="47">
        <f t="shared" si="45"/>
        <v>18000</v>
      </c>
      <c r="K800" s="29">
        <f>VLOOKUP($C800,청소코드!$C$4:$J$188,8,FALSE)</f>
        <v>18000</v>
      </c>
      <c r="L800" s="32"/>
      <c r="M800" s="31"/>
      <c r="N800" s="32"/>
      <c r="O800" s="32"/>
    </row>
    <row r="801" spans="1:15" customFormat="1" ht="12.75" customHeight="1">
      <c r="A801" s="30">
        <v>46112</v>
      </c>
      <c r="B801" s="29" t="str">
        <f t="shared" si="46"/>
        <v>화</v>
      </c>
      <c r="C801" s="29" t="s">
        <v>287</v>
      </c>
      <c r="D801" s="29" t="str">
        <f>VLOOKUP($C801,청소코드!$C$4:$J$188,3,FALSE)</f>
        <v>청광3차 1412</v>
      </c>
      <c r="E801" s="29">
        <f>VLOOKUP($C801,청소코드!$C$4:$J$188,4,FALSE)</f>
        <v>1</v>
      </c>
      <c r="F801" s="29" t="s">
        <v>429</v>
      </c>
      <c r="G801" s="29"/>
      <c r="H801" s="29"/>
      <c r="I801" s="29" t="s">
        <v>431</v>
      </c>
      <c r="J801" s="47">
        <f t="shared" si="45"/>
        <v>18000</v>
      </c>
      <c r="K801" s="29">
        <f>VLOOKUP($C801,청소코드!$C$4:$J$188,8,FALSE)</f>
        <v>18000</v>
      </c>
      <c r="L801" s="32"/>
      <c r="M801" s="31"/>
      <c r="N801" s="32"/>
      <c r="O801" s="32"/>
    </row>
    <row r="802" spans="1:15" customFormat="1" ht="12.75" customHeight="1">
      <c r="A802" s="30">
        <v>46112</v>
      </c>
      <c r="B802" s="29" t="str">
        <f t="shared" si="46"/>
        <v>화</v>
      </c>
      <c r="C802" s="29" t="s">
        <v>283</v>
      </c>
      <c r="D802" s="29" t="str">
        <f>VLOOKUP($C802,청소코드!$C$4:$J$188,3,FALSE)</f>
        <v>강동QV 1604</v>
      </c>
      <c r="E802" s="29">
        <f>VLOOKUP($C802,청소코드!$C$4:$J$188,4,FALSE)</f>
        <v>1</v>
      </c>
      <c r="F802" s="29" t="s">
        <v>429</v>
      </c>
      <c r="G802" s="29"/>
      <c r="H802" s="29"/>
      <c r="I802" s="29" t="s">
        <v>431</v>
      </c>
      <c r="J802" s="47">
        <f t="shared" si="45"/>
        <v>18000</v>
      </c>
      <c r="K802" s="29">
        <f>VLOOKUP($C802,청소코드!$C$4:$J$188,8,FALSE)</f>
        <v>18000</v>
      </c>
      <c r="L802" s="32"/>
      <c r="M802" s="31"/>
      <c r="N802" s="32"/>
      <c r="O802" s="32"/>
    </row>
    <row r="803" spans="1:15" customFormat="1" ht="12.75" customHeight="1">
      <c r="A803" s="30">
        <v>46112</v>
      </c>
      <c r="B803" s="29" t="str">
        <f t="shared" si="46"/>
        <v>화</v>
      </c>
      <c r="C803" s="29" t="s">
        <v>315</v>
      </c>
      <c r="D803" s="29" t="str">
        <f>VLOOKUP($C803,청소코드!$C$4:$J$188,3,FALSE)</f>
        <v>동구햇살 1203</v>
      </c>
      <c r="E803" s="29" t="str">
        <f>VLOOKUP($C803,청소코드!$C$4:$J$188,4,FALSE)</f>
        <v>복</v>
      </c>
      <c r="F803" s="29" t="s">
        <v>401</v>
      </c>
      <c r="G803" s="29"/>
      <c r="H803" s="29"/>
      <c r="I803" s="29" t="s">
        <v>431</v>
      </c>
      <c r="J803" s="47">
        <f t="shared" si="45"/>
        <v>20000</v>
      </c>
      <c r="K803" s="29">
        <f>VLOOKUP($C803,청소코드!$C$4:$J$188,8,FALSE)</f>
        <v>20000</v>
      </c>
      <c r="L803" s="32"/>
      <c r="M803" s="31"/>
      <c r="N803" s="32"/>
      <c r="O803" s="32"/>
    </row>
    <row r="804" spans="1:15" customFormat="1" ht="12.75" customHeight="1">
      <c r="A804" s="30">
        <v>46112</v>
      </c>
      <c r="B804" s="29" t="str">
        <f t="shared" si="46"/>
        <v>화</v>
      </c>
      <c r="C804" s="29" t="s">
        <v>291</v>
      </c>
      <c r="D804" s="29" t="str">
        <f>VLOOKUP($C804,청소코드!$C$4:$J$188,3,FALSE)</f>
        <v>한양립스 503</v>
      </c>
      <c r="E804" s="29">
        <f>VLOOKUP($C804,청소코드!$C$4:$J$188,4,FALSE)</f>
        <v>1</v>
      </c>
      <c r="F804" s="29" t="s">
        <v>426</v>
      </c>
      <c r="G804" s="29"/>
      <c r="H804" s="29"/>
      <c r="I804" s="29" t="s">
        <v>431</v>
      </c>
      <c r="J804" s="47">
        <f t="shared" si="45"/>
        <v>18000</v>
      </c>
      <c r="K804" s="29">
        <f>VLOOKUP($C804,청소코드!$C$4:$J$188,8,FALSE)</f>
        <v>18000</v>
      </c>
      <c r="L804" s="32"/>
      <c r="M804" s="31"/>
      <c r="N804" s="32"/>
      <c r="O804" s="32"/>
    </row>
    <row r="805" spans="1:15" customFormat="1" ht="12.75" customHeight="1">
      <c r="A805" s="30">
        <v>46112</v>
      </c>
      <c r="B805" s="29" t="str">
        <f t="shared" si="46"/>
        <v>화</v>
      </c>
      <c r="C805" s="29" t="s">
        <v>948</v>
      </c>
      <c r="D805" s="29" t="str">
        <f>VLOOKUP($C805,청소코드!$C$4:$J$188,3,FALSE)</f>
        <v>더하임 202</v>
      </c>
      <c r="E805" s="29">
        <f>VLOOKUP($C805,청소코드!$C$4:$J$188,4,FALSE)</f>
        <v>1</v>
      </c>
      <c r="F805" s="29" t="s">
        <v>426</v>
      </c>
      <c r="G805" s="29" t="s">
        <v>495</v>
      </c>
      <c r="H805" s="29"/>
      <c r="I805" s="29" t="s">
        <v>431</v>
      </c>
      <c r="J805" s="47">
        <f t="shared" si="45"/>
        <v>30000</v>
      </c>
      <c r="K805" s="29">
        <f>VLOOKUP($C805,청소코드!$C$4:$J$188,8,FALSE)</f>
        <v>18000</v>
      </c>
      <c r="L805" s="32">
        <v>12000</v>
      </c>
      <c r="M805" s="31"/>
      <c r="N805" s="32"/>
      <c r="O805" s="32"/>
    </row>
    <row r="806" spans="1:15" customFormat="1" ht="12.75" customHeight="1">
      <c r="A806" s="30">
        <v>46112</v>
      </c>
      <c r="B806" s="29" t="str">
        <f t="shared" si="46"/>
        <v>화</v>
      </c>
      <c r="C806" s="29" t="s">
        <v>949</v>
      </c>
      <c r="D806" s="29" t="str">
        <f>VLOOKUP($C806,청소코드!$C$4:$J$188,3,FALSE)</f>
        <v>더하임 203</v>
      </c>
      <c r="E806" s="29">
        <f>VLOOKUP($C806,청소코드!$C$4:$J$188,4,FALSE)</f>
        <v>1</v>
      </c>
      <c r="F806" s="29" t="s">
        <v>438</v>
      </c>
      <c r="G806" s="29" t="s">
        <v>495</v>
      </c>
      <c r="H806" s="29"/>
      <c r="I806" s="29" t="s">
        <v>431</v>
      </c>
      <c r="J806" s="47">
        <f t="shared" si="45"/>
        <v>30000</v>
      </c>
      <c r="K806" s="29">
        <f>VLOOKUP($C806,청소코드!$C$4:$J$188,8,FALSE)</f>
        <v>18000</v>
      </c>
      <c r="L806" s="32">
        <v>12000</v>
      </c>
      <c r="M806" s="31"/>
      <c r="N806" s="32"/>
      <c r="O806" s="32"/>
    </row>
    <row r="807" spans="1:15" customFormat="1" ht="12.75" customHeight="1">
      <c r="A807" s="30">
        <v>46112</v>
      </c>
      <c r="B807" s="29" t="str">
        <f t="shared" si="46"/>
        <v>화</v>
      </c>
      <c r="C807" s="29" t="s">
        <v>950</v>
      </c>
      <c r="D807" s="29" t="str">
        <f>VLOOKUP($C807,청소코드!$C$4:$J$188,3,FALSE)</f>
        <v>더하임 205</v>
      </c>
      <c r="E807" s="29">
        <f>VLOOKUP($C807,청소코드!$C$4:$J$188,4,FALSE)</f>
        <v>1</v>
      </c>
      <c r="F807" s="29" t="s">
        <v>438</v>
      </c>
      <c r="G807" s="29" t="s">
        <v>495</v>
      </c>
      <c r="H807" s="29"/>
      <c r="I807" s="29" t="s">
        <v>431</v>
      </c>
      <c r="J807" s="47">
        <f t="shared" si="45"/>
        <v>30000</v>
      </c>
      <c r="K807" s="29">
        <f>VLOOKUP($C807,청소코드!$C$4:$J$188,8,FALSE)</f>
        <v>18000</v>
      </c>
      <c r="L807" s="32">
        <v>12000</v>
      </c>
      <c r="M807" s="31"/>
      <c r="N807" s="32"/>
      <c r="O807" s="32"/>
    </row>
    <row r="808" spans="1:15" customFormat="1" ht="12.75" customHeight="1">
      <c r="A808" s="30">
        <v>46112</v>
      </c>
      <c r="B808" s="29" t="str">
        <f t="shared" si="46"/>
        <v>화</v>
      </c>
      <c r="C808" s="29" t="s">
        <v>379</v>
      </c>
      <c r="D808" s="29" t="str">
        <f>VLOOKUP($C808,청소코드!$C$4:$J$188,3,FALSE)</f>
        <v>si 602</v>
      </c>
      <c r="E808" s="29">
        <f>VLOOKUP($C808,청소코드!$C$4:$J$188,4,FALSE)</f>
        <v>1</v>
      </c>
      <c r="F808" s="29" t="s">
        <v>452</v>
      </c>
      <c r="G808" s="29"/>
      <c r="H808" s="29"/>
      <c r="I808" s="29" t="s">
        <v>431</v>
      </c>
      <c r="J808" s="47">
        <f t="shared" si="45"/>
        <v>20000</v>
      </c>
      <c r="K808" s="29">
        <f>VLOOKUP($C808,청소코드!$C$4:$J$188,8,FALSE)</f>
        <v>20000</v>
      </c>
      <c r="L808" s="32"/>
      <c r="M808" s="31"/>
      <c r="N808" s="32"/>
      <c r="O808" s="32"/>
    </row>
    <row r="809" spans="1:15" customFormat="1" ht="12.75" customHeight="1">
      <c r="A809" s="30">
        <v>46112</v>
      </c>
      <c r="B809" s="29" t="str">
        <f t="shared" si="46"/>
        <v>화</v>
      </c>
      <c r="C809" s="29" t="s">
        <v>416</v>
      </c>
      <c r="D809" s="29" t="str">
        <f>VLOOKUP($C809,청소코드!$C$4:$J$188,3,FALSE)</f>
        <v>청광1차 207</v>
      </c>
      <c r="E809" s="29">
        <f>VLOOKUP($C809,청소코드!$C$4:$J$188,4,FALSE)</f>
        <v>0</v>
      </c>
      <c r="F809" s="29" t="s">
        <v>426</v>
      </c>
      <c r="G809" s="29"/>
      <c r="H809" s="29"/>
      <c r="I809" s="29" t="s">
        <v>431</v>
      </c>
      <c r="J809" s="47">
        <f t="shared" si="45"/>
        <v>10000</v>
      </c>
      <c r="K809" s="29">
        <f>VLOOKUP($C809,청소코드!$C$4:$J$188,8,FALSE)</f>
        <v>10000</v>
      </c>
      <c r="L809" s="32"/>
      <c r="M809" s="31"/>
      <c r="N809" s="32"/>
      <c r="O809" s="32"/>
    </row>
    <row r="810" spans="1:15" customFormat="1" ht="12.75" customHeight="1">
      <c r="A810" s="49">
        <v>46113</v>
      </c>
      <c r="B810" s="50" t="str">
        <f t="shared" si="46"/>
        <v>수</v>
      </c>
      <c r="C810" s="29" t="s">
        <v>336</v>
      </c>
      <c r="D810" s="29" t="str">
        <f>VLOOKUP($C810,청소코드!$C$4:$J$188,3,FALSE)</f>
        <v>예건 205</v>
      </c>
      <c r="E810" s="29">
        <f>VLOOKUP($C810,청소코드!$C$4:$J$188,4,FALSE)</f>
        <v>1</v>
      </c>
      <c r="F810" s="29" t="s">
        <v>429</v>
      </c>
      <c r="G810" s="29"/>
      <c r="H810" s="29"/>
      <c r="I810" s="29" t="s">
        <v>956</v>
      </c>
      <c r="J810" s="47">
        <f t="shared" si="45"/>
        <v>20000</v>
      </c>
      <c r="K810" s="29">
        <f>VLOOKUP($C810,청소코드!$C$4:$J$188,8,FALSE)</f>
        <v>18000</v>
      </c>
      <c r="L810" s="32"/>
      <c r="M810" s="31"/>
      <c r="N810" s="32">
        <v>2000</v>
      </c>
      <c r="O810" s="32"/>
    </row>
    <row r="811" spans="1:15" customFormat="1" ht="12.75" customHeight="1">
      <c r="A811" s="30">
        <v>46113</v>
      </c>
      <c r="B811" s="29" t="str">
        <f t="shared" si="46"/>
        <v>수</v>
      </c>
      <c r="C811" s="29" t="s">
        <v>497</v>
      </c>
      <c r="D811" s="29" t="str">
        <f>VLOOKUP($C811,청소코드!$C$4:$J$188,3,FALSE)</f>
        <v>더하임 1005</v>
      </c>
      <c r="E811" s="29">
        <f>VLOOKUP($C811,청소코드!$C$4:$J$188,4,FALSE)</f>
        <v>1</v>
      </c>
      <c r="F811" s="29" t="s">
        <v>401</v>
      </c>
      <c r="G811" s="29" t="s">
        <v>955</v>
      </c>
      <c r="H811" s="29"/>
      <c r="I811" s="29" t="s">
        <v>431</v>
      </c>
      <c r="J811" s="47">
        <f t="shared" si="45"/>
        <v>23000</v>
      </c>
      <c r="K811" s="29">
        <f>VLOOKUP($C811,청소코드!$C$4:$J$188,8,FALSE)</f>
        <v>18000</v>
      </c>
      <c r="L811" s="32">
        <v>5000</v>
      </c>
      <c r="M811" s="31"/>
      <c r="N811" s="32"/>
      <c r="O811" s="32"/>
    </row>
    <row r="812" spans="1:15" customFormat="1" ht="12.75" customHeight="1">
      <c r="A812" s="30">
        <v>46113</v>
      </c>
      <c r="B812" s="29" t="str">
        <f t="shared" si="46"/>
        <v>수</v>
      </c>
      <c r="C812" s="29" t="s">
        <v>373</v>
      </c>
      <c r="D812" s="29" t="str">
        <f>VLOOKUP($C812,청소코드!$C$4:$J$188,3,FALSE)</f>
        <v>더하임 204</v>
      </c>
      <c r="E812" s="29">
        <f>VLOOKUP($C812,청소코드!$C$4:$J$188,4,FALSE)</f>
        <v>1</v>
      </c>
      <c r="F812" s="29" t="s">
        <v>401</v>
      </c>
      <c r="G812" s="29"/>
      <c r="H812" s="29"/>
      <c r="I812" s="29" t="s">
        <v>431</v>
      </c>
      <c r="J812" s="47">
        <f t="shared" si="45"/>
        <v>18000</v>
      </c>
      <c r="K812" s="29">
        <f>VLOOKUP($C812,청소코드!$C$4:$J$188,8,FALSE)</f>
        <v>18000</v>
      </c>
      <c r="L812" s="32"/>
      <c r="M812" s="31"/>
      <c r="N812" s="32"/>
      <c r="O812" s="32"/>
    </row>
    <row r="813" spans="1:15" customFormat="1" ht="12.75" customHeight="1">
      <c r="A813" s="30">
        <v>46113</v>
      </c>
      <c r="B813" s="29" t="str">
        <f t="shared" si="46"/>
        <v>수</v>
      </c>
      <c r="C813" s="29" t="s">
        <v>361</v>
      </c>
      <c r="D813" s="29" t="str">
        <f>VLOOKUP($C813,청소코드!$C$4:$J$188,3,FALSE)</f>
        <v>더하임 506</v>
      </c>
      <c r="E813" s="29">
        <f>VLOOKUP($C813,청소코드!$C$4:$J$188,4,FALSE)</f>
        <v>1.5</v>
      </c>
      <c r="F813" s="29" t="s">
        <v>438</v>
      </c>
      <c r="G813" s="29"/>
      <c r="H813" s="29"/>
      <c r="I813" s="29" t="s">
        <v>431</v>
      </c>
      <c r="J813" s="47">
        <f t="shared" si="45"/>
        <v>20000</v>
      </c>
      <c r="K813" s="29">
        <f>VLOOKUP($C813,청소코드!$C$4:$J$188,8,FALSE)</f>
        <v>20000</v>
      </c>
      <c r="L813" s="32"/>
      <c r="M813" s="31"/>
      <c r="N813" s="32"/>
      <c r="O813" s="32"/>
    </row>
    <row r="814" spans="1:15" customFormat="1" ht="12.75" customHeight="1">
      <c r="A814" s="30">
        <v>46113</v>
      </c>
      <c r="B814" s="29" t="str">
        <f t="shared" si="46"/>
        <v>수</v>
      </c>
      <c r="C814" s="29" t="s">
        <v>869</v>
      </c>
      <c r="D814" s="29" t="str">
        <f>VLOOKUP($C814,청소코드!$C$4:$J$188,3,FALSE)</f>
        <v>더하임 904</v>
      </c>
      <c r="E814" s="29">
        <f>VLOOKUP($C814,청소코드!$C$4:$J$188,4,FALSE)</f>
        <v>1</v>
      </c>
      <c r="F814" s="29" t="s">
        <v>438</v>
      </c>
      <c r="G814" s="29"/>
      <c r="H814" s="29"/>
      <c r="I814" s="29" t="s">
        <v>431</v>
      </c>
      <c r="J814" s="47">
        <f t="shared" si="45"/>
        <v>18000</v>
      </c>
      <c r="K814" s="29">
        <f>VLOOKUP($C814,청소코드!$C$4:$J$188,8,FALSE)</f>
        <v>18000</v>
      </c>
      <c r="L814" s="32"/>
      <c r="M814" s="31"/>
      <c r="N814" s="32"/>
      <c r="O814" s="32"/>
    </row>
    <row r="815" spans="1:15" customFormat="1" ht="12.75" customHeight="1">
      <c r="A815" s="30">
        <v>46113</v>
      </c>
      <c r="B815" s="29" t="str">
        <f t="shared" si="46"/>
        <v>수</v>
      </c>
      <c r="C815" s="29" t="s">
        <v>284</v>
      </c>
      <c r="D815" s="29" t="str">
        <f>VLOOKUP($C815,청소코드!$C$4:$J$188,3,FALSE)</f>
        <v>청광1차 1303</v>
      </c>
      <c r="E815" s="29">
        <f>VLOOKUP($C815,청소코드!$C$4:$J$188,4,FALSE)</f>
        <v>1</v>
      </c>
      <c r="F815" s="29" t="s">
        <v>449</v>
      </c>
      <c r="G815" s="29"/>
      <c r="H815" s="29"/>
      <c r="I815" s="29" t="s">
        <v>431</v>
      </c>
      <c r="J815" s="47">
        <f t="shared" si="45"/>
        <v>18000</v>
      </c>
      <c r="K815" s="29">
        <f>VLOOKUP($C815,청소코드!$C$4:$J$188,8,FALSE)</f>
        <v>18000</v>
      </c>
      <c r="L815" s="32"/>
      <c r="M815" s="31"/>
      <c r="N815" s="32"/>
      <c r="O815" s="32"/>
    </row>
    <row r="816" spans="1:15" customFormat="1" ht="12.75" customHeight="1">
      <c r="A816" s="30">
        <v>46113</v>
      </c>
      <c r="B816" s="29" t="str">
        <f t="shared" si="46"/>
        <v>수</v>
      </c>
      <c r="C816" s="29" t="s">
        <v>283</v>
      </c>
      <c r="D816" s="29" t="str">
        <f>VLOOKUP($C816,청소코드!$C$4:$J$188,3,FALSE)</f>
        <v>강동QV 1604</v>
      </c>
      <c r="E816" s="29">
        <f>VLOOKUP($C816,청소코드!$C$4:$J$188,4,FALSE)</f>
        <v>1</v>
      </c>
      <c r="F816" s="29" t="s">
        <v>449</v>
      </c>
      <c r="G816" s="29"/>
      <c r="H816" s="29"/>
      <c r="I816" s="29" t="s">
        <v>431</v>
      </c>
      <c r="J816" s="47">
        <f t="shared" si="45"/>
        <v>18000</v>
      </c>
      <c r="K816" s="29">
        <f>VLOOKUP($C816,청소코드!$C$4:$J$188,8,FALSE)</f>
        <v>18000</v>
      </c>
      <c r="L816" s="32"/>
      <c r="M816" s="31"/>
      <c r="N816" s="32"/>
      <c r="O816" s="32"/>
    </row>
    <row r="817" spans="1:15" customFormat="1" ht="12.75" customHeight="1">
      <c r="A817" s="30">
        <v>46113</v>
      </c>
      <c r="B817" s="29" t="str">
        <f t="shared" si="46"/>
        <v>수</v>
      </c>
      <c r="C817" s="29" t="s">
        <v>291</v>
      </c>
      <c r="D817" s="29" t="str">
        <f>VLOOKUP($C817,청소코드!$C$4:$J$188,3,FALSE)</f>
        <v>한양립스 503</v>
      </c>
      <c r="E817" s="29">
        <f>VLOOKUP($C817,청소코드!$C$4:$J$188,4,FALSE)</f>
        <v>1</v>
      </c>
      <c r="F817" s="29" t="s">
        <v>426</v>
      </c>
      <c r="G817" s="29" t="s">
        <v>955</v>
      </c>
      <c r="H817" s="29"/>
      <c r="I817" s="29" t="s">
        <v>431</v>
      </c>
      <c r="J817" s="47">
        <f t="shared" si="45"/>
        <v>23000</v>
      </c>
      <c r="K817" s="29">
        <f>VLOOKUP($C817,청소코드!$C$4:$J$188,8,FALSE)</f>
        <v>18000</v>
      </c>
      <c r="L817" s="32">
        <v>5000</v>
      </c>
      <c r="M817" s="31"/>
      <c r="N817" s="32"/>
      <c r="O817" s="32"/>
    </row>
    <row r="818" spans="1:15" customFormat="1" ht="12.75" customHeight="1">
      <c r="A818" s="30">
        <v>46113</v>
      </c>
      <c r="B818" s="29" t="str">
        <f t="shared" si="46"/>
        <v>수</v>
      </c>
      <c r="C818" s="29" t="s">
        <v>416</v>
      </c>
      <c r="D818" s="29" t="str">
        <f>VLOOKUP($C818,청소코드!$C$4:$J$188,3,FALSE)</f>
        <v>청광1차 207</v>
      </c>
      <c r="E818" s="29">
        <f>VLOOKUP($C818,청소코드!$C$4:$J$188,4,FALSE)</f>
        <v>0</v>
      </c>
      <c r="F818" s="29" t="s">
        <v>426</v>
      </c>
      <c r="G818" s="29"/>
      <c r="H818" s="29"/>
      <c r="I818" s="29" t="s">
        <v>431</v>
      </c>
      <c r="J818" s="47">
        <f t="shared" si="45"/>
        <v>10000</v>
      </c>
      <c r="K818" s="29">
        <f>VLOOKUP($C818,청소코드!$C$4:$J$188,8,FALSE)</f>
        <v>10000</v>
      </c>
      <c r="L818" s="32"/>
      <c r="M818" s="31"/>
      <c r="N818" s="32"/>
      <c r="O818" s="32"/>
    </row>
    <row r="819" spans="1:15" customFormat="1" ht="12.75" customHeight="1">
      <c r="A819" s="49">
        <v>46114</v>
      </c>
      <c r="B819" s="50" t="str">
        <f t="shared" si="46"/>
        <v>목</v>
      </c>
      <c r="C819" s="29" t="s">
        <v>948</v>
      </c>
      <c r="D819" s="29" t="str">
        <f>VLOOKUP($C819,청소코드!$C$4:$J$188,3,FALSE)</f>
        <v>더하임 202</v>
      </c>
      <c r="E819" s="29">
        <f>VLOOKUP($C819,청소코드!$C$4:$J$188,4,FALSE)</f>
        <v>1</v>
      </c>
      <c r="F819" s="29" t="s">
        <v>401</v>
      </c>
      <c r="G819" s="29"/>
      <c r="H819" s="29"/>
      <c r="I819" s="29" t="s">
        <v>439</v>
      </c>
      <c r="J819" s="47">
        <f t="shared" si="45"/>
        <v>18000</v>
      </c>
      <c r="K819" s="29">
        <f>VLOOKUP($C819,청소코드!$C$4:$J$188,8,FALSE)</f>
        <v>18000</v>
      </c>
      <c r="L819" s="32"/>
      <c r="M819" s="31"/>
      <c r="N819" s="32"/>
      <c r="O819" s="32"/>
    </row>
    <row r="820" spans="1:15" customFormat="1" ht="12.75" customHeight="1">
      <c r="A820" s="30">
        <v>46114</v>
      </c>
      <c r="B820" s="29" t="str">
        <f t="shared" si="46"/>
        <v>목</v>
      </c>
      <c r="C820" s="29" t="s">
        <v>869</v>
      </c>
      <c r="D820" s="29" t="str">
        <f>VLOOKUP($C820,청소코드!$C$4:$J$188,3,FALSE)</f>
        <v>더하임 904</v>
      </c>
      <c r="E820" s="29">
        <f>VLOOKUP($C820,청소코드!$C$4:$J$188,4,FALSE)</f>
        <v>1</v>
      </c>
      <c r="F820" s="29" t="s">
        <v>426</v>
      </c>
      <c r="G820" s="29"/>
      <c r="H820" s="29"/>
      <c r="I820" s="29" t="s">
        <v>431</v>
      </c>
      <c r="J820" s="47">
        <f t="shared" si="45"/>
        <v>18000</v>
      </c>
      <c r="K820" s="29">
        <f>VLOOKUP($C820,청소코드!$C$4:$J$188,8,FALSE)</f>
        <v>18000</v>
      </c>
      <c r="L820" s="32"/>
      <c r="M820" s="31"/>
      <c r="N820" s="32"/>
      <c r="O820" s="32"/>
    </row>
    <row r="821" spans="1:15" customFormat="1" ht="12.75" customHeight="1">
      <c r="A821" s="30">
        <v>46114</v>
      </c>
      <c r="B821" s="29" t="str">
        <f t="shared" si="46"/>
        <v>목</v>
      </c>
      <c r="C821" s="29" t="s">
        <v>287</v>
      </c>
      <c r="D821" s="29" t="str">
        <f>VLOOKUP($C821,청소코드!$C$4:$J$188,3,FALSE)</f>
        <v>청광3차 1412</v>
      </c>
      <c r="E821" s="29">
        <f>VLOOKUP($C821,청소코드!$C$4:$J$188,4,FALSE)</f>
        <v>1</v>
      </c>
      <c r="F821" s="29" t="s">
        <v>449</v>
      </c>
      <c r="G821" s="29"/>
      <c r="H821" s="29"/>
      <c r="I821" s="29" t="s">
        <v>431</v>
      </c>
      <c r="J821" s="47">
        <f t="shared" si="45"/>
        <v>18000</v>
      </c>
      <c r="K821" s="29">
        <f>VLOOKUP($C821,청소코드!$C$4:$J$188,8,FALSE)</f>
        <v>18000</v>
      </c>
      <c r="L821" s="32"/>
      <c r="M821" s="31"/>
      <c r="N821" s="32"/>
      <c r="O821" s="32"/>
    </row>
    <row r="822" spans="1:15" customFormat="1" ht="12.75" customHeight="1">
      <c r="A822" s="30">
        <v>46114</v>
      </c>
      <c r="B822" s="29" t="str">
        <f t="shared" si="46"/>
        <v>목</v>
      </c>
      <c r="C822" s="29" t="s">
        <v>283</v>
      </c>
      <c r="D822" s="29" t="str">
        <f>VLOOKUP($C822,청소코드!$C$4:$J$188,3,FALSE)</f>
        <v>강동QV 1604</v>
      </c>
      <c r="E822" s="29">
        <f>VLOOKUP($C822,청소코드!$C$4:$J$188,4,FALSE)</f>
        <v>1</v>
      </c>
      <c r="F822" s="29" t="s">
        <v>449</v>
      </c>
      <c r="G822" s="29"/>
      <c r="H822" s="29"/>
      <c r="I822" s="29" t="s">
        <v>431</v>
      </c>
      <c r="J822" s="47">
        <f t="shared" si="45"/>
        <v>18000</v>
      </c>
      <c r="K822" s="29">
        <f>VLOOKUP($C822,청소코드!$C$4:$J$188,8,FALSE)</f>
        <v>18000</v>
      </c>
      <c r="L822" s="32"/>
      <c r="M822" s="31"/>
      <c r="N822" s="32"/>
      <c r="O822" s="32"/>
    </row>
    <row r="823" spans="1:15" customFormat="1" ht="12.75" customHeight="1">
      <c r="A823" s="30">
        <v>46114</v>
      </c>
      <c r="B823" s="29" t="str">
        <f t="shared" si="46"/>
        <v>목</v>
      </c>
      <c r="C823" s="29" t="s">
        <v>357</v>
      </c>
      <c r="D823" s="29" t="str">
        <f>VLOOKUP($C823,청소코드!$C$4:$J$188,3,FALSE)</f>
        <v>오금스타 203</v>
      </c>
      <c r="E823" s="29">
        <f>VLOOKUP($C823,청소코드!$C$4:$J$188,4,FALSE)</f>
        <v>1</v>
      </c>
      <c r="F823" s="29" t="s">
        <v>449</v>
      </c>
      <c r="G823" s="29"/>
      <c r="H823" s="29"/>
      <c r="I823" s="29" t="s">
        <v>431</v>
      </c>
      <c r="J823" s="47">
        <f t="shared" si="45"/>
        <v>18000</v>
      </c>
      <c r="K823" s="29">
        <f>VLOOKUP($C823,청소코드!$C$4:$J$188,8,FALSE)</f>
        <v>18000</v>
      </c>
      <c r="L823" s="32"/>
      <c r="M823" s="31"/>
      <c r="N823" s="32"/>
      <c r="O823" s="32"/>
    </row>
    <row r="824" spans="1:15" customFormat="1" ht="12.75" customHeight="1">
      <c r="A824" s="30">
        <v>46114</v>
      </c>
      <c r="B824" s="29" t="str">
        <f t="shared" si="46"/>
        <v>목</v>
      </c>
      <c r="C824" s="29" t="s">
        <v>393</v>
      </c>
      <c r="D824" s="29" t="str">
        <f>VLOOKUP($C824,청소코드!$C$4:$J$188,3,FALSE)</f>
        <v>대치동 103호</v>
      </c>
      <c r="E824" s="29">
        <f>VLOOKUP($C824,청소코드!$C$4:$J$188,4,FALSE)</f>
        <v>1.5</v>
      </c>
      <c r="F824" s="29" t="s">
        <v>499</v>
      </c>
      <c r="G824" s="29"/>
      <c r="H824" s="29"/>
      <c r="I824" s="29" t="s">
        <v>431</v>
      </c>
      <c r="J824" s="47">
        <f t="shared" si="45"/>
        <v>20000</v>
      </c>
      <c r="K824" s="29">
        <f>VLOOKUP($C824,청소코드!$C$4:$J$188,8,FALSE)</f>
        <v>20000</v>
      </c>
      <c r="L824" s="32"/>
      <c r="M824" s="31"/>
      <c r="N824" s="32"/>
      <c r="O824" s="32"/>
    </row>
    <row r="825" spans="1:15" customFormat="1" ht="12.75" customHeight="1">
      <c r="A825" s="30">
        <v>46114</v>
      </c>
      <c r="B825" s="29" t="str">
        <f t="shared" si="46"/>
        <v>목</v>
      </c>
      <c r="C825" s="29" t="s">
        <v>416</v>
      </c>
      <c r="D825" s="29" t="str">
        <f>VLOOKUP($C825,청소코드!$C$4:$J$188,3,FALSE)</f>
        <v>청광1차 207</v>
      </c>
      <c r="E825" s="29">
        <f>VLOOKUP($C825,청소코드!$C$4:$J$188,4,FALSE)</f>
        <v>0</v>
      </c>
      <c r="F825" s="29" t="s">
        <v>426</v>
      </c>
      <c r="G825" s="29"/>
      <c r="H825" s="29"/>
      <c r="I825" s="29" t="s">
        <v>431</v>
      </c>
      <c r="J825" s="47">
        <f t="shared" si="45"/>
        <v>10000</v>
      </c>
      <c r="K825" s="29">
        <f>VLOOKUP($C825,청소코드!$C$4:$J$188,8,FALSE)</f>
        <v>10000</v>
      </c>
      <c r="L825" s="32"/>
      <c r="M825" s="31"/>
      <c r="N825" s="32"/>
      <c r="O825" s="32"/>
    </row>
    <row r="826" spans="1:15" customFormat="1" ht="12.75" customHeight="1">
      <c r="A826" s="49">
        <v>46115</v>
      </c>
      <c r="B826" s="50" t="str">
        <f t="shared" si="46"/>
        <v>금</v>
      </c>
      <c r="C826" s="29" t="s">
        <v>959</v>
      </c>
      <c r="D826" s="29" t="str">
        <f>VLOOKUP($C826,청소코드!$C$4:$J$188,3,FALSE)</f>
        <v>예건 202</v>
      </c>
      <c r="E826" s="29">
        <f>VLOOKUP($C826,청소코드!$C$4:$J$188,4,FALSE)</f>
        <v>1</v>
      </c>
      <c r="F826" s="29" t="s">
        <v>971</v>
      </c>
      <c r="G826" s="29"/>
      <c r="H826" s="29"/>
      <c r="I826" s="29" t="s">
        <v>976</v>
      </c>
      <c r="J826" s="47">
        <f t="shared" si="45"/>
        <v>18000</v>
      </c>
      <c r="K826" s="29">
        <f>VLOOKUP($C826,청소코드!$C$4:$J$188,8,FALSE)</f>
        <v>18000</v>
      </c>
      <c r="L826" s="32"/>
      <c r="M826" s="31"/>
      <c r="N826" s="32"/>
      <c r="O826" s="32"/>
    </row>
    <row r="827" spans="1:15" customFormat="1" ht="12.75" customHeight="1">
      <c r="A827" s="30">
        <v>46115</v>
      </c>
      <c r="B827" s="29" t="str">
        <f t="shared" si="46"/>
        <v>금</v>
      </c>
      <c r="C827" s="29" t="s">
        <v>960</v>
      </c>
      <c r="D827" s="29" t="str">
        <f>VLOOKUP($C827,청소코드!$C$4:$J$188,3,FALSE)</f>
        <v>성우 402</v>
      </c>
      <c r="E827" s="29">
        <f>VLOOKUP($C827,청소코드!$C$4:$J$188,4,FALSE)</f>
        <v>3</v>
      </c>
      <c r="F827" s="29" t="s">
        <v>971</v>
      </c>
      <c r="G827" s="29"/>
      <c r="H827" s="29"/>
      <c r="I827" s="29" t="s">
        <v>431</v>
      </c>
      <c r="J827" s="47">
        <f t="shared" si="45"/>
        <v>30000</v>
      </c>
      <c r="K827" s="29">
        <f>VLOOKUP($C827,청소코드!$C$4:$J$188,8,FALSE)</f>
        <v>30000</v>
      </c>
      <c r="L827" s="32"/>
      <c r="M827" s="31"/>
      <c r="N827" s="32"/>
      <c r="O827" s="32"/>
    </row>
    <row r="828" spans="1:15" customFormat="1" ht="12.75" customHeight="1">
      <c r="A828" s="30">
        <v>46115</v>
      </c>
      <c r="B828" s="29" t="str">
        <f t="shared" si="46"/>
        <v>금</v>
      </c>
      <c r="C828" s="29" t="s">
        <v>961</v>
      </c>
      <c r="D828" s="29" t="str">
        <f>VLOOKUP($C828,청소코드!$C$4:$J$188,3,FALSE)</f>
        <v>더하임 1005</v>
      </c>
      <c r="E828" s="29">
        <f>VLOOKUP($C828,청소코드!$C$4:$J$188,4,FALSE)</f>
        <v>1</v>
      </c>
      <c r="F828" s="29" t="s">
        <v>972</v>
      </c>
      <c r="G828" s="29"/>
      <c r="H828" s="29"/>
      <c r="I828" s="29" t="s">
        <v>431</v>
      </c>
      <c r="J828" s="47">
        <f t="shared" si="45"/>
        <v>18000</v>
      </c>
      <c r="K828" s="29">
        <f>VLOOKUP($C828,청소코드!$C$4:$J$188,8,FALSE)</f>
        <v>18000</v>
      </c>
      <c r="L828" s="32"/>
      <c r="M828" s="31"/>
      <c r="N828" s="32"/>
      <c r="O828" s="32"/>
    </row>
    <row r="829" spans="1:15" customFormat="1" ht="12.75" customHeight="1">
      <c r="A829" s="30">
        <v>46115</v>
      </c>
      <c r="B829" s="29" t="str">
        <f t="shared" si="46"/>
        <v>금</v>
      </c>
      <c r="C829" s="29" t="s">
        <v>962</v>
      </c>
      <c r="D829" s="29" t="str">
        <f>VLOOKUP($C829,청소코드!$C$4:$J$188,3,FALSE)</f>
        <v>더하임 205</v>
      </c>
      <c r="E829" s="29">
        <f>VLOOKUP($C829,청소코드!$C$4:$J$188,4,FALSE)</f>
        <v>1</v>
      </c>
      <c r="F829" s="29" t="s">
        <v>426</v>
      </c>
      <c r="G829" s="29"/>
      <c r="H829" s="29"/>
      <c r="I829" s="29" t="s">
        <v>431</v>
      </c>
      <c r="J829" s="47">
        <f t="shared" ref="J829:J860" si="47">SUM(K829:O829)</f>
        <v>18000</v>
      </c>
      <c r="K829" s="29">
        <f>VLOOKUP($C829,청소코드!$C$4:$J$188,8,FALSE)</f>
        <v>18000</v>
      </c>
      <c r="L829" s="32"/>
      <c r="M829" s="31"/>
      <c r="N829" s="32"/>
      <c r="O829" s="32"/>
    </row>
    <row r="830" spans="1:15" customFormat="1" ht="12.75" customHeight="1">
      <c r="A830" s="30">
        <v>46115</v>
      </c>
      <c r="B830" s="29" t="str">
        <f t="shared" si="46"/>
        <v>금</v>
      </c>
      <c r="C830" s="29" t="s">
        <v>963</v>
      </c>
      <c r="D830" s="29" t="str">
        <f>VLOOKUP($C830,청소코드!$C$4:$J$188,3,FALSE)</f>
        <v>센텀 2차 406</v>
      </c>
      <c r="E830" s="29">
        <f>VLOOKUP($C830,청소코드!$C$4:$J$188,4,FALSE)</f>
        <v>1.5</v>
      </c>
      <c r="F830" s="29" t="s">
        <v>973</v>
      </c>
      <c r="G830" s="29"/>
      <c r="H830" s="29"/>
      <c r="I830" s="29" t="s">
        <v>431</v>
      </c>
      <c r="J830" s="47">
        <f t="shared" si="47"/>
        <v>20000</v>
      </c>
      <c r="K830" s="29">
        <f>VLOOKUP($C830,청소코드!$C$4:$J$188,8,FALSE)</f>
        <v>20000</v>
      </c>
      <c r="L830" s="32"/>
      <c r="M830" s="31"/>
      <c r="N830" s="32"/>
      <c r="O830" s="32"/>
    </row>
    <row r="831" spans="1:15" customFormat="1" ht="12.75" customHeight="1">
      <c r="A831" s="30">
        <v>46115</v>
      </c>
      <c r="B831" s="29" t="str">
        <f t="shared" ref="B831:B862" si="48">TEXT(A831,"aaa")</f>
        <v>금</v>
      </c>
      <c r="C831" s="29" t="s">
        <v>964</v>
      </c>
      <c r="D831" s="29" t="str">
        <f>VLOOKUP($C831,청소코드!$C$4:$J$188,3,FALSE)</f>
        <v>청광1차 1303</v>
      </c>
      <c r="E831" s="29">
        <f>VLOOKUP($C831,청소코드!$C$4:$J$188,4,FALSE)</f>
        <v>1</v>
      </c>
      <c r="F831" s="29" t="s">
        <v>401</v>
      </c>
      <c r="G831" s="29"/>
      <c r="H831" s="29"/>
      <c r="I831" s="29" t="s">
        <v>431</v>
      </c>
      <c r="J831" s="47">
        <f t="shared" si="47"/>
        <v>18000</v>
      </c>
      <c r="K831" s="29">
        <f>VLOOKUP($C831,청소코드!$C$4:$J$188,8,FALSE)</f>
        <v>18000</v>
      </c>
      <c r="L831" s="32"/>
      <c r="M831" s="31"/>
      <c r="N831" s="32"/>
      <c r="O831" s="32"/>
    </row>
    <row r="832" spans="1:15" customFormat="1" ht="12.75" customHeight="1">
      <c r="A832" s="30">
        <v>46115</v>
      </c>
      <c r="B832" s="29" t="str">
        <f t="shared" si="48"/>
        <v>금</v>
      </c>
      <c r="C832" s="29" t="s">
        <v>965</v>
      </c>
      <c r="D832" s="29" t="str">
        <f>VLOOKUP($C832,청소코드!$C$4:$J$188,3,FALSE)</f>
        <v>청광3차 1412</v>
      </c>
      <c r="E832" s="29">
        <f>VLOOKUP($C832,청소코드!$C$4:$J$188,4,FALSE)</f>
        <v>1</v>
      </c>
      <c r="F832" s="29" t="s">
        <v>449</v>
      </c>
      <c r="G832" s="29"/>
      <c r="H832" s="29"/>
      <c r="I832" s="29" t="s">
        <v>431</v>
      </c>
      <c r="J832" s="47">
        <f t="shared" si="47"/>
        <v>18000</v>
      </c>
      <c r="K832" s="29">
        <f>VLOOKUP($C832,청소코드!$C$4:$J$188,8,FALSE)</f>
        <v>18000</v>
      </c>
      <c r="L832" s="32"/>
      <c r="M832" s="31"/>
      <c r="N832" s="32"/>
      <c r="O832" s="32"/>
    </row>
    <row r="833" spans="1:15" customFormat="1" ht="12.75" customHeight="1">
      <c r="A833" s="30">
        <v>46115</v>
      </c>
      <c r="B833" s="29" t="str">
        <f t="shared" si="48"/>
        <v>금</v>
      </c>
      <c r="C833" s="29" t="s">
        <v>966</v>
      </c>
      <c r="D833" s="29" t="str">
        <f>VLOOKUP($C833,청소코드!$C$4:$J$188,3,FALSE)</f>
        <v>르센티 1801</v>
      </c>
      <c r="E833" s="29" t="str">
        <f>VLOOKUP($C833,청소코드!$C$4:$J$188,4,FALSE)</f>
        <v>복</v>
      </c>
      <c r="F833" s="29" t="s">
        <v>449</v>
      </c>
      <c r="G833" s="29"/>
      <c r="H833" s="29"/>
      <c r="I833" s="29" t="s">
        <v>431</v>
      </c>
      <c r="J833" s="47">
        <f t="shared" si="47"/>
        <v>20000</v>
      </c>
      <c r="K833" s="29">
        <f>VLOOKUP($C833,청소코드!$C$4:$J$188,8,FALSE)</f>
        <v>20000</v>
      </c>
      <c r="L833" s="32"/>
      <c r="M833" s="31"/>
      <c r="N833" s="32"/>
      <c r="O833" s="32"/>
    </row>
    <row r="834" spans="1:15" customFormat="1" ht="12.75" customHeight="1">
      <c r="A834" s="30">
        <v>46115</v>
      </c>
      <c r="B834" s="29" t="str">
        <f t="shared" si="48"/>
        <v>금</v>
      </c>
      <c r="C834" s="29" t="s">
        <v>967</v>
      </c>
      <c r="D834" s="29" t="str">
        <f>VLOOKUP($C834,청소코드!$C$4:$J$188,3,FALSE)</f>
        <v>한양립스 503</v>
      </c>
      <c r="E834" s="29">
        <f>VLOOKUP($C834,청소코드!$C$4:$J$188,4,FALSE)</f>
        <v>1</v>
      </c>
      <c r="F834" s="29" t="s">
        <v>426</v>
      </c>
      <c r="G834" s="29" t="s">
        <v>975</v>
      </c>
      <c r="H834" s="29"/>
      <c r="I834" s="29" t="s">
        <v>431</v>
      </c>
      <c r="J834" s="47">
        <f t="shared" si="47"/>
        <v>28000</v>
      </c>
      <c r="K834" s="29">
        <f>VLOOKUP($C834,청소코드!$C$4:$J$188,8,FALSE)</f>
        <v>18000</v>
      </c>
      <c r="L834" s="32">
        <v>10000</v>
      </c>
      <c r="M834" s="31"/>
      <c r="N834" s="32"/>
      <c r="O834" s="32"/>
    </row>
    <row r="835" spans="1:15" customFormat="1" ht="12.75" customHeight="1">
      <c r="A835" s="30">
        <v>46115</v>
      </c>
      <c r="B835" s="29" t="str">
        <f t="shared" si="48"/>
        <v>금</v>
      </c>
      <c r="C835" s="29" t="s">
        <v>968</v>
      </c>
      <c r="D835" s="29" t="str">
        <f>VLOOKUP($C835,청소코드!$C$4:$J$188,3,FALSE)</f>
        <v>가온빌 102</v>
      </c>
      <c r="E835" s="29">
        <f>VLOOKUP($C835,청소코드!$C$4:$J$188,4,FALSE)</f>
        <v>2</v>
      </c>
      <c r="F835" s="29" t="s">
        <v>974</v>
      </c>
      <c r="G835" s="29"/>
      <c r="H835" s="29"/>
      <c r="I835" s="29" t="s">
        <v>976</v>
      </c>
      <c r="J835" s="47">
        <f t="shared" si="47"/>
        <v>39500</v>
      </c>
      <c r="K835" s="29">
        <f>VLOOKUP($C835,청소코드!$C$4:$J$188,8,FALSE)</f>
        <v>30000</v>
      </c>
      <c r="L835" s="32"/>
      <c r="M835" s="31"/>
      <c r="N835" s="32">
        <v>9500</v>
      </c>
      <c r="O835" s="32"/>
    </row>
    <row r="836" spans="1:15" customFormat="1" ht="12.75" customHeight="1">
      <c r="A836" s="30">
        <v>46115</v>
      </c>
      <c r="B836" s="29" t="str">
        <f t="shared" si="48"/>
        <v>금</v>
      </c>
      <c r="C836" s="29" t="s">
        <v>969</v>
      </c>
      <c r="D836" s="29" t="str">
        <f>VLOOKUP($C836,청소코드!$C$4:$J$188,3,FALSE)</f>
        <v>미사 마이움 102-803</v>
      </c>
      <c r="E836" s="29">
        <f>VLOOKUP($C836,청소코드!$C$4:$J$188,4,FALSE)</f>
        <v>1</v>
      </c>
      <c r="F836" s="29" t="s">
        <v>974</v>
      </c>
      <c r="G836" s="29" t="s">
        <v>977</v>
      </c>
      <c r="H836" s="29"/>
      <c r="I836" s="29" t="s">
        <v>431</v>
      </c>
      <c r="J836" s="47">
        <f t="shared" si="47"/>
        <v>34000</v>
      </c>
      <c r="K836" s="29">
        <f>VLOOKUP($C836,청소코드!$C$4:$J$188,8,FALSE)</f>
        <v>25000</v>
      </c>
      <c r="L836" s="32"/>
      <c r="M836" s="31"/>
      <c r="N836" s="32">
        <v>9000</v>
      </c>
      <c r="O836" s="32"/>
    </row>
    <row r="837" spans="1:15" customFormat="1" ht="12.75" customHeight="1">
      <c r="A837" s="30">
        <v>46115</v>
      </c>
      <c r="B837" s="29" t="str">
        <f t="shared" si="48"/>
        <v>금</v>
      </c>
      <c r="C837" s="29" t="s">
        <v>970</v>
      </c>
      <c r="D837" s="29" t="str">
        <f>VLOOKUP($C837,청소코드!$C$4:$J$188,3,FALSE)</f>
        <v>청광1차 207</v>
      </c>
      <c r="E837" s="29">
        <f>VLOOKUP($C837,청소코드!$C$4:$J$188,4,FALSE)</f>
        <v>0</v>
      </c>
      <c r="F837" s="29" t="s">
        <v>426</v>
      </c>
      <c r="G837" s="29"/>
      <c r="H837" s="29"/>
      <c r="I837" s="29" t="s">
        <v>431</v>
      </c>
      <c r="J837" s="47">
        <f t="shared" si="47"/>
        <v>10000</v>
      </c>
      <c r="K837" s="29">
        <f>VLOOKUP($C837,청소코드!$C$4:$J$188,8,FALSE)</f>
        <v>10000</v>
      </c>
      <c r="L837" s="32"/>
      <c r="M837" s="31"/>
      <c r="N837" s="32"/>
      <c r="O837" s="32"/>
    </row>
    <row r="838" spans="1:15" customFormat="1" ht="12.75" customHeight="1">
      <c r="A838" s="49">
        <v>46116</v>
      </c>
      <c r="B838" s="50" t="str">
        <f t="shared" si="48"/>
        <v>토</v>
      </c>
      <c r="C838" s="29" t="s">
        <v>978</v>
      </c>
      <c r="D838" s="29" t="str">
        <f>VLOOKUP($C838,청소코드!$C$4:$J$188,3,FALSE)</f>
        <v>예건 202</v>
      </c>
      <c r="E838" s="29">
        <f>VLOOKUP($C838,청소코드!$C$4:$J$188,4,FALSE)</f>
        <v>1</v>
      </c>
      <c r="F838" s="29" t="s">
        <v>986</v>
      </c>
      <c r="G838" s="29"/>
      <c r="H838" s="29"/>
      <c r="I838" s="29" t="s">
        <v>1000</v>
      </c>
      <c r="J838" s="47">
        <f t="shared" si="47"/>
        <v>18000</v>
      </c>
      <c r="K838" s="29">
        <f>VLOOKUP($C838,청소코드!$C$4:$J$188,8,FALSE)</f>
        <v>18000</v>
      </c>
      <c r="L838" s="32"/>
      <c r="M838" s="31"/>
      <c r="N838" s="32"/>
      <c r="O838" s="32"/>
    </row>
    <row r="839" spans="1:15" customFormat="1" ht="12.75" customHeight="1">
      <c r="A839" s="30">
        <v>46116</v>
      </c>
      <c r="B839" s="29" t="str">
        <f t="shared" si="48"/>
        <v>토</v>
      </c>
      <c r="C839" s="29" t="s">
        <v>979</v>
      </c>
      <c r="D839" s="29" t="str">
        <f>VLOOKUP($C839,청소코드!$C$4:$J$188,3,FALSE)</f>
        <v>예건 204</v>
      </c>
      <c r="E839" s="29">
        <f>VLOOKUP($C839,청소코드!$C$4:$J$188,4,FALSE)</f>
        <v>1</v>
      </c>
      <c r="F839" s="29" t="s">
        <v>986</v>
      </c>
      <c r="G839" s="29"/>
      <c r="H839" s="29"/>
      <c r="I839" s="29" t="s">
        <v>431</v>
      </c>
      <c r="J839" s="47">
        <f t="shared" si="47"/>
        <v>18000</v>
      </c>
      <c r="K839" s="29">
        <f>VLOOKUP($C839,청소코드!$C$4:$J$188,8,FALSE)</f>
        <v>18000</v>
      </c>
      <c r="L839" s="32"/>
      <c r="M839" s="31"/>
      <c r="N839" s="32"/>
      <c r="O839" s="32"/>
    </row>
    <row r="840" spans="1:15" customFormat="1" ht="12.75" customHeight="1">
      <c r="A840" s="30">
        <v>46116</v>
      </c>
      <c r="B840" s="29" t="str">
        <f t="shared" si="48"/>
        <v>토</v>
      </c>
      <c r="C840" s="29" t="s">
        <v>980</v>
      </c>
      <c r="D840" s="29" t="str">
        <f>VLOOKUP($C840,청소코드!$C$4:$J$188,3,FALSE)</f>
        <v>성우 501</v>
      </c>
      <c r="E840" s="29">
        <f>VLOOKUP($C840,청소코드!$C$4:$J$188,4,FALSE)</f>
        <v>2</v>
      </c>
      <c r="F840" s="29" t="s">
        <v>401</v>
      </c>
      <c r="G840" s="29" t="s">
        <v>990</v>
      </c>
      <c r="H840" s="29"/>
      <c r="I840" s="29" t="s">
        <v>431</v>
      </c>
      <c r="J840" s="47">
        <f t="shared" si="47"/>
        <v>28000</v>
      </c>
      <c r="K840" s="29">
        <f>VLOOKUP($C840,청소코드!$C$4:$J$188,8,FALSE)</f>
        <v>23000</v>
      </c>
      <c r="L840" s="32">
        <v>5000</v>
      </c>
      <c r="M840" s="31"/>
      <c r="N840" s="32"/>
      <c r="O840" s="32"/>
    </row>
    <row r="841" spans="1:15" customFormat="1" ht="12.75" customHeight="1">
      <c r="A841" s="30">
        <v>46116</v>
      </c>
      <c r="B841" s="29" t="str">
        <f t="shared" si="48"/>
        <v>토</v>
      </c>
      <c r="C841" s="29" t="s">
        <v>981</v>
      </c>
      <c r="D841" s="29" t="str">
        <f>VLOOKUP($C841,청소코드!$C$4:$J$188,3,FALSE)</f>
        <v>si 502</v>
      </c>
      <c r="E841" s="29">
        <f>VLOOKUP($C841,청소코드!$C$4:$J$188,4,FALSE)</f>
        <v>1</v>
      </c>
      <c r="F841" s="29" t="s">
        <v>401</v>
      </c>
      <c r="G841" s="29"/>
      <c r="H841" s="29"/>
      <c r="I841" s="29" t="s">
        <v>431</v>
      </c>
      <c r="J841" s="47">
        <f t="shared" si="47"/>
        <v>20000</v>
      </c>
      <c r="K841" s="29">
        <f>VLOOKUP($C841,청소코드!$C$4:$J$188,8,FALSE)</f>
        <v>20000</v>
      </c>
      <c r="L841" s="32"/>
      <c r="M841" s="31"/>
      <c r="N841" s="32"/>
      <c r="O841" s="32"/>
    </row>
    <row r="842" spans="1:15" customFormat="1" ht="12.75" customHeight="1">
      <c r="A842" s="30">
        <v>46116</v>
      </c>
      <c r="B842" s="29" t="str">
        <f t="shared" si="48"/>
        <v>토</v>
      </c>
      <c r="C842" s="29" t="s">
        <v>982</v>
      </c>
      <c r="D842" s="29" t="str">
        <f>VLOOKUP($C842,청소코드!$C$4:$J$188,3,FALSE)</f>
        <v>더하임 204</v>
      </c>
      <c r="E842" s="29">
        <f>VLOOKUP($C842,청소코드!$C$4:$J$188,4,FALSE)</f>
        <v>1</v>
      </c>
      <c r="F842" s="29" t="s">
        <v>426</v>
      </c>
      <c r="G842" s="29"/>
      <c r="H842" s="29"/>
      <c r="I842" s="29" t="s">
        <v>431</v>
      </c>
      <c r="J842" s="47">
        <f t="shared" si="47"/>
        <v>18000</v>
      </c>
      <c r="K842" s="29">
        <f>VLOOKUP($C842,청소코드!$C$4:$J$188,8,FALSE)</f>
        <v>18000</v>
      </c>
      <c r="L842" s="32"/>
      <c r="M842" s="31"/>
      <c r="N842" s="32"/>
      <c r="O842" s="32"/>
    </row>
    <row r="843" spans="1:15" customFormat="1" ht="12.75" customHeight="1">
      <c r="A843" s="30">
        <v>46116</v>
      </c>
      <c r="B843" s="29" t="str">
        <f t="shared" si="48"/>
        <v>토</v>
      </c>
      <c r="C843" s="29" t="s">
        <v>983</v>
      </c>
      <c r="D843" s="29" t="str">
        <f>VLOOKUP($C843,청소코드!$C$4:$J$188,3,FALSE)</f>
        <v>청광3차 806</v>
      </c>
      <c r="E843" s="29">
        <f>VLOOKUP($C843,청소코드!$C$4:$J$188,4,FALSE)</f>
        <v>1</v>
      </c>
      <c r="F843" s="29" t="s">
        <v>987</v>
      </c>
      <c r="G843" s="29"/>
      <c r="H843" s="29"/>
      <c r="I843" s="29" t="s">
        <v>431</v>
      </c>
      <c r="J843" s="47">
        <f t="shared" si="47"/>
        <v>18000</v>
      </c>
      <c r="K843" s="29">
        <f>VLOOKUP($C843,청소코드!$C$4:$J$188,8,FALSE)</f>
        <v>18000</v>
      </c>
      <c r="L843" s="32"/>
      <c r="M843" s="31"/>
      <c r="N843" s="32"/>
      <c r="O843" s="32"/>
    </row>
    <row r="844" spans="1:15" customFormat="1" ht="12.75" customHeight="1">
      <c r="A844" s="30">
        <v>46116</v>
      </c>
      <c r="B844" s="29" t="str">
        <f t="shared" si="48"/>
        <v>토</v>
      </c>
      <c r="C844" s="29" t="s">
        <v>984</v>
      </c>
      <c r="D844" s="29" t="str">
        <f>VLOOKUP($C844,청소코드!$C$4:$J$188,3,FALSE)</f>
        <v>렘브 204</v>
      </c>
      <c r="E844" s="29">
        <f>VLOOKUP($C844,청소코드!$C$4:$J$188,4,FALSE)</f>
        <v>1</v>
      </c>
      <c r="F844" s="29" t="s">
        <v>988</v>
      </c>
      <c r="G844" s="29"/>
      <c r="H844" s="29"/>
      <c r="I844" s="29" t="s">
        <v>431</v>
      </c>
      <c r="J844" s="47">
        <f t="shared" si="47"/>
        <v>18000</v>
      </c>
      <c r="K844" s="29">
        <f>VLOOKUP($C844,청소코드!$C$4:$J$188,8,FALSE)</f>
        <v>18000</v>
      </c>
      <c r="L844" s="32"/>
      <c r="M844" s="31"/>
      <c r="N844" s="32"/>
      <c r="O844" s="32"/>
    </row>
    <row r="845" spans="1:15" customFormat="1" ht="12.75" customHeight="1">
      <c r="A845" s="30">
        <v>46116</v>
      </c>
      <c r="B845" s="29" t="str">
        <f t="shared" si="48"/>
        <v>토</v>
      </c>
      <c r="C845" s="29" t="s">
        <v>985</v>
      </c>
      <c r="D845" s="29" t="str">
        <f>VLOOKUP($C845,청소코드!$C$4:$J$188,3,FALSE)</f>
        <v>대치동 103호</v>
      </c>
      <c r="E845" s="29">
        <f>VLOOKUP($C845,청소코드!$C$4:$J$188,4,FALSE)</f>
        <v>1.5</v>
      </c>
      <c r="F845" s="29" t="s">
        <v>989</v>
      </c>
      <c r="G845" s="29"/>
      <c r="H845" s="29"/>
      <c r="I845" s="29" t="s">
        <v>431</v>
      </c>
      <c r="J845" s="47">
        <f t="shared" si="47"/>
        <v>20000</v>
      </c>
      <c r="K845" s="29">
        <f>VLOOKUP($C845,청소코드!$C$4:$J$188,8,FALSE)</f>
        <v>20000</v>
      </c>
      <c r="L845" s="32"/>
      <c r="M845" s="31"/>
      <c r="N845" s="32"/>
      <c r="O845" s="32"/>
    </row>
    <row r="846" spans="1:15" customFormat="1" ht="12.75" customHeight="1">
      <c r="A846" s="30">
        <v>46116</v>
      </c>
      <c r="B846" s="29" t="str">
        <f t="shared" si="48"/>
        <v>토</v>
      </c>
      <c r="C846" s="29" t="s">
        <v>991</v>
      </c>
      <c r="D846" s="29" t="str">
        <f>VLOOKUP($C846,청소코드!$C$4:$J$188,3,FALSE)</f>
        <v>청광1차 207</v>
      </c>
      <c r="E846" s="29">
        <f>VLOOKUP($C846,청소코드!$C$4:$J$188,4,FALSE)</f>
        <v>0</v>
      </c>
      <c r="F846" s="29" t="s">
        <v>426</v>
      </c>
      <c r="G846" s="29"/>
      <c r="H846" s="29"/>
      <c r="I846" s="29" t="s">
        <v>431</v>
      </c>
      <c r="J846" s="47">
        <f t="shared" si="47"/>
        <v>10000</v>
      </c>
      <c r="K846" s="29">
        <f>VLOOKUP($C846,청소코드!$C$4:$J$188,8,FALSE)</f>
        <v>10000</v>
      </c>
      <c r="L846" s="32"/>
      <c r="M846" s="31"/>
      <c r="N846" s="32"/>
      <c r="O846" s="32"/>
    </row>
    <row r="847" spans="1:15" customFormat="1" ht="12.75" customHeight="1">
      <c r="A847" s="49">
        <v>46117</v>
      </c>
      <c r="B847" s="50" t="str">
        <f t="shared" si="48"/>
        <v>일</v>
      </c>
      <c r="C847" s="29" t="s">
        <v>992</v>
      </c>
      <c r="D847" s="29" t="str">
        <f>VLOOKUP($C847,청소코드!$C$4:$J$188,3,FALSE)</f>
        <v>예건 702</v>
      </c>
      <c r="E847" s="29">
        <f>VLOOKUP($C847,청소코드!$C$4:$J$188,4,FALSE)</f>
        <v>1</v>
      </c>
      <c r="F847" s="29" t="s">
        <v>986</v>
      </c>
      <c r="G847" s="29"/>
      <c r="H847" s="29"/>
      <c r="I847" s="29" t="s">
        <v>1000</v>
      </c>
      <c r="J847" s="47">
        <f t="shared" si="47"/>
        <v>18000</v>
      </c>
      <c r="K847" s="29">
        <f>VLOOKUP($C847,청소코드!$C$4:$J$188,8,FALSE)</f>
        <v>18000</v>
      </c>
      <c r="L847" s="32"/>
      <c r="M847" s="31"/>
      <c r="N847" s="32"/>
      <c r="O847" s="32"/>
    </row>
    <row r="848" spans="1:15" customFormat="1" ht="12.75" customHeight="1">
      <c r="A848" s="30">
        <v>46117</v>
      </c>
      <c r="B848" s="29" t="str">
        <f t="shared" si="48"/>
        <v>일</v>
      </c>
      <c r="C848" s="29" t="s">
        <v>993</v>
      </c>
      <c r="D848" s="29" t="str">
        <f>VLOOKUP($C848,청소코드!$C$4:$J$188,3,FALSE)</f>
        <v>한양립스 503</v>
      </c>
      <c r="E848" s="29">
        <f>VLOOKUP($C848,청소코드!$C$4:$J$188,4,FALSE)</f>
        <v>1</v>
      </c>
      <c r="F848" s="29" t="s">
        <v>426</v>
      </c>
      <c r="G848" s="29"/>
      <c r="H848" s="29"/>
      <c r="I848" s="29" t="s">
        <v>1000</v>
      </c>
      <c r="J848" s="47">
        <f t="shared" si="47"/>
        <v>18000</v>
      </c>
      <c r="K848" s="29">
        <f>VLOOKUP($C848,청소코드!$C$4:$J$188,8,FALSE)</f>
        <v>18000</v>
      </c>
      <c r="L848" s="32"/>
      <c r="M848" s="31"/>
      <c r="N848" s="32"/>
      <c r="O848" s="32"/>
    </row>
    <row r="849" spans="1:15" customFormat="1" ht="12.75" customHeight="1">
      <c r="A849" s="30">
        <v>46117</v>
      </c>
      <c r="B849" s="29" t="str">
        <f t="shared" si="48"/>
        <v>일</v>
      </c>
      <c r="C849" s="29" t="s">
        <v>994</v>
      </c>
      <c r="D849" s="29" t="str">
        <f>VLOOKUP($C849,청소코드!$C$4:$J$188,3,FALSE)</f>
        <v>센텀 2차 606</v>
      </c>
      <c r="E849" s="29">
        <f>VLOOKUP($C849,청소코드!$C$4:$J$188,4,FALSE)</f>
        <v>1.5</v>
      </c>
      <c r="F849" s="29" t="s">
        <v>401</v>
      </c>
      <c r="G849" s="29"/>
      <c r="H849" s="29"/>
      <c r="I849" s="29" t="s">
        <v>431</v>
      </c>
      <c r="J849" s="47">
        <f t="shared" si="47"/>
        <v>20000</v>
      </c>
      <c r="K849" s="29">
        <f>VLOOKUP($C849,청소코드!$C$4:$J$188,8,FALSE)</f>
        <v>20000</v>
      </c>
      <c r="L849" s="32"/>
      <c r="M849" s="31"/>
      <c r="N849" s="32"/>
      <c r="O849" s="32"/>
    </row>
    <row r="850" spans="1:15" customFormat="1" ht="12.75" customHeight="1">
      <c r="A850" s="30">
        <v>46117</v>
      </c>
      <c r="B850" s="29" t="str">
        <f t="shared" si="48"/>
        <v>일</v>
      </c>
      <c r="C850" s="29" t="s">
        <v>981</v>
      </c>
      <c r="D850" s="29" t="str">
        <f>VLOOKUP($C850,청소코드!$C$4:$J$188,3,FALSE)</f>
        <v>si 502</v>
      </c>
      <c r="E850" s="29">
        <f>VLOOKUP($C850,청소코드!$C$4:$J$188,4,FALSE)</f>
        <v>1</v>
      </c>
      <c r="F850" s="29" t="s">
        <v>401</v>
      </c>
      <c r="G850" s="29"/>
      <c r="H850" s="29"/>
      <c r="I850" s="29" t="s">
        <v>431</v>
      </c>
      <c r="J850" s="47">
        <f t="shared" si="47"/>
        <v>20000</v>
      </c>
      <c r="K850" s="29">
        <f>VLOOKUP($C850,청소코드!$C$4:$J$188,8,FALSE)</f>
        <v>20000</v>
      </c>
      <c r="L850" s="32"/>
      <c r="M850" s="31"/>
      <c r="N850" s="32"/>
      <c r="O850" s="32"/>
    </row>
    <row r="851" spans="1:15" customFormat="1" ht="12.75" customHeight="1">
      <c r="A851" s="30">
        <v>46117</v>
      </c>
      <c r="B851" s="29" t="str">
        <f t="shared" si="48"/>
        <v>일</v>
      </c>
      <c r="C851" s="29" t="s">
        <v>983</v>
      </c>
      <c r="D851" s="29" t="str">
        <f>VLOOKUP($C851,청소코드!$C$4:$J$188,3,FALSE)</f>
        <v>청광3차 806</v>
      </c>
      <c r="E851" s="29">
        <f>VLOOKUP($C851,청소코드!$C$4:$J$188,4,FALSE)</f>
        <v>1</v>
      </c>
      <c r="F851" s="29" t="s">
        <v>449</v>
      </c>
      <c r="G851" s="29"/>
      <c r="H851" s="29"/>
      <c r="I851" s="29" t="s">
        <v>431</v>
      </c>
      <c r="J851" s="47">
        <f t="shared" si="47"/>
        <v>18000</v>
      </c>
      <c r="K851" s="29">
        <f>VLOOKUP($C851,청소코드!$C$4:$J$188,8,FALSE)</f>
        <v>18000</v>
      </c>
      <c r="L851" s="32"/>
      <c r="M851" s="31"/>
      <c r="N851" s="32"/>
      <c r="O851" s="32"/>
    </row>
    <row r="852" spans="1:15" customFormat="1" ht="12.75" customHeight="1">
      <c r="A852" s="30">
        <v>46117</v>
      </c>
      <c r="B852" s="29" t="str">
        <f t="shared" si="48"/>
        <v>일</v>
      </c>
      <c r="C852" s="29" t="s">
        <v>995</v>
      </c>
      <c r="D852" s="29" t="str">
        <f>VLOOKUP($C852,청소코드!$C$4:$J$188,3,FALSE)</f>
        <v>청광3차 1412</v>
      </c>
      <c r="E852" s="29">
        <f>VLOOKUP($C852,청소코드!$C$4:$J$188,4,FALSE)</f>
        <v>1</v>
      </c>
      <c r="F852" s="29" t="s">
        <v>449</v>
      </c>
      <c r="G852" s="29"/>
      <c r="H852" s="29"/>
      <c r="I852" s="29" t="s">
        <v>431</v>
      </c>
      <c r="J852" s="47">
        <f t="shared" si="47"/>
        <v>18000</v>
      </c>
      <c r="K852" s="29">
        <f>VLOOKUP($C852,청소코드!$C$4:$J$188,8,FALSE)</f>
        <v>18000</v>
      </c>
      <c r="L852" s="32"/>
      <c r="M852" s="31"/>
      <c r="N852" s="32"/>
      <c r="O852" s="32"/>
    </row>
    <row r="853" spans="1:15" customFormat="1" ht="12.75" customHeight="1">
      <c r="A853" s="30">
        <v>46117</v>
      </c>
      <c r="B853" s="29" t="str">
        <f t="shared" si="48"/>
        <v>일</v>
      </c>
      <c r="C853" s="29" t="s">
        <v>996</v>
      </c>
      <c r="D853" s="29" t="str">
        <f>VLOOKUP($C853,청소코드!$C$4:$J$188,3,FALSE)</f>
        <v>오금스타 502</v>
      </c>
      <c r="E853" s="29">
        <f>VLOOKUP($C853,청소코드!$C$4:$J$188,4,FALSE)</f>
        <v>1</v>
      </c>
      <c r="F853" s="29" t="s">
        <v>449</v>
      </c>
      <c r="G853" s="29"/>
      <c r="H853" s="29"/>
      <c r="I853" s="29" t="s">
        <v>431</v>
      </c>
      <c r="J853" s="47">
        <f t="shared" si="47"/>
        <v>18000</v>
      </c>
      <c r="K853" s="29">
        <f>VLOOKUP($C853,청소코드!$C$4:$J$188,8,FALSE)</f>
        <v>18000</v>
      </c>
      <c r="L853" s="32"/>
      <c r="M853" s="31"/>
      <c r="N853" s="32"/>
      <c r="O853" s="32"/>
    </row>
    <row r="854" spans="1:15" customFormat="1" ht="12.75" customHeight="1">
      <c r="A854" s="30">
        <v>46117</v>
      </c>
      <c r="B854" s="29" t="str">
        <f t="shared" si="48"/>
        <v>일</v>
      </c>
      <c r="C854" s="29" t="s">
        <v>997</v>
      </c>
      <c r="D854" s="29" t="str">
        <f>VLOOKUP($C854,청소코드!$C$4:$J$188,3,FALSE)</f>
        <v>더하임 1005</v>
      </c>
      <c r="E854" s="29">
        <f>VLOOKUP($C854,청소코드!$C$4:$J$188,4,FALSE)</f>
        <v>1</v>
      </c>
      <c r="F854" s="29" t="s">
        <v>987</v>
      </c>
      <c r="G854" s="29"/>
      <c r="H854" s="29"/>
      <c r="I854" s="29" t="s">
        <v>431</v>
      </c>
      <c r="J854" s="47">
        <f t="shared" si="47"/>
        <v>18000</v>
      </c>
      <c r="K854" s="29">
        <f>VLOOKUP($C854,청소코드!$C$4:$J$188,8,FALSE)</f>
        <v>18000</v>
      </c>
      <c r="L854" s="32"/>
      <c r="M854" s="31"/>
      <c r="N854" s="32"/>
      <c r="O854" s="32"/>
    </row>
    <row r="855" spans="1:15" customFormat="1" ht="12.75" customHeight="1">
      <c r="A855" s="30">
        <v>46117</v>
      </c>
      <c r="B855" s="29" t="str">
        <f t="shared" si="48"/>
        <v>일</v>
      </c>
      <c r="C855" s="29" t="s">
        <v>980</v>
      </c>
      <c r="D855" s="29" t="str">
        <f>VLOOKUP($C855,청소코드!$C$4:$J$188,3,FALSE)</f>
        <v>성우 501</v>
      </c>
      <c r="E855" s="29">
        <f>VLOOKUP($C855,청소코드!$C$4:$J$188,4,FALSE)</f>
        <v>2</v>
      </c>
      <c r="F855" s="29" t="s">
        <v>987</v>
      </c>
      <c r="G855" s="29"/>
      <c r="H855" s="29"/>
      <c r="I855" s="29" t="s">
        <v>431</v>
      </c>
      <c r="J855" s="47">
        <f t="shared" si="47"/>
        <v>23000</v>
      </c>
      <c r="K855" s="29">
        <f>VLOOKUP($C855,청소코드!$C$4:$J$188,8,FALSE)</f>
        <v>23000</v>
      </c>
      <c r="L855" s="32"/>
      <c r="M855" s="31"/>
      <c r="N855" s="32"/>
      <c r="O855" s="32"/>
    </row>
    <row r="856" spans="1:15" customFormat="1" ht="12.75" customHeight="1">
      <c r="A856" s="30">
        <v>46117</v>
      </c>
      <c r="B856" s="29" t="str">
        <f t="shared" si="48"/>
        <v>일</v>
      </c>
      <c r="C856" s="29" t="s">
        <v>985</v>
      </c>
      <c r="D856" s="29" t="str">
        <f>VLOOKUP($C856,청소코드!$C$4:$J$188,3,FALSE)</f>
        <v>대치동 103호</v>
      </c>
      <c r="E856" s="29">
        <f>VLOOKUP($C856,청소코드!$C$4:$J$188,4,FALSE)</f>
        <v>1.5</v>
      </c>
      <c r="F856" s="29" t="s">
        <v>989</v>
      </c>
      <c r="G856" s="29"/>
      <c r="H856" s="29"/>
      <c r="I856" s="29" t="s">
        <v>431</v>
      </c>
      <c r="J856" s="47">
        <f t="shared" si="47"/>
        <v>20000</v>
      </c>
      <c r="K856" s="29">
        <f>VLOOKUP($C856,청소코드!$C$4:$J$188,8,FALSE)</f>
        <v>20000</v>
      </c>
      <c r="L856" s="32"/>
      <c r="M856" s="31"/>
      <c r="N856" s="32"/>
      <c r="O856" s="32"/>
    </row>
    <row r="857" spans="1:15" customFormat="1" ht="12.75" customHeight="1">
      <c r="A857" s="30">
        <v>46117</v>
      </c>
      <c r="B857" s="29" t="str">
        <f t="shared" si="48"/>
        <v>일</v>
      </c>
      <c r="C857" s="29" t="s">
        <v>991</v>
      </c>
      <c r="D857" s="29" t="str">
        <f>VLOOKUP($C857,청소코드!$C$4:$J$188,3,FALSE)</f>
        <v>청광1차 207</v>
      </c>
      <c r="E857" s="29">
        <f>VLOOKUP($C857,청소코드!$C$4:$J$188,4,FALSE)</f>
        <v>0</v>
      </c>
      <c r="F857" s="29" t="s">
        <v>426</v>
      </c>
      <c r="G857" s="29"/>
      <c r="H857" s="29"/>
      <c r="I857" s="29" t="s">
        <v>431</v>
      </c>
      <c r="J857" s="47">
        <f t="shared" si="47"/>
        <v>10000</v>
      </c>
      <c r="K857" s="29">
        <f>VLOOKUP($C857,청소코드!$C$4:$J$188,8,FALSE)</f>
        <v>10000</v>
      </c>
      <c r="L857" s="32"/>
      <c r="M857" s="31"/>
      <c r="N857" s="32"/>
      <c r="O857" s="32"/>
    </row>
    <row r="858" spans="1:15" customFormat="1" ht="12.75" customHeight="1">
      <c r="A858" s="49">
        <v>46118</v>
      </c>
      <c r="B858" s="50" t="str">
        <f t="shared" si="48"/>
        <v>월</v>
      </c>
      <c r="C858" s="29" t="s">
        <v>354</v>
      </c>
      <c r="D858" s="29" t="str">
        <f>VLOOKUP($C858,청소코드!$C$4:$J$188,3,FALSE)</f>
        <v>예건 202</v>
      </c>
      <c r="E858" s="29">
        <f>VLOOKUP($C858,청소코드!$C$4:$J$188,4,FALSE)</f>
        <v>1</v>
      </c>
      <c r="F858" s="29" t="s">
        <v>438</v>
      </c>
      <c r="G858" s="29" t="s">
        <v>440</v>
      </c>
      <c r="H858" s="29"/>
      <c r="I858" s="29" t="s">
        <v>439</v>
      </c>
      <c r="J858" s="47">
        <f t="shared" si="47"/>
        <v>23000</v>
      </c>
      <c r="K858" s="29">
        <f>VLOOKUP($C858,청소코드!$C$4:$J$188,8,FALSE)</f>
        <v>18000</v>
      </c>
      <c r="L858" s="32">
        <v>5000</v>
      </c>
      <c r="M858" s="31"/>
      <c r="N858" s="32"/>
      <c r="O858" s="32"/>
    </row>
    <row r="859" spans="1:15" customFormat="1" ht="12.75" customHeight="1">
      <c r="A859" s="30">
        <v>46118</v>
      </c>
      <c r="B859" s="29" t="str">
        <f t="shared" si="48"/>
        <v>월</v>
      </c>
      <c r="C859" s="29" t="s">
        <v>371</v>
      </c>
      <c r="D859" s="29" t="str">
        <f>VLOOKUP($C859,청소코드!$C$4:$J$188,3,FALSE)</f>
        <v>예건 602</v>
      </c>
      <c r="E859" s="29">
        <f>VLOOKUP($C859,청소코드!$C$4:$J$188,4,FALSE)</f>
        <v>1</v>
      </c>
      <c r="F859" s="29" t="s">
        <v>438</v>
      </c>
      <c r="G859" s="29"/>
      <c r="H859" s="29"/>
      <c r="I859" s="29" t="s">
        <v>431</v>
      </c>
      <c r="J859" s="47">
        <f t="shared" si="47"/>
        <v>18000</v>
      </c>
      <c r="K859" s="29">
        <f>VLOOKUP($C859,청소코드!$C$4:$J$188,8,FALSE)</f>
        <v>18000</v>
      </c>
      <c r="L859" s="32"/>
      <c r="M859" s="31"/>
      <c r="N859" s="32"/>
      <c r="O859" s="32"/>
    </row>
    <row r="860" spans="1:15" customFormat="1" ht="12.75" customHeight="1">
      <c r="A860" s="30">
        <v>46118</v>
      </c>
      <c r="B860" s="29" t="str">
        <f t="shared" si="48"/>
        <v>월</v>
      </c>
      <c r="C860" s="29" t="s">
        <v>369</v>
      </c>
      <c r="D860" s="29" t="str">
        <f>VLOOKUP($C860,청소코드!$C$4:$J$188,3,FALSE)</f>
        <v>성우 402</v>
      </c>
      <c r="E860" s="29">
        <f>VLOOKUP($C860,청소코드!$C$4:$J$188,4,FALSE)</f>
        <v>3</v>
      </c>
      <c r="F860" s="29" t="s">
        <v>426</v>
      </c>
      <c r="G860" s="29" t="s">
        <v>440</v>
      </c>
      <c r="H860" s="29"/>
      <c r="I860" s="29" t="s">
        <v>431</v>
      </c>
      <c r="J860" s="47">
        <f t="shared" si="47"/>
        <v>35000</v>
      </c>
      <c r="K860" s="29">
        <f>VLOOKUP($C860,청소코드!$C$4:$J$188,8,FALSE)</f>
        <v>30000</v>
      </c>
      <c r="L860" s="32">
        <v>5000</v>
      </c>
      <c r="M860" s="31"/>
      <c r="N860" s="32"/>
      <c r="O860" s="32"/>
    </row>
    <row r="861" spans="1:15" customFormat="1" ht="12.75" customHeight="1">
      <c r="A861" s="30">
        <v>46118</v>
      </c>
      <c r="B861" s="29" t="str">
        <f t="shared" si="48"/>
        <v>월</v>
      </c>
      <c r="C861" s="29" t="s">
        <v>341</v>
      </c>
      <c r="D861" s="29" t="str">
        <f>VLOOKUP($C861,청소코드!$C$4:$J$188,3,FALSE)</f>
        <v>예건 303</v>
      </c>
      <c r="E861" s="29">
        <f>VLOOKUP($C861,청소코드!$C$4:$J$188,4,FALSE)</f>
        <v>2</v>
      </c>
      <c r="F861" s="29" t="s">
        <v>426</v>
      </c>
      <c r="G861" s="29"/>
      <c r="H861" s="29"/>
      <c r="I861" s="29" t="s">
        <v>431</v>
      </c>
      <c r="J861" s="47">
        <f t="shared" ref="J861:J874" si="49">SUM(K861:O861)</f>
        <v>23000</v>
      </c>
      <c r="K861" s="29">
        <f>VLOOKUP($C861,청소코드!$C$4:$J$188,8,FALSE)</f>
        <v>23000</v>
      </c>
      <c r="L861" s="32"/>
      <c r="M861" s="31"/>
      <c r="N861" s="32"/>
      <c r="O861" s="32"/>
    </row>
    <row r="862" spans="1:15" customFormat="1" ht="12.75" customHeight="1">
      <c r="A862" s="30">
        <v>46118</v>
      </c>
      <c r="B862" s="29" t="str">
        <f t="shared" si="48"/>
        <v>월</v>
      </c>
      <c r="C862" s="29" t="s">
        <v>498</v>
      </c>
      <c r="D862" s="29" t="str">
        <f>VLOOKUP($C862,청소코드!$C$4:$J$188,3,FALSE)</f>
        <v>더하임 1006</v>
      </c>
      <c r="E862" s="29">
        <f>VLOOKUP($C862,청소코드!$C$4:$J$188,4,FALSE)</f>
        <v>1.5</v>
      </c>
      <c r="F862" s="29" t="s">
        <v>426</v>
      </c>
      <c r="G862" s="29"/>
      <c r="H862" s="29"/>
      <c r="I862" s="29" t="s">
        <v>431</v>
      </c>
      <c r="J862" s="47">
        <f t="shared" si="49"/>
        <v>20000</v>
      </c>
      <c r="K862" s="29">
        <f>VLOOKUP($C862,청소코드!$C$4:$J$188,8,FALSE)</f>
        <v>20000</v>
      </c>
      <c r="L862" s="32"/>
      <c r="M862" s="31"/>
      <c r="N862" s="32"/>
      <c r="O862" s="32"/>
    </row>
    <row r="863" spans="1:15" customFormat="1" ht="12.75" customHeight="1">
      <c r="A863" s="30">
        <v>46118</v>
      </c>
      <c r="B863" s="29" t="str">
        <f t="shared" ref="B863:B874" si="50">TEXT(A863,"aaa")</f>
        <v>월</v>
      </c>
      <c r="C863" s="29" t="s">
        <v>870</v>
      </c>
      <c r="D863" s="29" t="str">
        <f>VLOOKUP($C863,청소코드!$C$4:$J$188,3,FALSE)</f>
        <v>더하임 901</v>
      </c>
      <c r="E863" s="29">
        <f>VLOOKUP($C863,청소코드!$C$4:$J$188,4,FALSE)</f>
        <v>1</v>
      </c>
      <c r="F863" s="29" t="s">
        <v>426</v>
      </c>
      <c r="G863" s="29" t="s">
        <v>1001</v>
      </c>
      <c r="H863" s="29"/>
      <c r="I863" s="29" t="s">
        <v>431</v>
      </c>
      <c r="J863" s="47">
        <f t="shared" si="49"/>
        <v>28000</v>
      </c>
      <c r="K863" s="29">
        <f>VLOOKUP($C863,청소코드!$C$4:$J$188,8,FALSE)</f>
        <v>18000</v>
      </c>
      <c r="L863" s="32">
        <v>10000</v>
      </c>
      <c r="M863" s="31"/>
      <c r="N863" s="32"/>
      <c r="O863" s="32"/>
    </row>
    <row r="864" spans="1:15" customFormat="1" ht="12.75" customHeight="1">
      <c r="A864" s="30">
        <v>46118</v>
      </c>
      <c r="B864" s="29" t="str">
        <f t="shared" si="50"/>
        <v>월</v>
      </c>
      <c r="C864" s="29" t="s">
        <v>284</v>
      </c>
      <c r="D864" s="29" t="str">
        <f>VLOOKUP($C864,청소코드!$C$4:$J$188,3,FALSE)</f>
        <v>청광1차 1303</v>
      </c>
      <c r="E864" s="29">
        <f>VLOOKUP($C864,청소코드!$C$4:$J$188,4,FALSE)</f>
        <v>1</v>
      </c>
      <c r="F864" s="29" t="s">
        <v>452</v>
      </c>
      <c r="G864" s="29" t="s">
        <v>440</v>
      </c>
      <c r="H864" s="29"/>
      <c r="I864" s="29" t="s">
        <v>431</v>
      </c>
      <c r="J864" s="47">
        <f t="shared" si="49"/>
        <v>23000</v>
      </c>
      <c r="K864" s="29">
        <f>VLOOKUP($C864,청소코드!$C$4:$J$188,8,FALSE)</f>
        <v>18000</v>
      </c>
      <c r="L864" s="32">
        <v>5000</v>
      </c>
      <c r="M864" s="31"/>
      <c r="N864" s="32"/>
      <c r="O864" s="32"/>
    </row>
    <row r="865" spans="1:15" customFormat="1" ht="12.75" customHeight="1">
      <c r="A865" s="30">
        <v>46118</v>
      </c>
      <c r="B865" s="29" t="str">
        <f t="shared" si="50"/>
        <v>월</v>
      </c>
      <c r="C865" s="29" t="s">
        <v>310</v>
      </c>
      <c r="D865" s="29" t="str">
        <f>VLOOKUP($C865,청소코드!$C$4:$J$188,3,FALSE)</f>
        <v>청광3차 806</v>
      </c>
      <c r="E865" s="29">
        <f>VLOOKUP($C865,청소코드!$C$4:$J$188,4,FALSE)</f>
        <v>1</v>
      </c>
      <c r="F865" s="29" t="s">
        <v>449</v>
      </c>
      <c r="G865" s="29" t="s">
        <v>440</v>
      </c>
      <c r="H865" s="29"/>
      <c r="I865" s="29" t="s">
        <v>431</v>
      </c>
      <c r="J865" s="47">
        <f t="shared" si="49"/>
        <v>23000</v>
      </c>
      <c r="K865" s="29">
        <f>VLOOKUP($C865,청소코드!$C$4:$J$188,8,FALSE)</f>
        <v>18000</v>
      </c>
      <c r="L865" s="32">
        <v>5000</v>
      </c>
      <c r="M865" s="31"/>
      <c r="N865" s="32"/>
      <c r="O865" s="32"/>
    </row>
    <row r="866" spans="1:15" customFormat="1" ht="12.75" customHeight="1">
      <c r="A866" s="30">
        <v>46118</v>
      </c>
      <c r="B866" s="29" t="str">
        <f t="shared" si="50"/>
        <v>월</v>
      </c>
      <c r="C866" s="29" t="s">
        <v>287</v>
      </c>
      <c r="D866" s="29" t="str">
        <f>VLOOKUP($C866,청소코드!$C$4:$J$188,3,FALSE)</f>
        <v>청광3차 1412</v>
      </c>
      <c r="E866" s="29">
        <f>VLOOKUP($C866,청소코드!$C$4:$J$188,4,FALSE)</f>
        <v>1</v>
      </c>
      <c r="F866" s="29" t="s">
        <v>449</v>
      </c>
      <c r="G866" s="29"/>
      <c r="H866" s="29"/>
      <c r="I866" s="29" t="s">
        <v>431</v>
      </c>
      <c r="J866" s="47">
        <f t="shared" si="49"/>
        <v>18000</v>
      </c>
      <c r="K866" s="29">
        <f>VLOOKUP($C866,청소코드!$C$4:$J$188,8,FALSE)</f>
        <v>18000</v>
      </c>
      <c r="L866" s="32"/>
      <c r="M866" s="31"/>
      <c r="N866" s="32"/>
      <c r="O866" s="32"/>
    </row>
    <row r="867" spans="1:15" customFormat="1" ht="12.75" customHeight="1">
      <c r="A867" s="30">
        <v>46118</v>
      </c>
      <c r="B867" s="29" t="str">
        <f t="shared" si="50"/>
        <v>월</v>
      </c>
      <c r="C867" s="29" t="s">
        <v>357</v>
      </c>
      <c r="D867" s="29" t="str">
        <f>VLOOKUP($C867,청소코드!$C$4:$J$188,3,FALSE)</f>
        <v>오금스타 203</v>
      </c>
      <c r="E867" s="29">
        <f>VLOOKUP($C867,청소코드!$C$4:$J$188,4,FALSE)</f>
        <v>1</v>
      </c>
      <c r="F867" s="29" t="s">
        <v>449</v>
      </c>
      <c r="G867" s="29"/>
      <c r="H867" s="29"/>
      <c r="I867" s="29" t="s">
        <v>431</v>
      </c>
      <c r="J867" s="47">
        <f t="shared" si="49"/>
        <v>18000</v>
      </c>
      <c r="K867" s="29">
        <f>VLOOKUP($C867,청소코드!$C$4:$J$188,8,FALSE)</f>
        <v>18000</v>
      </c>
      <c r="L867" s="32"/>
      <c r="M867" s="31"/>
      <c r="N867" s="32"/>
      <c r="O867" s="32"/>
    </row>
    <row r="868" spans="1:15" customFormat="1" ht="12.75" customHeight="1">
      <c r="A868" s="30">
        <v>46118</v>
      </c>
      <c r="B868" s="29" t="str">
        <f t="shared" si="50"/>
        <v>월</v>
      </c>
      <c r="C868" s="29" t="s">
        <v>283</v>
      </c>
      <c r="D868" s="29" t="str">
        <f>VLOOKUP($C868,청소코드!$C$4:$J$188,3,FALSE)</f>
        <v>강동QV 1604</v>
      </c>
      <c r="E868" s="29">
        <f>VLOOKUP($C868,청소코드!$C$4:$J$188,4,FALSE)</f>
        <v>1</v>
      </c>
      <c r="F868" s="29" t="s">
        <v>437</v>
      </c>
      <c r="G868" s="29" t="s">
        <v>440</v>
      </c>
      <c r="H868" s="29"/>
      <c r="I868" s="29" t="s">
        <v>431</v>
      </c>
      <c r="J868" s="47">
        <f t="shared" si="49"/>
        <v>23000</v>
      </c>
      <c r="K868" s="29">
        <f>VLOOKUP($C868,청소코드!$C$4:$J$188,8,FALSE)</f>
        <v>18000</v>
      </c>
      <c r="L868" s="32">
        <v>5000</v>
      </c>
      <c r="M868" s="31"/>
      <c r="N868" s="32"/>
      <c r="O868" s="32"/>
    </row>
    <row r="869" spans="1:15" customFormat="1" ht="12.75" customHeight="1">
      <c r="A869" s="30">
        <v>46118</v>
      </c>
      <c r="B869" s="29" t="str">
        <f t="shared" si="50"/>
        <v>월</v>
      </c>
      <c r="C869" s="29" t="s">
        <v>295</v>
      </c>
      <c r="D869" s="29" t="str">
        <f>VLOOKUP($C869,청소코드!$C$4:$J$188,3,FALSE)</f>
        <v>르센티 1801</v>
      </c>
      <c r="E869" s="29" t="str">
        <f>VLOOKUP($C869,청소코드!$C$4:$J$188,4,FALSE)</f>
        <v>복</v>
      </c>
      <c r="F869" s="29" t="s">
        <v>437</v>
      </c>
      <c r="G869" s="29"/>
      <c r="H869" s="29"/>
      <c r="I869" s="29" t="s">
        <v>431</v>
      </c>
      <c r="J869" s="47">
        <f t="shared" si="49"/>
        <v>20000</v>
      </c>
      <c r="K869" s="29">
        <f>VLOOKUP($C869,청소코드!$C$4:$J$188,8,FALSE)</f>
        <v>20000</v>
      </c>
      <c r="L869" s="32"/>
      <c r="M869" s="31"/>
      <c r="N869" s="32"/>
      <c r="O869" s="32"/>
    </row>
    <row r="870" spans="1:15" customFormat="1" ht="12.75" customHeight="1">
      <c r="A870" s="30">
        <v>46118</v>
      </c>
      <c r="B870" s="29" t="str">
        <f t="shared" si="50"/>
        <v>월</v>
      </c>
      <c r="C870" s="29" t="s">
        <v>334</v>
      </c>
      <c r="D870" s="29" t="str">
        <f>VLOOKUP($C870,청소코드!$C$4:$J$188,3,FALSE)</f>
        <v>센텀 2차 406</v>
      </c>
      <c r="E870" s="29">
        <f>VLOOKUP($C870,청소코드!$C$4:$J$188,4,FALSE)</f>
        <v>1.5</v>
      </c>
      <c r="F870" s="29" t="s">
        <v>429</v>
      </c>
      <c r="G870" s="29" t="s">
        <v>440</v>
      </c>
      <c r="H870" s="29"/>
      <c r="I870" s="29" t="s">
        <v>431</v>
      </c>
      <c r="J870" s="47">
        <f t="shared" si="49"/>
        <v>25000</v>
      </c>
      <c r="K870" s="29">
        <f>VLOOKUP($C870,청소코드!$C$4:$J$188,8,FALSE)</f>
        <v>20000</v>
      </c>
      <c r="L870" s="32">
        <v>5000</v>
      </c>
      <c r="M870" s="31"/>
      <c r="N870" s="32"/>
      <c r="O870" s="32"/>
    </row>
    <row r="871" spans="1:15" customFormat="1" ht="12.75" customHeight="1">
      <c r="A871" s="30">
        <v>46118</v>
      </c>
      <c r="B871" s="29" t="str">
        <f t="shared" si="50"/>
        <v>월</v>
      </c>
      <c r="C871" s="29" t="s">
        <v>339</v>
      </c>
      <c r="D871" s="29" t="str">
        <f>VLOOKUP($C871,청소코드!$C$4:$J$188,3,FALSE)</f>
        <v>센텀 2차 606</v>
      </c>
      <c r="E871" s="29">
        <f>VLOOKUP($C871,청소코드!$C$4:$J$188,4,FALSE)</f>
        <v>1.5</v>
      </c>
      <c r="F871" s="29" t="s">
        <v>429</v>
      </c>
      <c r="G871" s="29"/>
      <c r="H871" s="29"/>
      <c r="I871" s="29" t="s">
        <v>431</v>
      </c>
      <c r="J871" s="47">
        <f t="shared" si="49"/>
        <v>20000</v>
      </c>
      <c r="K871" s="29">
        <f>VLOOKUP($C871,청소코드!$C$4:$J$188,8,FALSE)</f>
        <v>20000</v>
      </c>
      <c r="L871" s="32"/>
      <c r="M871" s="31"/>
      <c r="N871" s="32"/>
      <c r="O871" s="32"/>
    </row>
    <row r="872" spans="1:15" customFormat="1" ht="12.75" customHeight="1">
      <c r="A872" s="30">
        <v>46118</v>
      </c>
      <c r="B872" s="29" t="str">
        <f t="shared" si="50"/>
        <v>월</v>
      </c>
      <c r="C872" s="29" t="s">
        <v>309</v>
      </c>
      <c r="D872" s="29" t="str">
        <f>VLOOKUP($C872,청소코드!$C$4:$J$188,3,FALSE)</f>
        <v>미사 마이움 102-803</v>
      </c>
      <c r="E872" s="29">
        <f>VLOOKUP($C872,청소코드!$C$4:$J$188,4,FALSE)</f>
        <v>1</v>
      </c>
      <c r="F872" s="29" t="s">
        <v>612</v>
      </c>
      <c r="G872" s="29"/>
      <c r="H872" s="29"/>
      <c r="I872" s="29" t="s">
        <v>431</v>
      </c>
      <c r="J872" s="47">
        <f t="shared" si="49"/>
        <v>25000</v>
      </c>
      <c r="K872" s="29">
        <f>VLOOKUP($C872,청소코드!$C$4:$J$188,8,FALSE)</f>
        <v>25000</v>
      </c>
      <c r="L872" s="32"/>
      <c r="M872" s="31"/>
      <c r="O872" s="32"/>
    </row>
    <row r="873" spans="1:15" customFormat="1" ht="12.75" customHeight="1">
      <c r="A873" s="30">
        <v>46118</v>
      </c>
      <c r="B873" s="29" t="str">
        <f t="shared" si="50"/>
        <v>월</v>
      </c>
      <c r="C873" s="29" t="s">
        <v>383</v>
      </c>
      <c r="D873" s="29" t="str">
        <f>VLOOKUP($C873,청소코드!$C$4:$J$188,3,FALSE)</f>
        <v>방학 709</v>
      </c>
      <c r="E873" s="29" t="str">
        <f>VLOOKUP($C873,청소코드!$C$4:$J$188,4,FALSE)</f>
        <v>복</v>
      </c>
      <c r="F873" s="29" t="s">
        <v>612</v>
      </c>
      <c r="G873" s="29"/>
      <c r="H873" s="29"/>
      <c r="I873" s="29" t="s">
        <v>431</v>
      </c>
      <c r="J873" s="47">
        <f t="shared" si="49"/>
        <v>39000</v>
      </c>
      <c r="K873" s="29">
        <f>VLOOKUP($C873,청소코드!$C$4:$J$188,8,FALSE)</f>
        <v>25000</v>
      </c>
      <c r="L873" s="32">
        <v>5000</v>
      </c>
      <c r="M873" s="31"/>
      <c r="N873" s="32">
        <v>9000</v>
      </c>
      <c r="O873" s="32"/>
    </row>
    <row r="874" spans="1:15" customFormat="1" ht="12.75" customHeight="1">
      <c r="A874" s="30">
        <v>46118</v>
      </c>
      <c r="B874" s="29" t="str">
        <f t="shared" si="50"/>
        <v>월</v>
      </c>
      <c r="C874" s="29" t="s">
        <v>416</v>
      </c>
      <c r="D874" s="29" t="str">
        <f>VLOOKUP($C874,청소코드!$C$4:$J$188,3,FALSE)</f>
        <v>청광1차 207</v>
      </c>
      <c r="E874" s="29">
        <f>VLOOKUP($C874,청소코드!$C$4:$J$188,4,FALSE)</f>
        <v>0</v>
      </c>
      <c r="F874" s="29" t="s">
        <v>426</v>
      </c>
      <c r="G874" s="29"/>
      <c r="H874" s="29"/>
      <c r="I874" s="29" t="s">
        <v>431</v>
      </c>
      <c r="J874" s="47">
        <f t="shared" si="49"/>
        <v>10000</v>
      </c>
      <c r="K874" s="29">
        <f>VLOOKUP($C874,청소코드!$C$4:$J$188,8,FALSE)</f>
        <v>10000</v>
      </c>
      <c r="L874" s="32"/>
      <c r="M874" s="31"/>
      <c r="N874" s="32"/>
      <c r="O874" s="32"/>
    </row>
    <row r="875" spans="1:15" customFormat="1" ht="12.75" customHeight="1">
      <c r="A875" s="30">
        <v>46118</v>
      </c>
      <c r="B875" s="29" t="str">
        <f t="shared" ref="B875" si="51">TEXT(A875,"aaa")</f>
        <v>월</v>
      </c>
      <c r="C875" s="29" t="s">
        <v>348</v>
      </c>
      <c r="D875" s="29" t="str">
        <f>VLOOKUP($C875,청소코드!$C$4:$J$188,3,FALSE)</f>
        <v>성우 501</v>
      </c>
      <c r="E875" s="29">
        <f>VLOOKUP($C875,청소코드!$C$4:$J$188,4,FALSE)</f>
        <v>2</v>
      </c>
      <c r="F875" s="29" t="s">
        <v>429</v>
      </c>
      <c r="G875" s="29"/>
      <c r="H875" s="29"/>
      <c r="I875" s="29" t="s">
        <v>431</v>
      </c>
      <c r="J875" s="47">
        <f t="shared" ref="J875" si="52">SUM(K875:O875)</f>
        <v>23000</v>
      </c>
      <c r="K875" s="29">
        <f>VLOOKUP($C875,청소코드!$C$4:$J$188,8,FALSE)</f>
        <v>23000</v>
      </c>
      <c r="L875" s="32"/>
      <c r="M875" s="31"/>
      <c r="N875" s="32"/>
      <c r="O875" s="32"/>
    </row>
    <row r="876" spans="1:15" customFormat="1" ht="12.75" customHeight="1">
      <c r="A876" s="49">
        <v>46119</v>
      </c>
      <c r="B876" s="50" t="str">
        <f t="shared" ref="B876:B907" si="53">TEXT(A876,"aaa")</f>
        <v>화</v>
      </c>
      <c r="C876" s="29" t="s">
        <v>336</v>
      </c>
      <c r="D876" s="29" t="str">
        <f>VLOOKUP($C876,청소코드!$C$4:$J$188,3,FALSE)</f>
        <v>예건 205</v>
      </c>
      <c r="E876" s="29">
        <f>VLOOKUP($C876,청소코드!$C$4:$J$188,4,FALSE)</f>
        <v>1</v>
      </c>
      <c r="F876" s="29" t="s">
        <v>429</v>
      </c>
      <c r="G876" s="29"/>
      <c r="H876" s="29"/>
      <c r="I876" s="29" t="s">
        <v>431</v>
      </c>
      <c r="J876" s="47">
        <f t="shared" ref="J876:J907" si="54">SUM(K876:O876)</f>
        <v>18000</v>
      </c>
      <c r="K876" s="29">
        <f>VLOOKUP($C876,청소코드!$C$4:$J$188,8,FALSE)</f>
        <v>18000</v>
      </c>
      <c r="L876" s="32"/>
      <c r="M876" s="31"/>
      <c r="N876" s="32"/>
      <c r="O876" s="32"/>
    </row>
    <row r="877" spans="1:15" customFormat="1" ht="12.75" customHeight="1">
      <c r="A877" s="30">
        <v>46119</v>
      </c>
      <c r="B877" s="29" t="str">
        <f t="shared" si="53"/>
        <v>화</v>
      </c>
      <c r="C877" s="29" t="s">
        <v>372</v>
      </c>
      <c r="D877" s="29" t="str">
        <f>VLOOKUP($C877,청소코드!$C$4:$J$188,3,FALSE)</f>
        <v>예건 702</v>
      </c>
      <c r="E877" s="29">
        <f>VLOOKUP($C877,청소코드!$C$4:$J$188,4,FALSE)</f>
        <v>1</v>
      </c>
      <c r="F877" s="29" t="s">
        <v>429</v>
      </c>
      <c r="G877" s="29"/>
      <c r="H877" s="29"/>
      <c r="I877" s="29" t="s">
        <v>431</v>
      </c>
      <c r="J877" s="47">
        <f t="shared" si="54"/>
        <v>18000</v>
      </c>
      <c r="K877" s="29">
        <f>VLOOKUP($C877,청소코드!$C$4:$J$188,8,FALSE)</f>
        <v>18000</v>
      </c>
      <c r="L877" s="32"/>
      <c r="M877" s="31"/>
      <c r="N877" s="32"/>
      <c r="O877" s="32"/>
    </row>
    <row r="878" spans="1:15" customFormat="1" ht="12.75" customHeight="1">
      <c r="A878" s="30">
        <v>46119</v>
      </c>
      <c r="B878" s="29" t="str">
        <f t="shared" si="53"/>
        <v>화</v>
      </c>
      <c r="C878" s="29" t="s">
        <v>498</v>
      </c>
      <c r="D878" s="29" t="str">
        <f>VLOOKUP($C878,청소코드!$C$4:$J$188,3,FALSE)</f>
        <v>더하임 1006</v>
      </c>
      <c r="E878" s="29">
        <f>VLOOKUP($C878,청소코드!$C$4:$J$188,4,FALSE)</f>
        <v>1.5</v>
      </c>
      <c r="F878" s="29" t="s">
        <v>426</v>
      </c>
      <c r="G878" s="29"/>
      <c r="H878" s="29"/>
      <c r="I878" s="29" t="s">
        <v>431</v>
      </c>
      <c r="J878" s="47">
        <f t="shared" si="54"/>
        <v>20000</v>
      </c>
      <c r="K878" s="29">
        <f>VLOOKUP($C878,청소코드!$C$4:$J$188,8,FALSE)</f>
        <v>20000</v>
      </c>
      <c r="L878" s="32"/>
      <c r="M878" s="31"/>
      <c r="N878" s="32"/>
      <c r="O878" s="32"/>
    </row>
    <row r="879" spans="1:15" customFormat="1" ht="12.75" customHeight="1">
      <c r="A879" s="30">
        <v>46119</v>
      </c>
      <c r="B879" s="29" t="str">
        <f t="shared" si="53"/>
        <v>화</v>
      </c>
      <c r="C879" s="29" t="s">
        <v>361</v>
      </c>
      <c r="D879" s="29" t="str">
        <f>VLOOKUP($C879,청소코드!$C$4:$J$188,3,FALSE)</f>
        <v>더하임 506</v>
      </c>
      <c r="E879" s="29">
        <f>VLOOKUP($C879,청소코드!$C$4:$J$188,4,FALSE)</f>
        <v>1.5</v>
      </c>
      <c r="F879" s="29" t="s">
        <v>426</v>
      </c>
      <c r="G879" s="29"/>
      <c r="H879" s="29"/>
      <c r="I879" s="29" t="s">
        <v>431</v>
      </c>
      <c r="J879" s="47">
        <f t="shared" si="54"/>
        <v>20000</v>
      </c>
      <c r="K879" s="29">
        <f>VLOOKUP($C879,청소코드!$C$4:$J$188,8,FALSE)</f>
        <v>20000</v>
      </c>
      <c r="L879" s="32"/>
      <c r="M879" s="31"/>
      <c r="N879" s="32"/>
      <c r="O879" s="32"/>
    </row>
    <row r="880" spans="1:15" customFormat="1" ht="12.75" customHeight="1">
      <c r="A880" s="30">
        <v>46119</v>
      </c>
      <c r="B880" s="29" t="str">
        <f t="shared" si="53"/>
        <v>화</v>
      </c>
      <c r="C880" s="29" t="s">
        <v>310</v>
      </c>
      <c r="D880" s="29" t="str">
        <f>VLOOKUP($C880,청소코드!$C$4:$J$188,3,FALSE)</f>
        <v>청광3차 806</v>
      </c>
      <c r="E880" s="29">
        <f>VLOOKUP($C880,청소코드!$C$4:$J$188,4,FALSE)</f>
        <v>1</v>
      </c>
      <c r="F880" s="29" t="s">
        <v>401</v>
      </c>
      <c r="G880" s="29"/>
      <c r="H880" s="29"/>
      <c r="I880" s="29" t="s">
        <v>431</v>
      </c>
      <c r="J880" s="47">
        <f t="shared" si="54"/>
        <v>18000</v>
      </c>
      <c r="K880" s="29">
        <f>VLOOKUP($C880,청소코드!$C$4:$J$188,8,FALSE)</f>
        <v>18000</v>
      </c>
      <c r="L880" s="32"/>
      <c r="M880" s="31"/>
      <c r="N880" s="32"/>
      <c r="O880" s="32"/>
    </row>
    <row r="881" spans="1:15" customFormat="1" ht="12.75" customHeight="1">
      <c r="A881" s="30">
        <v>46119</v>
      </c>
      <c r="B881" s="29" t="str">
        <f t="shared" si="53"/>
        <v>화</v>
      </c>
      <c r="C881" s="29" t="s">
        <v>283</v>
      </c>
      <c r="D881" s="29" t="str">
        <f>VLOOKUP($C881,청소코드!$C$4:$J$188,3,FALSE)</f>
        <v>강동QV 1604</v>
      </c>
      <c r="E881" s="29">
        <f>VLOOKUP($C881,청소코드!$C$4:$J$188,4,FALSE)</f>
        <v>1</v>
      </c>
      <c r="F881" s="29" t="s">
        <v>401</v>
      </c>
      <c r="G881" s="29"/>
      <c r="H881" s="29"/>
      <c r="I881" s="29" t="s">
        <v>431</v>
      </c>
      <c r="J881" s="47">
        <f t="shared" si="54"/>
        <v>18000</v>
      </c>
      <c r="K881" s="29">
        <f>VLOOKUP($C881,청소코드!$C$4:$J$188,8,FALSE)</f>
        <v>18000</v>
      </c>
      <c r="L881" s="32"/>
      <c r="M881" s="31"/>
      <c r="N881" s="32"/>
      <c r="O881" s="32"/>
    </row>
    <row r="882" spans="1:15" customFormat="1" ht="12.75" customHeight="1">
      <c r="A882" s="30">
        <v>46119</v>
      </c>
      <c r="B882" s="29" t="str">
        <f t="shared" si="53"/>
        <v>화</v>
      </c>
      <c r="C882" s="29" t="s">
        <v>334</v>
      </c>
      <c r="D882" s="29" t="str">
        <f>VLOOKUP($C882,청소코드!$C$4:$J$188,3,FALSE)</f>
        <v>센텀 2차 406</v>
      </c>
      <c r="E882" s="29">
        <f>VLOOKUP($C882,청소코드!$C$4:$J$188,4,FALSE)</f>
        <v>1.5</v>
      </c>
      <c r="F882" s="29" t="s">
        <v>438</v>
      </c>
      <c r="G882" s="29"/>
      <c r="H882" s="29"/>
      <c r="I882" s="29" t="s">
        <v>431</v>
      </c>
      <c r="J882" s="47">
        <f t="shared" si="54"/>
        <v>20000</v>
      </c>
      <c r="K882" s="29">
        <f>VLOOKUP($C882,청소코드!$C$4:$J$188,8,FALSE)</f>
        <v>20000</v>
      </c>
      <c r="L882" s="32"/>
      <c r="M882" s="31"/>
      <c r="N882" s="32"/>
      <c r="O882" s="32"/>
    </row>
    <row r="883" spans="1:15" customFormat="1" ht="12.75" customHeight="1">
      <c r="A883" s="30">
        <v>46119</v>
      </c>
      <c r="B883" s="29" t="str">
        <f t="shared" si="53"/>
        <v>화</v>
      </c>
      <c r="C883" s="29" t="s">
        <v>339</v>
      </c>
      <c r="D883" s="29" t="str">
        <f>VLOOKUP($C883,청소코드!$C$4:$J$188,3,FALSE)</f>
        <v>센텀 2차 606</v>
      </c>
      <c r="E883" s="29">
        <f>VLOOKUP($C883,청소코드!$C$4:$J$188,4,FALSE)</f>
        <v>1.5</v>
      </c>
      <c r="F883" s="29" t="s">
        <v>438</v>
      </c>
      <c r="G883" s="29"/>
      <c r="H883" s="29"/>
      <c r="I883" s="29" t="s">
        <v>431</v>
      </c>
      <c r="J883" s="47">
        <f t="shared" si="54"/>
        <v>20000</v>
      </c>
      <c r="K883" s="29">
        <f>VLOOKUP($C883,청소코드!$C$4:$J$188,8,FALSE)</f>
        <v>20000</v>
      </c>
      <c r="L883" s="32"/>
      <c r="M883" s="31"/>
      <c r="N883" s="32"/>
      <c r="O883" s="32"/>
    </row>
    <row r="884" spans="1:15" customFormat="1" ht="12.75" customHeight="1">
      <c r="A884" s="30">
        <v>46119</v>
      </c>
      <c r="B884" s="29" t="str">
        <f t="shared" si="53"/>
        <v>화</v>
      </c>
      <c r="C884" s="29" t="s">
        <v>302</v>
      </c>
      <c r="D884" s="29" t="str">
        <f>VLOOKUP($C884,청소코드!$C$4:$J$188,3,FALSE)</f>
        <v>하람휴 1102</v>
      </c>
      <c r="E884" s="29">
        <f>VLOOKUP($C884,청소코드!$C$4:$J$188,4,FALSE)</f>
        <v>2</v>
      </c>
      <c r="F884" s="29" t="s">
        <v>408</v>
      </c>
      <c r="G884" s="29"/>
      <c r="H884" s="29"/>
      <c r="I884" s="29" t="s">
        <v>431</v>
      </c>
      <c r="J884" s="47">
        <f t="shared" si="54"/>
        <v>23000</v>
      </c>
      <c r="K884" s="29">
        <f>VLOOKUP($C884,청소코드!$C$4:$J$188,8,FALSE)</f>
        <v>23000</v>
      </c>
      <c r="L884" s="32"/>
      <c r="M884" s="31"/>
      <c r="N884" s="32"/>
      <c r="O884" s="32"/>
    </row>
    <row r="885" spans="1:15" customFormat="1" ht="12.75" customHeight="1">
      <c r="A885" s="30">
        <v>46119</v>
      </c>
      <c r="B885" s="29" t="str">
        <f t="shared" si="53"/>
        <v>화</v>
      </c>
      <c r="C885" s="29" t="s">
        <v>393</v>
      </c>
      <c r="D885" s="29" t="str">
        <f>VLOOKUP($C885,청소코드!$C$4:$J$188,3,FALSE)</f>
        <v>대치동 103호</v>
      </c>
      <c r="E885" s="29">
        <f>VLOOKUP($C885,청소코드!$C$4:$J$188,4,FALSE)</f>
        <v>1.5</v>
      </c>
      <c r="F885" s="29" t="s">
        <v>499</v>
      </c>
      <c r="G885" s="29"/>
      <c r="H885" s="29"/>
      <c r="I885" s="29" t="s">
        <v>431</v>
      </c>
      <c r="J885" s="47">
        <f t="shared" si="54"/>
        <v>20000</v>
      </c>
      <c r="K885" s="29">
        <f>VLOOKUP($C885,청소코드!$C$4:$J$188,8,FALSE)</f>
        <v>20000</v>
      </c>
      <c r="L885" s="32"/>
      <c r="M885" s="31"/>
      <c r="N885" s="32"/>
      <c r="O885" s="32"/>
    </row>
    <row r="886" spans="1:15" customFormat="1" ht="12.75" customHeight="1">
      <c r="A886" s="30">
        <v>46119</v>
      </c>
      <c r="B886" s="29" t="str">
        <f t="shared" si="53"/>
        <v>화</v>
      </c>
      <c r="C886" s="29" t="s">
        <v>416</v>
      </c>
      <c r="D886" s="29" t="str">
        <f>VLOOKUP($C886,청소코드!$C$4:$J$188,3,FALSE)</f>
        <v>청광1차 207</v>
      </c>
      <c r="E886" s="29">
        <f>VLOOKUP($C886,청소코드!$C$4:$J$188,4,FALSE)</f>
        <v>0</v>
      </c>
      <c r="F886" s="29" t="s">
        <v>426</v>
      </c>
      <c r="G886" s="29"/>
      <c r="H886" s="29"/>
      <c r="I886" s="29" t="s">
        <v>431</v>
      </c>
      <c r="J886" s="47">
        <f t="shared" si="54"/>
        <v>10000</v>
      </c>
      <c r="K886" s="29">
        <f>VLOOKUP($C886,청소코드!$C$4:$J$188,8,FALSE)</f>
        <v>10000</v>
      </c>
      <c r="L886" s="32"/>
      <c r="M886" s="31"/>
      <c r="N886" s="32"/>
      <c r="O886" s="32"/>
    </row>
    <row r="887" spans="1:15" customFormat="1" ht="12.75" customHeight="1">
      <c r="A887" s="49">
        <v>46120</v>
      </c>
      <c r="B887" s="50" t="str">
        <f t="shared" si="53"/>
        <v>수</v>
      </c>
      <c r="C887" s="29" t="s">
        <v>1011</v>
      </c>
      <c r="D887" s="29" t="str">
        <f>VLOOKUP($C887,청소코드!$C$4:$J$188,3,FALSE)</f>
        <v>청광3차 806</v>
      </c>
      <c r="E887" s="29">
        <f>VLOOKUP($C887,청소코드!$C$4:$J$188,4,FALSE)</f>
        <v>1</v>
      </c>
      <c r="F887" s="29" t="s">
        <v>429</v>
      </c>
      <c r="G887" s="29"/>
      <c r="H887" s="29"/>
      <c r="I887" s="29" t="s">
        <v>1022</v>
      </c>
      <c r="J887" s="47">
        <f t="shared" si="54"/>
        <v>18000</v>
      </c>
      <c r="K887" s="29">
        <f>VLOOKUP($C887,청소코드!$C$4:$J$188,8,FALSE)</f>
        <v>18000</v>
      </c>
      <c r="L887" s="32"/>
      <c r="M887" s="31"/>
      <c r="N887" s="32"/>
      <c r="O887" s="32"/>
    </row>
    <row r="888" spans="1:15" customFormat="1" ht="12.75" customHeight="1">
      <c r="A888" s="30">
        <v>46120</v>
      </c>
      <c r="B888" s="29" t="str">
        <f t="shared" si="53"/>
        <v>수</v>
      </c>
      <c r="C888" s="29" t="s">
        <v>1012</v>
      </c>
      <c r="D888" s="29" t="str">
        <f>VLOOKUP($C888,청소코드!$C$4:$J$188,3,FALSE)</f>
        <v>청광3차 1412</v>
      </c>
      <c r="E888" s="29">
        <f>VLOOKUP($C888,청소코드!$C$4:$J$188,4,FALSE)</f>
        <v>1</v>
      </c>
      <c r="F888" s="29" t="s">
        <v>429</v>
      </c>
      <c r="G888" s="29"/>
      <c r="H888" s="29"/>
      <c r="I888" s="29" t="s">
        <v>431</v>
      </c>
      <c r="J888" s="47">
        <f t="shared" si="54"/>
        <v>18000</v>
      </c>
      <c r="K888" s="29">
        <f>VLOOKUP($C888,청소코드!$C$4:$J$188,8,FALSE)</f>
        <v>18000</v>
      </c>
      <c r="L888" s="32"/>
      <c r="M888" s="31"/>
      <c r="N888" s="32"/>
      <c r="O888" s="32"/>
    </row>
    <row r="889" spans="1:15" customFormat="1" ht="12.75" customHeight="1">
      <c r="A889" s="30">
        <v>46120</v>
      </c>
      <c r="B889" s="29" t="str">
        <f t="shared" si="53"/>
        <v>수</v>
      </c>
      <c r="C889" s="29" t="s">
        <v>1013</v>
      </c>
      <c r="D889" s="29" t="str">
        <f>VLOOKUP($C889,청소코드!$C$4:$J$188,3,FALSE)</f>
        <v>더하임 901</v>
      </c>
      <c r="E889" s="29">
        <f>VLOOKUP($C889,청소코드!$C$4:$J$188,4,FALSE)</f>
        <v>1</v>
      </c>
      <c r="F889" s="29" t="s">
        <v>426</v>
      </c>
      <c r="G889" s="29"/>
      <c r="H889" s="29"/>
      <c r="I889" s="29" t="s">
        <v>431</v>
      </c>
      <c r="J889" s="47">
        <f t="shared" si="54"/>
        <v>18000</v>
      </c>
      <c r="K889" s="29">
        <f>VLOOKUP($C889,청소코드!$C$4:$J$188,8,FALSE)</f>
        <v>18000</v>
      </c>
      <c r="L889" s="32"/>
      <c r="M889" s="31"/>
      <c r="N889" s="32"/>
      <c r="O889" s="32"/>
    </row>
    <row r="890" spans="1:15" customFormat="1" ht="12.75" customHeight="1">
      <c r="A890" s="30">
        <v>46120</v>
      </c>
      <c r="B890" s="29" t="str">
        <f t="shared" si="53"/>
        <v>수</v>
      </c>
      <c r="C890" s="29" t="s">
        <v>1014</v>
      </c>
      <c r="D890" s="29" t="str">
        <f>VLOOKUP($C890,청소코드!$C$4:$J$188,3,FALSE)</f>
        <v>렘브 204</v>
      </c>
      <c r="E890" s="29">
        <f>VLOOKUP($C890,청소코드!$C$4:$J$188,4,FALSE)</f>
        <v>1</v>
      </c>
      <c r="F890" s="29" t="s">
        <v>426</v>
      </c>
      <c r="G890" s="29"/>
      <c r="H890" s="29"/>
      <c r="I890" s="29" t="s">
        <v>431</v>
      </c>
      <c r="J890" s="47">
        <f t="shared" si="54"/>
        <v>18000</v>
      </c>
      <c r="K890" s="29">
        <f>VLOOKUP($C890,청소코드!$C$4:$J$188,8,FALSE)</f>
        <v>18000</v>
      </c>
      <c r="L890" s="32"/>
      <c r="M890" s="31"/>
      <c r="N890" s="32"/>
      <c r="O890" s="32"/>
    </row>
    <row r="891" spans="1:15" customFormat="1" ht="12.75" customHeight="1">
      <c r="A891" s="30">
        <v>46120</v>
      </c>
      <c r="B891" s="29" t="str">
        <f t="shared" si="53"/>
        <v>수</v>
      </c>
      <c r="C891" s="29" t="s">
        <v>1015</v>
      </c>
      <c r="D891" s="29" t="str">
        <f>VLOOKUP($C891,청소코드!$C$4:$J$188,3,FALSE)</f>
        <v>동구햇살 1203</v>
      </c>
      <c r="E891" s="29" t="str">
        <f>VLOOKUP($C891,청소코드!$C$4:$J$188,4,FALSE)</f>
        <v>복</v>
      </c>
      <c r="F891" s="29" t="s">
        <v>438</v>
      </c>
      <c r="G891" s="29"/>
      <c r="H891" s="29"/>
      <c r="I891" s="29" t="s">
        <v>431</v>
      </c>
      <c r="J891" s="47">
        <f t="shared" si="54"/>
        <v>20000</v>
      </c>
      <c r="K891" s="29">
        <f>VLOOKUP($C891,청소코드!$C$4:$J$188,8,FALSE)</f>
        <v>20000</v>
      </c>
      <c r="L891" s="32"/>
      <c r="M891" s="31"/>
      <c r="N891" s="32"/>
      <c r="O891" s="32"/>
    </row>
    <row r="892" spans="1:15" customFormat="1" ht="12.75" customHeight="1">
      <c r="A892" s="30">
        <v>46120</v>
      </c>
      <c r="B892" s="29" t="str">
        <f t="shared" si="53"/>
        <v>수</v>
      </c>
      <c r="C892" s="29" t="s">
        <v>1016</v>
      </c>
      <c r="D892" s="29" t="str">
        <f>VLOOKUP($C892,청소코드!$C$4:$J$188,3,FALSE)</f>
        <v>하람휴 1001</v>
      </c>
      <c r="E892" s="29">
        <f>VLOOKUP($C892,청소코드!$C$4:$J$188,4,FALSE)</f>
        <v>2</v>
      </c>
      <c r="F892" s="29" t="s">
        <v>408</v>
      </c>
      <c r="G892" s="29"/>
      <c r="H892" s="29"/>
      <c r="I892" s="29" t="s">
        <v>431</v>
      </c>
      <c r="J892" s="47">
        <f t="shared" si="54"/>
        <v>23000</v>
      </c>
      <c r="K892" s="29">
        <f>VLOOKUP($C892,청소코드!$C$4:$J$188,8,FALSE)</f>
        <v>23000</v>
      </c>
      <c r="L892" s="32"/>
      <c r="M892" s="31"/>
      <c r="N892" s="32"/>
      <c r="O892" s="32"/>
    </row>
    <row r="893" spans="1:15" customFormat="1" ht="12.75" customHeight="1">
      <c r="A893" s="30">
        <v>46120</v>
      </c>
      <c r="B893" s="29" t="str">
        <f t="shared" si="53"/>
        <v>수</v>
      </c>
      <c r="C893" s="29" t="s">
        <v>1017</v>
      </c>
      <c r="D893" s="29" t="str">
        <f>VLOOKUP($C893,청소코드!$C$4:$J$188,3,FALSE)</f>
        <v>성우 501</v>
      </c>
      <c r="E893" s="29">
        <f>VLOOKUP($C893,청소코드!$C$4:$J$188,4,FALSE)</f>
        <v>2</v>
      </c>
      <c r="F893" s="29" t="s">
        <v>401</v>
      </c>
      <c r="G893" s="29"/>
      <c r="H893" s="29"/>
      <c r="I893" s="29" t="s">
        <v>431</v>
      </c>
      <c r="J893" s="47">
        <f t="shared" si="54"/>
        <v>23000</v>
      </c>
      <c r="K893" s="29">
        <f>VLOOKUP($C893,청소코드!$C$4:$J$188,8,FALSE)</f>
        <v>23000</v>
      </c>
      <c r="L893" s="32"/>
      <c r="M893" s="31"/>
      <c r="N893" s="32"/>
      <c r="O893" s="32"/>
    </row>
    <row r="894" spans="1:15" customFormat="1" ht="12.75" customHeight="1">
      <c r="A894" s="30">
        <v>46120</v>
      </c>
      <c r="B894" s="29" t="str">
        <f t="shared" si="53"/>
        <v>수</v>
      </c>
      <c r="C894" s="29" t="s">
        <v>1018</v>
      </c>
      <c r="D894" s="29" t="str">
        <f>VLOOKUP($C894,청소코드!$C$4:$J$188,3,FALSE)</f>
        <v>청광1차 207</v>
      </c>
      <c r="E894" s="29">
        <f>VLOOKUP($C894,청소코드!$C$4:$J$188,4,FALSE)</f>
        <v>0</v>
      </c>
      <c r="F894" s="29" t="s">
        <v>426</v>
      </c>
      <c r="G894" s="29"/>
      <c r="H894" s="29"/>
      <c r="I894" s="29" t="s">
        <v>431</v>
      </c>
      <c r="J894" s="47">
        <f t="shared" si="54"/>
        <v>10000</v>
      </c>
      <c r="K894" s="29">
        <f>VLOOKUP($C894,청소코드!$C$4:$J$188,8,FALSE)</f>
        <v>10000</v>
      </c>
      <c r="L894" s="32"/>
      <c r="M894" s="31"/>
      <c r="N894" s="32"/>
      <c r="O894" s="32"/>
    </row>
    <row r="895" spans="1:15" customFormat="1" ht="12.75" customHeight="1">
      <c r="A895" s="49">
        <v>46121</v>
      </c>
      <c r="B895" s="50" t="str">
        <f t="shared" si="53"/>
        <v>목</v>
      </c>
      <c r="C895" s="29" t="s">
        <v>1023</v>
      </c>
      <c r="D895" s="29" t="str">
        <f>VLOOKUP($C895,청소코드!$C$4:$J$188,3,FALSE)</f>
        <v>예건 602</v>
      </c>
      <c r="E895" s="29">
        <f>VLOOKUP($C895,청소코드!$C$4:$J$188,4,FALSE)</f>
        <v>1</v>
      </c>
      <c r="F895" s="29" t="s">
        <v>429</v>
      </c>
      <c r="G895" s="29"/>
      <c r="H895" s="29"/>
      <c r="I895" s="29" t="s">
        <v>439</v>
      </c>
      <c r="J895" s="47">
        <f t="shared" si="54"/>
        <v>18000</v>
      </c>
      <c r="K895" s="29">
        <f>VLOOKUP($C895,청소코드!$C$4:$J$188,8,FALSE)</f>
        <v>18000</v>
      </c>
      <c r="L895" s="29"/>
      <c r="M895" s="31"/>
      <c r="N895" s="32"/>
      <c r="O895" s="32"/>
    </row>
    <row r="896" spans="1:15" customFormat="1" ht="12.75" customHeight="1">
      <c r="A896" s="30">
        <v>46121</v>
      </c>
      <c r="B896" s="29" t="str">
        <f t="shared" si="53"/>
        <v>목</v>
      </c>
      <c r="C896" s="29" t="s">
        <v>1024</v>
      </c>
      <c r="D896" s="29" t="str">
        <f>VLOOKUP($C896,청소코드!$C$4:$J$188,3,FALSE)</f>
        <v>성우 204</v>
      </c>
      <c r="E896" s="29">
        <f>VLOOKUP($C896,청소코드!$C$4:$J$188,4,FALSE)</f>
        <v>2</v>
      </c>
      <c r="F896" s="29" t="s">
        <v>429</v>
      </c>
      <c r="G896" s="29" t="s">
        <v>1039</v>
      </c>
      <c r="H896" s="29"/>
      <c r="I896" s="29" t="s">
        <v>439</v>
      </c>
      <c r="J896" s="47">
        <f t="shared" si="54"/>
        <v>28000</v>
      </c>
      <c r="K896" s="29">
        <f>VLOOKUP($C896,청소코드!$C$4:$J$188,8,FALSE)</f>
        <v>23000</v>
      </c>
      <c r="L896" s="29">
        <v>5000</v>
      </c>
      <c r="M896" s="31"/>
      <c r="N896" s="32"/>
      <c r="O896" s="32"/>
    </row>
    <row r="897" spans="1:15" customFormat="1" ht="12.75" customHeight="1">
      <c r="A897" s="30">
        <v>46121</v>
      </c>
      <c r="B897" s="29" t="str">
        <f t="shared" si="53"/>
        <v>목</v>
      </c>
      <c r="C897" s="29" t="s">
        <v>1025</v>
      </c>
      <c r="D897" s="29" t="str">
        <f>VLOOKUP($C897,청소코드!$C$4:$J$188,3,FALSE)</f>
        <v>더하임 1005</v>
      </c>
      <c r="E897" s="29">
        <f>VLOOKUP($C897,청소코드!$C$4:$J$188,4,FALSE)</f>
        <v>1</v>
      </c>
      <c r="F897" s="29" t="s">
        <v>426</v>
      </c>
      <c r="G897" s="29" t="s">
        <v>1042</v>
      </c>
      <c r="H897" s="29"/>
      <c r="I897" s="29" t="s">
        <v>439</v>
      </c>
      <c r="J897" s="47">
        <f t="shared" si="54"/>
        <v>23000</v>
      </c>
      <c r="K897" s="29">
        <f>VLOOKUP($C897,청소코드!$C$4:$J$188,8,FALSE)</f>
        <v>18000</v>
      </c>
      <c r="L897" s="29">
        <v>5000</v>
      </c>
      <c r="M897" s="31"/>
      <c r="N897" s="32"/>
      <c r="O897" s="32"/>
    </row>
    <row r="898" spans="1:15" customFormat="1" ht="12.75" customHeight="1">
      <c r="A898" s="30">
        <v>46121</v>
      </c>
      <c r="B898" s="29" t="str">
        <f t="shared" si="53"/>
        <v>목</v>
      </c>
      <c r="C898" s="29" t="s">
        <v>1026</v>
      </c>
      <c r="D898" s="29" t="str">
        <f>VLOOKUP($C898,청소코드!$C$4:$J$188,3,FALSE)</f>
        <v>더하임 1006</v>
      </c>
      <c r="E898" s="29">
        <f>VLOOKUP($C898,청소코드!$C$4:$J$188,4,FALSE)</f>
        <v>1.5</v>
      </c>
      <c r="F898" s="29" t="s">
        <v>426</v>
      </c>
      <c r="G898" s="29"/>
      <c r="H898" s="29"/>
      <c r="I898" s="29" t="s">
        <v>439</v>
      </c>
      <c r="J898" s="47">
        <f t="shared" si="54"/>
        <v>20000</v>
      </c>
      <c r="K898" s="29">
        <f>VLOOKUP($C898,청소코드!$C$4:$J$188,8,FALSE)</f>
        <v>20000</v>
      </c>
      <c r="L898" s="29"/>
      <c r="M898" s="31"/>
      <c r="N898" s="32"/>
      <c r="O898" s="32"/>
    </row>
    <row r="899" spans="1:15" customFormat="1" ht="12.75" customHeight="1">
      <c r="A899" s="30">
        <v>46121</v>
      </c>
      <c r="B899" s="29" t="str">
        <f t="shared" si="53"/>
        <v>목</v>
      </c>
      <c r="C899" s="29" t="s">
        <v>1027</v>
      </c>
      <c r="D899" s="29" t="str">
        <f>VLOOKUP($C899,청소코드!$C$4:$J$188,3,FALSE)</f>
        <v>더하임 202</v>
      </c>
      <c r="E899" s="29">
        <f>VLOOKUP($C899,청소코드!$C$4:$J$188,4,FALSE)</f>
        <v>1</v>
      </c>
      <c r="F899" s="29" t="s">
        <v>426</v>
      </c>
      <c r="G899" s="29"/>
      <c r="H899" s="29"/>
      <c r="I899" s="29" t="s">
        <v>439</v>
      </c>
      <c r="J899" s="47">
        <f t="shared" si="54"/>
        <v>18000</v>
      </c>
      <c r="K899" s="29">
        <f>VLOOKUP($C899,청소코드!$C$4:$J$188,8,FALSE)</f>
        <v>18000</v>
      </c>
      <c r="L899" s="29"/>
      <c r="M899" s="31"/>
      <c r="N899" s="32"/>
      <c r="O899" s="32"/>
    </row>
    <row r="900" spans="1:15" customFormat="1" ht="12.75" customHeight="1">
      <c r="A900" s="30">
        <v>46121</v>
      </c>
      <c r="B900" s="29" t="str">
        <f t="shared" si="53"/>
        <v>목</v>
      </c>
      <c r="C900" s="29" t="s">
        <v>1028</v>
      </c>
      <c r="D900" s="29" t="str">
        <f>VLOOKUP($C900,청소코드!$C$4:$J$188,3,FALSE)</f>
        <v>청광3차 806</v>
      </c>
      <c r="E900" s="29">
        <f>VLOOKUP($C900,청소코드!$C$4:$J$188,4,FALSE)</f>
        <v>1</v>
      </c>
      <c r="F900" s="29" t="s">
        <v>449</v>
      </c>
      <c r="G900" s="29"/>
      <c r="H900" s="29"/>
      <c r="I900" s="29" t="s">
        <v>439</v>
      </c>
      <c r="J900" s="47">
        <f t="shared" si="54"/>
        <v>18000</v>
      </c>
      <c r="K900" s="29">
        <f>VLOOKUP($C900,청소코드!$C$4:$J$188,8,FALSE)</f>
        <v>18000</v>
      </c>
      <c r="L900" s="29"/>
      <c r="M900" s="31"/>
      <c r="N900" s="32"/>
      <c r="O900" s="32"/>
    </row>
    <row r="901" spans="1:15" customFormat="1" ht="12.75" customHeight="1">
      <c r="A901" s="30">
        <v>46121</v>
      </c>
      <c r="B901" s="29" t="str">
        <f t="shared" si="53"/>
        <v>목</v>
      </c>
      <c r="C901" s="29" t="s">
        <v>1029</v>
      </c>
      <c r="D901" s="29" t="str">
        <f>VLOOKUP($C901,청소코드!$C$4:$J$188,3,FALSE)</f>
        <v>강동QV 1604</v>
      </c>
      <c r="E901" s="29">
        <f>VLOOKUP($C901,청소코드!$C$4:$J$188,4,FALSE)</f>
        <v>1</v>
      </c>
      <c r="F901" s="29" t="s">
        <v>449</v>
      </c>
      <c r="G901" s="29"/>
      <c r="H901" s="29"/>
      <c r="I901" s="29" t="s">
        <v>439</v>
      </c>
      <c r="J901" s="47">
        <f t="shared" si="54"/>
        <v>18000</v>
      </c>
      <c r="K901" s="29">
        <f>VLOOKUP($C901,청소코드!$C$4:$J$188,8,FALSE)</f>
        <v>18000</v>
      </c>
      <c r="L901" s="29"/>
      <c r="M901" s="31"/>
      <c r="N901" s="32"/>
      <c r="O901" s="32"/>
    </row>
    <row r="902" spans="1:15" customFormat="1" ht="12.75" customHeight="1">
      <c r="A902" s="30">
        <v>46121</v>
      </c>
      <c r="B902" s="29" t="str">
        <f t="shared" si="53"/>
        <v>목</v>
      </c>
      <c r="C902" s="29" t="s">
        <v>1030</v>
      </c>
      <c r="D902" s="29" t="str">
        <f>VLOOKUP($C902,청소코드!$C$4:$J$188,3,FALSE)</f>
        <v>렘브 204</v>
      </c>
      <c r="E902" s="29">
        <f>VLOOKUP($C902,청소코드!$C$4:$J$188,4,FALSE)</f>
        <v>1</v>
      </c>
      <c r="F902" s="29" t="s">
        <v>449</v>
      </c>
      <c r="G902" s="29"/>
      <c r="H902" s="29"/>
      <c r="I902" s="29" t="s">
        <v>439</v>
      </c>
      <c r="J902" s="47">
        <f t="shared" si="54"/>
        <v>18000</v>
      </c>
      <c r="K902" s="29">
        <f>VLOOKUP($C902,청소코드!$C$4:$J$188,8,FALSE)</f>
        <v>18000</v>
      </c>
      <c r="L902" s="29"/>
      <c r="M902" s="31"/>
      <c r="N902" s="32"/>
      <c r="O902" s="32"/>
    </row>
    <row r="903" spans="1:15" customFormat="1" ht="12.75" customHeight="1">
      <c r="A903" s="30">
        <v>46121</v>
      </c>
      <c r="B903" s="29" t="str">
        <f t="shared" si="53"/>
        <v>목</v>
      </c>
      <c r="C903" s="29" t="s">
        <v>1031</v>
      </c>
      <c r="D903" s="29" t="str">
        <f>VLOOKUP($C903,청소코드!$C$4:$J$188,3,FALSE)</f>
        <v>동구햇살 1203</v>
      </c>
      <c r="E903" s="29" t="str">
        <f>VLOOKUP($C903,청소코드!$C$4:$J$188,4,FALSE)</f>
        <v>복</v>
      </c>
      <c r="F903" s="29" t="s">
        <v>449</v>
      </c>
      <c r="G903" s="29"/>
      <c r="H903" s="29"/>
      <c r="I903" s="29" t="s">
        <v>439</v>
      </c>
      <c r="J903" s="47">
        <f t="shared" si="54"/>
        <v>20000</v>
      </c>
      <c r="K903" s="29">
        <f>VLOOKUP($C903,청소코드!$C$4:$J$188,8,FALSE)</f>
        <v>20000</v>
      </c>
      <c r="L903" s="29"/>
      <c r="M903" s="31"/>
      <c r="N903" s="32"/>
      <c r="O903" s="32"/>
    </row>
    <row r="904" spans="1:15" customFormat="1" ht="12.75" customHeight="1">
      <c r="A904" s="30">
        <v>46121</v>
      </c>
      <c r="B904" s="29" t="str">
        <f t="shared" si="53"/>
        <v>목</v>
      </c>
      <c r="C904" s="29" t="s">
        <v>1032</v>
      </c>
      <c r="D904" s="29" t="str">
        <f>VLOOKUP($C904,청소코드!$C$4:$J$188,3,FALSE)</f>
        <v>센텀 2차 501</v>
      </c>
      <c r="E904" s="29">
        <f>VLOOKUP($C904,청소코드!$C$4:$J$188,4,FALSE)</f>
        <v>1.5</v>
      </c>
      <c r="F904" s="29" t="s">
        <v>401</v>
      </c>
      <c r="G904" s="29"/>
      <c r="H904" s="29"/>
      <c r="I904" s="29" t="s">
        <v>439</v>
      </c>
      <c r="J904" s="47">
        <f t="shared" si="54"/>
        <v>20000</v>
      </c>
      <c r="K904" s="29">
        <f>VLOOKUP($C904,청소코드!$C$4:$J$188,8,FALSE)</f>
        <v>20000</v>
      </c>
      <c r="L904" s="29"/>
      <c r="M904" s="31"/>
      <c r="N904" s="32"/>
      <c r="O904" s="32"/>
    </row>
    <row r="905" spans="1:15" customFormat="1" ht="12.75" customHeight="1">
      <c r="A905" s="30">
        <v>46121</v>
      </c>
      <c r="B905" s="29" t="str">
        <f t="shared" si="53"/>
        <v>목</v>
      </c>
      <c r="C905" s="29" t="s">
        <v>1033</v>
      </c>
      <c r="D905" s="29" t="str">
        <f>VLOOKUP($C905,청소코드!$C$4:$J$188,3,FALSE)</f>
        <v>더하임 506</v>
      </c>
      <c r="E905" s="29">
        <f>VLOOKUP($C905,청소코드!$C$4:$J$188,4,FALSE)</f>
        <v>1.5</v>
      </c>
      <c r="F905" s="29" t="s">
        <v>401</v>
      </c>
      <c r="G905" s="29" t="s">
        <v>898</v>
      </c>
      <c r="H905" s="29"/>
      <c r="I905" s="29" t="s">
        <v>439</v>
      </c>
      <c r="J905" s="47">
        <f t="shared" si="54"/>
        <v>25000</v>
      </c>
      <c r="K905" s="29">
        <f>VLOOKUP($C905,청소코드!$C$4:$J$188,8,FALSE)</f>
        <v>20000</v>
      </c>
      <c r="L905" s="29">
        <v>5000</v>
      </c>
      <c r="M905" s="31"/>
      <c r="N905" s="32"/>
      <c r="O905" s="32"/>
    </row>
    <row r="906" spans="1:15" customFormat="1" ht="12.75" customHeight="1">
      <c r="A906" s="30">
        <v>46121</v>
      </c>
      <c r="B906" s="29" t="str">
        <f t="shared" si="53"/>
        <v>목</v>
      </c>
      <c r="C906" s="29" t="s">
        <v>1034</v>
      </c>
      <c r="D906" s="29" t="str">
        <f>VLOOKUP($C906,청소코드!$C$4:$J$188,3,FALSE)</f>
        <v>더하임 901</v>
      </c>
      <c r="E906" s="29">
        <f>VLOOKUP($C906,청소코드!$C$4:$J$188,4,FALSE)</f>
        <v>1</v>
      </c>
      <c r="F906" s="29" t="s">
        <v>401</v>
      </c>
      <c r="G906" s="29"/>
      <c r="H906" s="29"/>
      <c r="I906" s="29" t="s">
        <v>439</v>
      </c>
      <c r="J906" s="47">
        <f t="shared" si="54"/>
        <v>18000</v>
      </c>
      <c r="K906" s="29">
        <f>VLOOKUP($C906,청소코드!$C$4:$J$188,8,FALSE)</f>
        <v>18000</v>
      </c>
      <c r="L906" s="29"/>
      <c r="M906" s="31"/>
      <c r="N906" s="32"/>
      <c r="O906" s="32"/>
    </row>
    <row r="907" spans="1:15" customFormat="1" ht="12.75" customHeight="1">
      <c r="A907" s="30">
        <v>46121</v>
      </c>
      <c r="B907" s="29" t="str">
        <f t="shared" si="53"/>
        <v>목</v>
      </c>
      <c r="C907" s="29" t="s">
        <v>1035</v>
      </c>
      <c r="D907" s="29" t="str">
        <f>VLOOKUP($C907,청소코드!$C$4:$J$188,3,FALSE)</f>
        <v>오앤 401</v>
      </c>
      <c r="E907" s="29">
        <f>VLOOKUP($C907,청소코드!$C$4:$J$188,4,FALSE)</f>
        <v>1</v>
      </c>
      <c r="F907" s="29" t="s">
        <v>401</v>
      </c>
      <c r="G907" s="29"/>
      <c r="H907" s="29"/>
      <c r="I907" s="29" t="s">
        <v>439</v>
      </c>
      <c r="J907" s="47">
        <f t="shared" si="54"/>
        <v>18000</v>
      </c>
      <c r="K907" s="29">
        <f>VLOOKUP($C907,청소코드!$C$4:$J$188,8,FALSE)</f>
        <v>18000</v>
      </c>
      <c r="L907" s="29"/>
      <c r="M907" s="31"/>
      <c r="N907" s="32"/>
      <c r="O907" s="32"/>
    </row>
    <row r="908" spans="1:15" customFormat="1" ht="12.75" customHeight="1">
      <c r="A908" s="30">
        <v>46121</v>
      </c>
      <c r="B908" s="29" t="str">
        <f t="shared" ref="B908:B939" si="55">TEXT(A908,"aaa")</f>
        <v>목</v>
      </c>
      <c r="C908" s="29" t="s">
        <v>1036</v>
      </c>
      <c r="D908" s="29" t="str">
        <f>VLOOKUP($C908,청소코드!$C$4:$J$188,3,FALSE)</f>
        <v>대치동 101호</v>
      </c>
      <c r="E908" s="29">
        <f>VLOOKUP($C908,청소코드!$C$4:$J$188,4,FALSE)</f>
        <v>2</v>
      </c>
      <c r="F908" s="29" t="s">
        <v>499</v>
      </c>
      <c r="G908" s="29"/>
      <c r="H908" s="29"/>
      <c r="I908" s="29" t="s">
        <v>439</v>
      </c>
      <c r="J908" s="47">
        <f t="shared" ref="J908:J939" si="56">SUM(K908:O908)</f>
        <v>27000</v>
      </c>
      <c r="K908" s="29">
        <f>VLOOKUP($C908,청소코드!$C$4:$J$188,8,FALSE)</f>
        <v>23000</v>
      </c>
      <c r="L908" s="29"/>
      <c r="M908" s="31"/>
      <c r="N908" s="32">
        <v>4000</v>
      </c>
      <c r="O908" s="32"/>
    </row>
    <row r="909" spans="1:15" customFormat="1" ht="12.75" customHeight="1">
      <c r="A909" s="30">
        <v>46121</v>
      </c>
      <c r="B909" s="29" t="str">
        <f t="shared" si="55"/>
        <v>목</v>
      </c>
      <c r="C909" s="29" t="s">
        <v>1037</v>
      </c>
      <c r="D909" s="29" t="str">
        <f>VLOOKUP($C909,청소코드!$C$4:$J$188,3,FALSE)</f>
        <v>청광1차 207</v>
      </c>
      <c r="E909" s="29">
        <f>VLOOKUP($C909,청소코드!$C$4:$J$188,4,FALSE)</f>
        <v>0</v>
      </c>
      <c r="F909" s="29" t="s">
        <v>426</v>
      </c>
      <c r="G909" s="29"/>
      <c r="H909" s="29"/>
      <c r="I909" s="29" t="s">
        <v>439</v>
      </c>
      <c r="J909" s="47">
        <f t="shared" si="56"/>
        <v>10000</v>
      </c>
      <c r="K909" s="29">
        <f>VLOOKUP($C909,청소코드!$C$4:$J$188,8,FALSE)</f>
        <v>10000</v>
      </c>
      <c r="L909" s="29"/>
      <c r="M909" s="31"/>
      <c r="N909" s="32"/>
      <c r="O909" s="32"/>
    </row>
    <row r="910" spans="1:15" customFormat="1" ht="12.75" customHeight="1">
      <c r="A910" s="49">
        <v>46122</v>
      </c>
      <c r="B910" s="50" t="str">
        <f t="shared" si="55"/>
        <v>금</v>
      </c>
      <c r="C910" s="84" t="s">
        <v>1043</v>
      </c>
      <c r="D910" s="29" t="str">
        <f>VLOOKUP($C910,청소코드!$C$4:$J$188,3,FALSE)</f>
        <v>더하임 1005</v>
      </c>
      <c r="E910" s="29">
        <f>VLOOKUP($C910,청소코드!$C$4:$J$188,4,FALSE)</f>
        <v>1</v>
      </c>
      <c r="F910" s="29" t="s">
        <v>438</v>
      </c>
      <c r="G910" s="84" t="s">
        <v>1056</v>
      </c>
      <c r="H910" s="29"/>
      <c r="I910" s="29" t="s">
        <v>431</v>
      </c>
      <c r="J910" s="47">
        <f t="shared" si="56"/>
        <v>23000</v>
      </c>
      <c r="K910" s="29">
        <f>VLOOKUP($C910,청소코드!$C$4:$J$188,8,FALSE)</f>
        <v>18000</v>
      </c>
      <c r="L910" s="32">
        <v>5000</v>
      </c>
      <c r="M910" s="31"/>
      <c r="N910" s="32"/>
      <c r="O910" s="32"/>
    </row>
    <row r="911" spans="1:15" customFormat="1" ht="12.75" customHeight="1">
      <c r="A911" s="30">
        <v>46122</v>
      </c>
      <c r="B911" s="29" t="str">
        <f t="shared" si="55"/>
        <v>금</v>
      </c>
      <c r="C911" s="84" t="s">
        <v>1044</v>
      </c>
      <c r="D911" s="29" t="str">
        <f>VLOOKUP($C911,청소코드!$C$4:$J$188,3,FALSE)</f>
        <v>더하임 205</v>
      </c>
      <c r="E911" s="29">
        <f>VLOOKUP($C911,청소코드!$C$4:$J$188,4,FALSE)</f>
        <v>1</v>
      </c>
      <c r="F911" s="29" t="s">
        <v>438</v>
      </c>
      <c r="G911" s="29"/>
      <c r="H911" s="29"/>
      <c r="I911" s="29" t="s">
        <v>431</v>
      </c>
      <c r="J911" s="47">
        <f t="shared" si="56"/>
        <v>18000</v>
      </c>
      <c r="K911" s="29">
        <f>VLOOKUP($C911,청소코드!$C$4:$J$188,8,FALSE)</f>
        <v>18000</v>
      </c>
      <c r="L911" s="32"/>
      <c r="M911" s="31"/>
      <c r="N911" s="32"/>
      <c r="O911" s="32"/>
    </row>
    <row r="912" spans="1:15" customFormat="1" ht="12.75" customHeight="1">
      <c r="A912" s="30">
        <v>46122</v>
      </c>
      <c r="B912" s="29" t="str">
        <f t="shared" si="55"/>
        <v>금</v>
      </c>
      <c r="C912" s="84" t="s">
        <v>1045</v>
      </c>
      <c r="D912" s="29" t="str">
        <f>VLOOKUP($C912,청소코드!$C$4:$J$188,3,FALSE)</f>
        <v>더하임 506</v>
      </c>
      <c r="E912" s="29">
        <f>VLOOKUP($C912,청소코드!$C$4:$J$188,4,FALSE)</f>
        <v>1.5</v>
      </c>
      <c r="F912" s="29" t="s">
        <v>426</v>
      </c>
      <c r="G912" s="84" t="s">
        <v>1056</v>
      </c>
      <c r="H912" s="29"/>
      <c r="I912" s="29" t="s">
        <v>431</v>
      </c>
      <c r="J912" s="47">
        <f t="shared" si="56"/>
        <v>25000</v>
      </c>
      <c r="K912" s="29">
        <f>VLOOKUP($C912,청소코드!$C$4:$J$188,8,FALSE)</f>
        <v>20000</v>
      </c>
      <c r="L912" s="32">
        <v>5000</v>
      </c>
      <c r="M912" s="31"/>
      <c r="N912" s="32"/>
      <c r="O912" s="32"/>
    </row>
    <row r="913" spans="1:15" customFormat="1" ht="12.75" customHeight="1">
      <c r="A913" s="30">
        <v>46122</v>
      </c>
      <c r="B913" s="29" t="str">
        <f t="shared" si="55"/>
        <v>금</v>
      </c>
      <c r="C913" s="84" t="s">
        <v>1046</v>
      </c>
      <c r="D913" s="29" t="str">
        <f>VLOOKUP($C913,청소코드!$C$4:$J$188,3,FALSE)</f>
        <v>더하임 901</v>
      </c>
      <c r="E913" s="29">
        <f>VLOOKUP($C913,청소코드!$C$4:$J$188,4,FALSE)</f>
        <v>1</v>
      </c>
      <c r="F913" s="29" t="s">
        <v>426</v>
      </c>
      <c r="G913" s="29"/>
      <c r="H913" s="29"/>
      <c r="I913" s="29" t="s">
        <v>431</v>
      </c>
      <c r="J913" s="47">
        <f t="shared" si="56"/>
        <v>18000</v>
      </c>
      <c r="K913" s="29">
        <f>VLOOKUP($C913,청소코드!$C$4:$J$188,8,FALSE)</f>
        <v>18000</v>
      </c>
      <c r="L913" s="32"/>
      <c r="M913" s="31"/>
      <c r="N913" s="32"/>
      <c r="O913" s="32"/>
    </row>
    <row r="914" spans="1:15" customFormat="1" ht="12.75" customHeight="1">
      <c r="A914" s="30">
        <v>46122</v>
      </c>
      <c r="B914" s="29" t="str">
        <f t="shared" si="55"/>
        <v>금</v>
      </c>
      <c r="C914" s="84" t="s">
        <v>1047</v>
      </c>
      <c r="D914" s="29" t="str">
        <f>VLOOKUP($C914,청소코드!$C$4:$J$188,3,FALSE)</f>
        <v>청광3차 1412</v>
      </c>
      <c r="E914" s="29">
        <f>VLOOKUP($C914,청소코드!$C$4:$J$188,4,FALSE)</f>
        <v>1</v>
      </c>
      <c r="F914" s="29" t="s">
        <v>429</v>
      </c>
      <c r="G914" s="84" t="s">
        <v>1056</v>
      </c>
      <c r="H914" s="29"/>
      <c r="I914" s="29" t="s">
        <v>431</v>
      </c>
      <c r="J914" s="47">
        <f t="shared" si="56"/>
        <v>23000</v>
      </c>
      <c r="K914" s="29">
        <f>VLOOKUP($C914,청소코드!$C$4:$J$188,8,FALSE)</f>
        <v>18000</v>
      </c>
      <c r="L914" s="32">
        <v>5000</v>
      </c>
      <c r="M914" s="31"/>
      <c r="N914" s="32"/>
      <c r="O914" s="32"/>
    </row>
    <row r="915" spans="1:15" customFormat="1" ht="12.75" customHeight="1">
      <c r="A915" s="30">
        <v>46122</v>
      </c>
      <c r="B915" s="29" t="str">
        <f t="shared" si="55"/>
        <v>금</v>
      </c>
      <c r="C915" s="84" t="s">
        <v>1048</v>
      </c>
      <c r="D915" s="29" t="str">
        <f>VLOOKUP($C915,청소코드!$C$4:$J$188,3,FALSE)</f>
        <v>성우 304</v>
      </c>
      <c r="E915" s="29">
        <f>VLOOKUP($C915,청소코드!$C$4:$J$188,4,FALSE)</f>
        <v>2</v>
      </c>
      <c r="F915" s="29" t="s">
        <v>429</v>
      </c>
      <c r="G915" s="29"/>
      <c r="H915" s="29"/>
      <c r="I915" s="29" t="s">
        <v>431</v>
      </c>
      <c r="J915" s="47">
        <f t="shared" si="56"/>
        <v>23000</v>
      </c>
      <c r="K915" s="29">
        <f>VLOOKUP($C915,청소코드!$C$4:$J$188,8,FALSE)</f>
        <v>23000</v>
      </c>
      <c r="L915" s="32"/>
      <c r="M915" s="31"/>
      <c r="N915" s="32"/>
      <c r="O915" s="32"/>
    </row>
    <row r="916" spans="1:15" customFormat="1" ht="12.75" customHeight="1">
      <c r="A916" s="30">
        <v>46122</v>
      </c>
      <c r="B916" s="29" t="str">
        <f t="shared" si="55"/>
        <v>금</v>
      </c>
      <c r="C916" s="84" t="s">
        <v>1049</v>
      </c>
      <c r="D916" s="29" t="str">
        <f>VLOOKUP($C916,청소코드!$C$4:$J$188,3,FALSE)</f>
        <v>센텀 2차 501</v>
      </c>
      <c r="E916" s="29">
        <f>VLOOKUP($C916,청소코드!$C$4:$J$188,4,FALSE)</f>
        <v>1.5</v>
      </c>
      <c r="F916" s="29" t="s">
        <v>426</v>
      </c>
      <c r="G916" s="29"/>
      <c r="H916" s="29"/>
      <c r="I916" s="29" t="s">
        <v>431</v>
      </c>
      <c r="J916" s="47">
        <f t="shared" si="56"/>
        <v>20000</v>
      </c>
      <c r="K916" s="29">
        <f>VLOOKUP($C916,청소코드!$C$4:$J$188,8,FALSE)</f>
        <v>20000</v>
      </c>
      <c r="L916" s="32"/>
      <c r="M916" s="31"/>
      <c r="N916" s="32"/>
      <c r="O916" s="32"/>
    </row>
    <row r="917" spans="1:15" customFormat="1" ht="12.75" customHeight="1">
      <c r="A917" s="30">
        <v>46122</v>
      </c>
      <c r="B917" s="29" t="str">
        <f t="shared" si="55"/>
        <v>금</v>
      </c>
      <c r="C917" s="84" t="s">
        <v>1050</v>
      </c>
      <c r="D917" s="29" t="str">
        <f>VLOOKUP($C917,청소코드!$C$4:$J$188,3,FALSE)</f>
        <v>si 602</v>
      </c>
      <c r="E917" s="29">
        <f>VLOOKUP($C917,청소코드!$C$4:$J$188,4,FALSE)</f>
        <v>1</v>
      </c>
      <c r="F917" s="84" t="s">
        <v>401</v>
      </c>
      <c r="G917" s="84" t="s">
        <v>1056</v>
      </c>
      <c r="H917" s="29"/>
      <c r="I917" s="29" t="s">
        <v>431</v>
      </c>
      <c r="J917" s="47">
        <f t="shared" si="56"/>
        <v>25000</v>
      </c>
      <c r="K917" s="29">
        <f>VLOOKUP($C917,청소코드!$C$4:$J$188,8,FALSE)</f>
        <v>20000</v>
      </c>
      <c r="L917" s="32">
        <v>5000</v>
      </c>
      <c r="M917" s="31"/>
      <c r="N917" s="32"/>
      <c r="O917" s="32"/>
    </row>
    <row r="918" spans="1:15" customFormat="1" ht="12.75" customHeight="1">
      <c r="A918" s="30">
        <v>46122</v>
      </c>
      <c r="B918" s="29" t="str">
        <f t="shared" si="55"/>
        <v>금</v>
      </c>
      <c r="C918" s="84" t="s">
        <v>1051</v>
      </c>
      <c r="D918" s="29" t="str">
        <f>VLOOKUP($C918,청소코드!$C$4:$J$188,3,FALSE)</f>
        <v>오금스타 205</v>
      </c>
      <c r="E918" s="29">
        <f>VLOOKUP($C918,청소코드!$C$4:$J$188,4,FALSE)</f>
        <v>1</v>
      </c>
      <c r="F918" s="84" t="s">
        <v>449</v>
      </c>
      <c r="G918" s="84" t="s">
        <v>1054</v>
      </c>
      <c r="H918" s="29"/>
      <c r="I918" s="29" t="s">
        <v>431</v>
      </c>
      <c r="J918" s="47">
        <f t="shared" si="56"/>
        <v>29000</v>
      </c>
      <c r="K918" s="29">
        <f>VLOOKUP($C918,청소코드!$C$4:$J$188,8,FALSE)</f>
        <v>18000</v>
      </c>
      <c r="L918" s="32">
        <v>11000</v>
      </c>
      <c r="M918" s="31"/>
      <c r="N918" s="32"/>
      <c r="O918" s="32"/>
    </row>
    <row r="919" spans="1:15" customFormat="1" ht="12.75" customHeight="1">
      <c r="A919" s="30">
        <v>46122</v>
      </c>
      <c r="B919" s="29" t="str">
        <f t="shared" si="55"/>
        <v>금</v>
      </c>
      <c r="C919" s="84" t="s">
        <v>1052</v>
      </c>
      <c r="D919" s="29" t="str">
        <f>VLOOKUP($C919,청소코드!$C$4:$J$188,3,FALSE)</f>
        <v>하람휴 1001</v>
      </c>
      <c r="E919" s="29">
        <f>VLOOKUP($C919,청소코드!$C$4:$J$188,4,FALSE)</f>
        <v>2</v>
      </c>
      <c r="F919" s="84" t="s">
        <v>408</v>
      </c>
      <c r="G919" s="84" t="s">
        <v>1056</v>
      </c>
      <c r="H919" s="29"/>
      <c r="I919" s="29" t="s">
        <v>431</v>
      </c>
      <c r="J919" s="47">
        <f t="shared" si="56"/>
        <v>28000</v>
      </c>
      <c r="K919" s="29">
        <f>VLOOKUP($C919,청소코드!$C$4:$J$188,8,FALSE)</f>
        <v>23000</v>
      </c>
      <c r="L919" s="32">
        <v>5000</v>
      </c>
      <c r="M919" s="31"/>
      <c r="N919" s="32"/>
      <c r="O919" s="32"/>
    </row>
    <row r="920" spans="1:15" customFormat="1" ht="12.75" customHeight="1">
      <c r="A920" s="30">
        <v>46122</v>
      </c>
      <c r="B920" s="29" t="str">
        <f t="shared" si="55"/>
        <v>금</v>
      </c>
      <c r="C920" s="84" t="s">
        <v>1053</v>
      </c>
      <c r="D920" s="29" t="str">
        <f>VLOOKUP($C920,청소코드!$C$4:$J$188,3,FALSE)</f>
        <v>대치동 101호</v>
      </c>
      <c r="E920" s="29">
        <f>VLOOKUP($C920,청소코드!$C$4:$J$188,4,FALSE)</f>
        <v>2</v>
      </c>
      <c r="F920" s="84" t="s">
        <v>499</v>
      </c>
      <c r="G920" s="84" t="s">
        <v>1056</v>
      </c>
      <c r="H920" s="29"/>
      <c r="I920" s="29" t="s">
        <v>431</v>
      </c>
      <c r="J920" s="47">
        <f t="shared" si="56"/>
        <v>28000</v>
      </c>
      <c r="K920" s="29">
        <f>VLOOKUP($C920,청소코드!$C$4:$J$188,8,FALSE)</f>
        <v>23000</v>
      </c>
      <c r="L920" s="32">
        <v>5000</v>
      </c>
      <c r="M920" s="31"/>
      <c r="N920" s="32"/>
      <c r="O920" s="32"/>
    </row>
    <row r="921" spans="1:15" customFormat="1" ht="12.75" customHeight="1">
      <c r="A921" s="30">
        <v>46122</v>
      </c>
      <c r="B921" s="29" t="str">
        <f t="shared" si="55"/>
        <v>금</v>
      </c>
      <c r="C921" s="84" t="s">
        <v>1055</v>
      </c>
      <c r="D921" s="29" t="str">
        <f>VLOOKUP($C921,청소코드!$C$4:$J$188,3,FALSE)</f>
        <v>청광1차 207</v>
      </c>
      <c r="E921" s="29">
        <f>VLOOKUP($C921,청소코드!$C$4:$J$188,4,FALSE)</f>
        <v>0</v>
      </c>
      <c r="F921" s="84" t="s">
        <v>426</v>
      </c>
      <c r="G921" s="29"/>
      <c r="H921" s="29"/>
      <c r="I921" s="29" t="s">
        <v>431</v>
      </c>
      <c r="J921" s="47">
        <f t="shared" si="56"/>
        <v>10000</v>
      </c>
      <c r="K921" s="29">
        <f>VLOOKUP($C921,청소코드!$C$4:$J$188,8,FALSE)</f>
        <v>10000</v>
      </c>
      <c r="L921" s="32"/>
      <c r="M921" s="31"/>
      <c r="N921" s="32"/>
      <c r="O921" s="32"/>
    </row>
    <row r="922" spans="1:15" customFormat="1" ht="12.75" customHeight="1">
      <c r="A922" s="49">
        <v>46123</v>
      </c>
      <c r="B922" s="50" t="str">
        <f t="shared" si="55"/>
        <v>토</v>
      </c>
      <c r="C922" s="84" t="s">
        <v>1057</v>
      </c>
      <c r="D922" s="29" t="str">
        <f>VLOOKUP($C922,청소코드!$C$4:$J$188,3,FALSE)</f>
        <v>예건 602</v>
      </c>
      <c r="E922" s="29">
        <f>VLOOKUP($C922,청소코드!$C$4:$J$188,4,FALSE)</f>
        <v>1</v>
      </c>
      <c r="F922" s="84" t="s">
        <v>426</v>
      </c>
      <c r="G922" s="29"/>
      <c r="H922" s="29"/>
      <c r="I922" s="84" t="s">
        <v>439</v>
      </c>
      <c r="J922" s="47">
        <f t="shared" si="56"/>
        <v>18000</v>
      </c>
      <c r="K922" s="29">
        <f>VLOOKUP($C922,청소코드!$C$4:$J$188,8,FALSE)</f>
        <v>18000</v>
      </c>
      <c r="L922" s="32"/>
      <c r="M922" s="31"/>
      <c r="N922" s="32"/>
      <c r="O922" s="32"/>
    </row>
    <row r="923" spans="1:15" customFormat="1" ht="12.75" customHeight="1">
      <c r="A923" s="30">
        <v>46123</v>
      </c>
      <c r="B923" s="29" t="str">
        <f t="shared" si="55"/>
        <v>토</v>
      </c>
      <c r="C923" s="84" t="s">
        <v>1058</v>
      </c>
      <c r="D923" s="29" t="str">
        <f>VLOOKUP($C923,청소코드!$C$4:$J$188,3,FALSE)</f>
        <v>청광3차 1416</v>
      </c>
      <c r="E923" s="29">
        <f>VLOOKUP($C923,청소코드!$C$4:$J$188,4,FALSE)</f>
        <v>1</v>
      </c>
      <c r="F923" s="84" t="s">
        <v>437</v>
      </c>
      <c r="G923" s="29"/>
      <c r="H923" s="29"/>
      <c r="I923" s="29" t="s">
        <v>431</v>
      </c>
      <c r="J923" s="47">
        <f t="shared" si="56"/>
        <v>18000</v>
      </c>
      <c r="K923" s="29">
        <f>VLOOKUP($C923,청소코드!$C$4:$J$188,8,FALSE)</f>
        <v>18000</v>
      </c>
      <c r="L923" s="32"/>
      <c r="M923" s="31"/>
      <c r="N923" s="32"/>
      <c r="O923" s="32"/>
    </row>
    <row r="924" spans="1:15" customFormat="1" ht="12.75" customHeight="1">
      <c r="A924" s="30">
        <v>46123</v>
      </c>
      <c r="B924" s="29" t="str">
        <f t="shared" si="55"/>
        <v>토</v>
      </c>
      <c r="C924" s="84" t="s">
        <v>1059</v>
      </c>
      <c r="D924" s="29" t="str">
        <f>VLOOKUP($C924,청소코드!$C$4:$J$188,3,FALSE)</f>
        <v>렘브 505</v>
      </c>
      <c r="E924" s="29">
        <f>VLOOKUP($C924,청소코드!$C$4:$J$188,4,FALSE)</f>
        <v>1</v>
      </c>
      <c r="F924" s="84" t="s">
        <v>401</v>
      </c>
      <c r="G924" s="29"/>
      <c r="H924" s="29"/>
      <c r="I924" s="29" t="s">
        <v>431</v>
      </c>
      <c r="J924" s="47">
        <f t="shared" si="56"/>
        <v>18000</v>
      </c>
      <c r="K924" s="29">
        <f>VLOOKUP($C924,청소코드!$C$4:$J$188,8,FALSE)</f>
        <v>18000</v>
      </c>
      <c r="L924" s="32"/>
      <c r="M924" s="31"/>
      <c r="N924" s="32"/>
      <c r="O924" s="32"/>
    </row>
    <row r="925" spans="1:15" customFormat="1" ht="12.75" customHeight="1">
      <c r="A925" s="30">
        <v>46123</v>
      </c>
      <c r="B925" s="29" t="str">
        <f t="shared" si="55"/>
        <v>토</v>
      </c>
      <c r="C925" s="84" t="s">
        <v>1051</v>
      </c>
      <c r="D925" s="29" t="str">
        <f>VLOOKUP($C925,청소코드!$C$4:$J$188,3,FALSE)</f>
        <v>오금스타 205</v>
      </c>
      <c r="E925" s="29">
        <f>VLOOKUP($C925,청소코드!$C$4:$J$188,4,FALSE)</f>
        <v>1</v>
      </c>
      <c r="F925" s="84" t="s">
        <v>449</v>
      </c>
      <c r="G925" s="29"/>
      <c r="H925" s="29"/>
      <c r="I925" s="29" t="s">
        <v>431</v>
      </c>
      <c r="J925" s="47">
        <f t="shared" si="56"/>
        <v>18000</v>
      </c>
      <c r="K925" s="29">
        <f>VLOOKUP($C925,청소코드!$C$4:$J$188,8,FALSE)</f>
        <v>18000</v>
      </c>
      <c r="L925" s="32"/>
      <c r="M925" s="31"/>
      <c r="N925" s="32"/>
      <c r="O925" s="32"/>
    </row>
    <row r="926" spans="1:15" customFormat="1" ht="12.75" customHeight="1">
      <c r="A926" s="30">
        <v>46123</v>
      </c>
      <c r="B926" s="29" t="str">
        <f t="shared" si="55"/>
        <v>토</v>
      </c>
      <c r="C926" s="84" t="s">
        <v>1052</v>
      </c>
      <c r="D926" s="29" t="str">
        <f>VLOOKUP($C926,청소코드!$C$4:$J$188,3,FALSE)</f>
        <v>하람휴 1001</v>
      </c>
      <c r="E926" s="29">
        <f>VLOOKUP($C926,청소코드!$C$4:$J$188,4,FALSE)</f>
        <v>2</v>
      </c>
      <c r="F926" s="84" t="s">
        <v>408</v>
      </c>
      <c r="G926" s="29"/>
      <c r="H926" s="29"/>
      <c r="I926" s="29" t="s">
        <v>439</v>
      </c>
      <c r="J926" s="47">
        <f t="shared" si="56"/>
        <v>23000</v>
      </c>
      <c r="K926" s="29">
        <f>VLOOKUP($C926,청소코드!$C$4:$J$188,8,FALSE)</f>
        <v>23000</v>
      </c>
      <c r="L926" s="32"/>
      <c r="M926" s="31"/>
      <c r="N926" s="32"/>
      <c r="O926" s="32"/>
    </row>
    <row r="927" spans="1:15" customFormat="1" ht="12.75" customHeight="1">
      <c r="A927" s="30">
        <v>46123</v>
      </c>
      <c r="B927" s="29" t="str">
        <f t="shared" si="55"/>
        <v>토</v>
      </c>
      <c r="C927" s="84" t="s">
        <v>1060</v>
      </c>
      <c r="D927" s="29" t="str">
        <f>VLOOKUP($C927,청소코드!$C$4:$J$188,3,FALSE)</f>
        <v>센텀 2차 606</v>
      </c>
      <c r="E927" s="29">
        <f>VLOOKUP($C927,청소코드!$C$4:$J$188,4,FALSE)</f>
        <v>1.5</v>
      </c>
      <c r="F927" s="84" t="s">
        <v>429</v>
      </c>
      <c r="G927" s="29"/>
      <c r="H927" s="29"/>
      <c r="I927" s="29" t="s">
        <v>431</v>
      </c>
      <c r="J927" s="47">
        <f t="shared" si="56"/>
        <v>20000</v>
      </c>
      <c r="K927" s="29">
        <f>VLOOKUP($C927,청소코드!$C$4:$J$188,8,FALSE)</f>
        <v>20000</v>
      </c>
      <c r="L927" s="32"/>
      <c r="M927" s="31"/>
      <c r="N927" s="32"/>
      <c r="O927" s="32"/>
    </row>
    <row r="928" spans="1:15" customFormat="1" ht="12.75" customHeight="1">
      <c r="A928" s="30">
        <v>46123</v>
      </c>
      <c r="B928" s="29" t="str">
        <f t="shared" si="55"/>
        <v>토</v>
      </c>
      <c r="C928" s="84" t="s">
        <v>1061</v>
      </c>
      <c r="D928" s="29" t="str">
        <f>VLOOKUP($C928,청소코드!$C$4:$J$188,3,FALSE)</f>
        <v>성우 402</v>
      </c>
      <c r="E928" s="29">
        <f>VLOOKUP($C928,청소코드!$C$4:$J$188,4,FALSE)</f>
        <v>3</v>
      </c>
      <c r="F928" s="84" t="s">
        <v>438</v>
      </c>
      <c r="G928" s="29"/>
      <c r="H928" s="29"/>
      <c r="I928" s="29" t="s">
        <v>431</v>
      </c>
      <c r="J928" s="47">
        <f t="shared" si="56"/>
        <v>30000</v>
      </c>
      <c r="K928" s="29">
        <f>VLOOKUP($C928,청소코드!$C$4:$J$188,8,FALSE)</f>
        <v>30000</v>
      </c>
      <c r="L928" s="32"/>
      <c r="M928" s="31"/>
      <c r="N928" s="32"/>
      <c r="O928" s="32"/>
    </row>
    <row r="929" spans="1:15" customFormat="1" ht="12.75" customHeight="1">
      <c r="A929" s="30">
        <v>46123</v>
      </c>
      <c r="B929" s="29" t="str">
        <f t="shared" si="55"/>
        <v>토</v>
      </c>
      <c r="C929" s="84" t="s">
        <v>1053</v>
      </c>
      <c r="D929" s="29" t="str">
        <f>VLOOKUP($C929,청소코드!$C$4:$J$188,3,FALSE)</f>
        <v>대치동 101호</v>
      </c>
      <c r="E929" s="29">
        <f>VLOOKUP($C929,청소코드!$C$4:$J$188,4,FALSE)</f>
        <v>2</v>
      </c>
      <c r="F929" s="84" t="s">
        <v>499</v>
      </c>
      <c r="G929" s="29"/>
      <c r="H929" s="29"/>
      <c r="I929" s="29" t="s">
        <v>431</v>
      </c>
      <c r="J929" s="47">
        <f t="shared" si="56"/>
        <v>27000</v>
      </c>
      <c r="K929" s="29">
        <f>VLOOKUP($C929,청소코드!$C$4:$J$188,8,FALSE)</f>
        <v>23000</v>
      </c>
      <c r="L929" s="32"/>
      <c r="M929" s="31"/>
      <c r="N929" s="32">
        <v>4000</v>
      </c>
      <c r="O929" s="32"/>
    </row>
    <row r="930" spans="1:15" customFormat="1" ht="12.75" customHeight="1">
      <c r="A930" s="30">
        <v>46123</v>
      </c>
      <c r="B930" s="29" t="str">
        <f t="shared" si="55"/>
        <v>토</v>
      </c>
      <c r="C930" s="84" t="s">
        <v>1062</v>
      </c>
      <c r="D930" s="29" t="str">
        <f>VLOOKUP($C930,청소코드!$C$4:$J$188,3,FALSE)</f>
        <v>대치동 102호</v>
      </c>
      <c r="E930" s="29">
        <f>VLOOKUP($C930,청소코드!$C$4:$J$188,4,FALSE)</f>
        <v>1</v>
      </c>
      <c r="F930" s="84" t="s">
        <v>499</v>
      </c>
      <c r="G930" s="29"/>
      <c r="H930" s="29"/>
      <c r="I930" s="29" t="s">
        <v>431</v>
      </c>
      <c r="J930" s="47">
        <f t="shared" si="56"/>
        <v>18000</v>
      </c>
      <c r="K930" s="29">
        <f>VLOOKUP($C930,청소코드!$C$4:$J$188,8,FALSE)</f>
        <v>18000</v>
      </c>
      <c r="L930" s="32"/>
      <c r="M930" s="31"/>
      <c r="N930" s="32"/>
      <c r="O930" s="32"/>
    </row>
    <row r="931" spans="1:15" customFormat="1" ht="12.75" customHeight="1">
      <c r="A931" s="30">
        <v>46123</v>
      </c>
      <c r="B931" s="29" t="str">
        <f t="shared" si="55"/>
        <v>토</v>
      </c>
      <c r="C931" s="84" t="s">
        <v>1055</v>
      </c>
      <c r="D931" s="29" t="str">
        <f>VLOOKUP($C931,청소코드!$C$4:$J$188,3,FALSE)</f>
        <v>청광1차 207</v>
      </c>
      <c r="E931" s="29">
        <f>VLOOKUP($C931,청소코드!$C$4:$J$188,4,FALSE)</f>
        <v>0</v>
      </c>
      <c r="F931" s="84" t="s">
        <v>426</v>
      </c>
      <c r="G931" s="29"/>
      <c r="H931" s="29"/>
      <c r="I931" s="29" t="s">
        <v>431</v>
      </c>
      <c r="J931" s="47">
        <f t="shared" si="56"/>
        <v>10000</v>
      </c>
      <c r="K931" s="29">
        <f>VLOOKUP($C931,청소코드!$C$4:$J$188,8,FALSE)</f>
        <v>10000</v>
      </c>
      <c r="L931" s="32"/>
      <c r="M931" s="31"/>
      <c r="N931" s="32"/>
      <c r="O931" s="32"/>
    </row>
    <row r="932" spans="1:15" customFormat="1" ht="12.75" customHeight="1">
      <c r="A932" s="49">
        <v>46124</v>
      </c>
      <c r="B932" s="50" t="str">
        <f t="shared" si="55"/>
        <v>일</v>
      </c>
      <c r="C932" s="84" t="s">
        <v>1063</v>
      </c>
      <c r="D932" s="29" t="str">
        <f>VLOOKUP($C932,청소코드!$C$4:$J$188,3,FALSE)</f>
        <v>예건 303</v>
      </c>
      <c r="E932" s="29">
        <f>VLOOKUP($C932,청소코드!$C$4:$J$188,4,FALSE)</f>
        <v>2</v>
      </c>
      <c r="F932" s="84" t="s">
        <v>438</v>
      </c>
      <c r="G932" s="29"/>
      <c r="H932" s="29"/>
      <c r="I932" s="84" t="s">
        <v>439</v>
      </c>
      <c r="J932" s="47">
        <f t="shared" si="56"/>
        <v>23000</v>
      </c>
      <c r="K932" s="29">
        <f>VLOOKUP($C932,청소코드!$C$4:$J$188,8,FALSE)</f>
        <v>23000</v>
      </c>
      <c r="L932" s="32"/>
      <c r="M932" s="31"/>
      <c r="N932" s="32"/>
      <c r="O932" s="32"/>
    </row>
    <row r="933" spans="1:15" customFormat="1" ht="12.75" customHeight="1">
      <c r="A933" s="30">
        <v>46124</v>
      </c>
      <c r="B933" s="29" t="str">
        <f t="shared" si="55"/>
        <v>일</v>
      </c>
      <c r="C933" s="84" t="s">
        <v>1049</v>
      </c>
      <c r="D933" s="29" t="str">
        <f>VLOOKUP($C933,청소코드!$C$4:$J$188,3,FALSE)</f>
        <v>센텀 2차 501</v>
      </c>
      <c r="E933" s="29">
        <f>VLOOKUP($C933,청소코드!$C$4:$J$188,4,FALSE)</f>
        <v>1.5</v>
      </c>
      <c r="F933" s="84" t="s">
        <v>429</v>
      </c>
      <c r="G933" s="29"/>
      <c r="H933" s="29"/>
      <c r="I933" s="29" t="s">
        <v>431</v>
      </c>
      <c r="J933" s="47">
        <f t="shared" si="56"/>
        <v>20000</v>
      </c>
      <c r="K933" s="29">
        <f>VLOOKUP($C933,청소코드!$C$4:$J$188,8,FALSE)</f>
        <v>20000</v>
      </c>
      <c r="L933" s="32"/>
      <c r="M933" s="31"/>
      <c r="N933" s="32"/>
      <c r="O933" s="32"/>
    </row>
    <row r="934" spans="1:15" customFormat="1" ht="12.75" customHeight="1">
      <c r="A934" s="30">
        <v>46124</v>
      </c>
      <c r="B934" s="29" t="str">
        <f t="shared" si="55"/>
        <v>일</v>
      </c>
      <c r="C934" s="84" t="s">
        <v>1048</v>
      </c>
      <c r="D934" s="29" t="str">
        <f>VLOOKUP($C934,청소코드!$C$4:$J$188,3,FALSE)</f>
        <v>성우 304</v>
      </c>
      <c r="E934" s="29">
        <f>VLOOKUP($C934,청소코드!$C$4:$J$188,4,FALSE)</f>
        <v>2</v>
      </c>
      <c r="F934" s="84" t="s">
        <v>429</v>
      </c>
      <c r="G934" s="29"/>
      <c r="H934" s="29"/>
      <c r="I934" s="29" t="s">
        <v>431</v>
      </c>
      <c r="J934" s="47">
        <f t="shared" si="56"/>
        <v>23000</v>
      </c>
      <c r="K934" s="29">
        <f>VLOOKUP($C934,청소코드!$C$4:$J$188,8,FALSE)</f>
        <v>23000</v>
      </c>
      <c r="L934" s="32"/>
      <c r="M934" s="31"/>
      <c r="N934" s="32"/>
      <c r="O934" s="32"/>
    </row>
    <row r="935" spans="1:15" customFormat="1" ht="12.75" customHeight="1">
      <c r="A935" s="30">
        <v>46124</v>
      </c>
      <c r="B935" s="29" t="str">
        <f t="shared" si="55"/>
        <v>일</v>
      </c>
      <c r="C935" s="84" t="s">
        <v>1061</v>
      </c>
      <c r="D935" s="29" t="str">
        <f>VLOOKUP($C935,청소코드!$C$4:$J$188,3,FALSE)</f>
        <v>성우 402</v>
      </c>
      <c r="E935" s="29">
        <f>VLOOKUP($C935,청소코드!$C$4:$J$188,4,FALSE)</f>
        <v>3</v>
      </c>
      <c r="F935" s="84" t="s">
        <v>429</v>
      </c>
      <c r="G935" s="29"/>
      <c r="H935" s="29"/>
      <c r="I935" s="29" t="s">
        <v>431</v>
      </c>
      <c r="J935" s="47">
        <f t="shared" si="56"/>
        <v>30000</v>
      </c>
      <c r="K935" s="29">
        <f>VLOOKUP($C935,청소코드!$C$4:$J$188,8,FALSE)</f>
        <v>30000</v>
      </c>
      <c r="L935" s="32"/>
      <c r="M935" s="31"/>
      <c r="N935" s="32"/>
      <c r="O935" s="32"/>
    </row>
    <row r="936" spans="1:15" customFormat="1" ht="12.75" customHeight="1">
      <c r="A936" s="30">
        <v>46124</v>
      </c>
      <c r="B936" s="29" t="str">
        <f t="shared" si="55"/>
        <v>일</v>
      </c>
      <c r="C936" s="84" t="s">
        <v>1058</v>
      </c>
      <c r="D936" s="29" t="str">
        <f>VLOOKUP($C936,청소코드!$C$4:$J$188,3,FALSE)</f>
        <v>청광3차 1416</v>
      </c>
      <c r="E936" s="29">
        <f>VLOOKUP($C936,청소코드!$C$4:$J$188,4,FALSE)</f>
        <v>1</v>
      </c>
      <c r="F936" s="84" t="s">
        <v>449</v>
      </c>
      <c r="G936" s="29"/>
      <c r="H936" s="29"/>
      <c r="I936" s="29" t="s">
        <v>431</v>
      </c>
      <c r="J936" s="47">
        <f t="shared" si="56"/>
        <v>18000</v>
      </c>
      <c r="K936" s="29">
        <f>VLOOKUP($C936,청소코드!$C$4:$J$188,8,FALSE)</f>
        <v>18000</v>
      </c>
      <c r="L936" s="32"/>
      <c r="M936" s="31"/>
      <c r="N936" s="32"/>
      <c r="O936" s="32"/>
    </row>
    <row r="937" spans="1:15" customFormat="1" ht="12.75" customHeight="1">
      <c r="A937" s="30">
        <v>46124</v>
      </c>
      <c r="B937" s="29" t="str">
        <f t="shared" si="55"/>
        <v>일</v>
      </c>
      <c r="C937" s="84" t="s">
        <v>1064</v>
      </c>
      <c r="D937" s="29" t="str">
        <f>VLOOKUP($C937,청소코드!$C$4:$J$188,3,FALSE)</f>
        <v>르센티 1801</v>
      </c>
      <c r="E937" s="29" t="str">
        <f>VLOOKUP($C937,청소코드!$C$4:$J$188,4,FALSE)</f>
        <v>복</v>
      </c>
      <c r="F937" s="84" t="s">
        <v>449</v>
      </c>
      <c r="G937" s="29"/>
      <c r="H937" s="29"/>
      <c r="I937" s="29" t="s">
        <v>431</v>
      </c>
      <c r="J937" s="47">
        <f t="shared" si="56"/>
        <v>20000</v>
      </c>
      <c r="K937" s="29">
        <f>VLOOKUP($C937,청소코드!$C$4:$J$188,8,FALSE)</f>
        <v>20000</v>
      </c>
      <c r="L937" s="32"/>
      <c r="M937" s="31"/>
      <c r="N937" s="32"/>
      <c r="O937" s="32"/>
    </row>
    <row r="938" spans="1:15" customFormat="1" ht="12.75" customHeight="1">
      <c r="A938" s="30">
        <v>46124</v>
      </c>
      <c r="B938" s="29" t="str">
        <f t="shared" si="55"/>
        <v>일</v>
      </c>
      <c r="C938" s="84" t="s">
        <v>1065</v>
      </c>
      <c r="D938" s="29" t="str">
        <f>VLOOKUP($C938,청소코드!$C$4:$J$188,3,FALSE)</f>
        <v>더하임 1003</v>
      </c>
      <c r="E938" s="29">
        <f>VLOOKUP($C938,청소코드!$C$4:$J$188,4,FALSE)</f>
        <v>1</v>
      </c>
      <c r="F938" s="84" t="s">
        <v>401</v>
      </c>
      <c r="G938" s="29"/>
      <c r="H938" s="29"/>
      <c r="I938" s="29" t="s">
        <v>431</v>
      </c>
      <c r="J938" s="47">
        <f t="shared" si="56"/>
        <v>18000</v>
      </c>
      <c r="K938" s="29">
        <f>VLOOKUP($C938,청소코드!$C$4:$J$188,8,FALSE)</f>
        <v>18000</v>
      </c>
      <c r="L938" s="32"/>
      <c r="M938" s="31"/>
      <c r="N938" s="32"/>
      <c r="O938" s="32"/>
    </row>
    <row r="939" spans="1:15" customFormat="1" ht="12.75" customHeight="1">
      <c r="A939" s="30">
        <v>46124</v>
      </c>
      <c r="B939" s="29" t="str">
        <f t="shared" si="55"/>
        <v>일</v>
      </c>
      <c r="C939" s="84" t="s">
        <v>1066</v>
      </c>
      <c r="D939" s="29" t="str">
        <f>VLOOKUP($C939,청소코드!$C$4:$J$188,3,FALSE)</f>
        <v>더하임 1004</v>
      </c>
      <c r="E939" s="29">
        <f>VLOOKUP($C939,청소코드!$C$4:$J$188,4,FALSE)</f>
        <v>1</v>
      </c>
      <c r="F939" s="84" t="s">
        <v>401</v>
      </c>
      <c r="G939" s="29"/>
      <c r="H939" s="29"/>
      <c r="I939" s="29" t="s">
        <v>431</v>
      </c>
      <c r="J939" s="47">
        <f t="shared" si="56"/>
        <v>18000</v>
      </c>
      <c r="K939" s="29">
        <f>VLOOKUP($C939,청소코드!$C$4:$J$188,8,FALSE)</f>
        <v>18000</v>
      </c>
      <c r="L939" s="32"/>
      <c r="M939" s="31"/>
      <c r="N939" s="32"/>
      <c r="O939" s="32"/>
    </row>
    <row r="940" spans="1:15" customFormat="1" ht="12.75" customHeight="1">
      <c r="A940" s="30">
        <v>46124</v>
      </c>
      <c r="B940" s="29" t="str">
        <f t="shared" ref="B940:B952" si="57">TEXT(A940,"aaa")</f>
        <v>일</v>
      </c>
      <c r="C940" s="84" t="s">
        <v>1043</v>
      </c>
      <c r="D940" s="29" t="str">
        <f>VLOOKUP($C940,청소코드!$C$4:$J$188,3,FALSE)</f>
        <v>더하임 1005</v>
      </c>
      <c r="E940" s="29">
        <f>VLOOKUP($C940,청소코드!$C$4:$J$188,4,FALSE)</f>
        <v>1</v>
      </c>
      <c r="F940" s="84" t="s">
        <v>401</v>
      </c>
      <c r="G940" s="29"/>
      <c r="H940" s="29"/>
      <c r="I940" s="29" t="s">
        <v>431</v>
      </c>
      <c r="J940" s="47">
        <f t="shared" ref="J940:J952" si="58">SUM(K940:O940)</f>
        <v>18000</v>
      </c>
      <c r="K940" s="29">
        <f>VLOOKUP($C940,청소코드!$C$4:$J$188,8,FALSE)</f>
        <v>18000</v>
      </c>
      <c r="L940" s="32"/>
      <c r="M940" s="31"/>
      <c r="N940" s="32"/>
      <c r="O940" s="32"/>
    </row>
    <row r="941" spans="1:15" customFormat="1" ht="12.75" customHeight="1">
      <c r="A941" s="30">
        <v>46124</v>
      </c>
      <c r="B941" s="29" t="str">
        <f t="shared" si="57"/>
        <v>일</v>
      </c>
      <c r="C941" s="84" t="s">
        <v>1052</v>
      </c>
      <c r="D941" s="29" t="str">
        <f>VLOOKUP($C941,청소코드!$C$4:$J$188,3,FALSE)</f>
        <v>하람휴 1001</v>
      </c>
      <c r="E941" s="29">
        <f>VLOOKUP($C941,청소코드!$C$4:$J$188,4,FALSE)</f>
        <v>2</v>
      </c>
      <c r="F941" s="84" t="s">
        <v>408</v>
      </c>
      <c r="G941" s="29"/>
      <c r="H941" s="29"/>
      <c r="I941" s="29" t="s">
        <v>431</v>
      </c>
      <c r="J941" s="47">
        <f t="shared" si="58"/>
        <v>23000</v>
      </c>
      <c r="K941" s="29">
        <f>VLOOKUP($C941,청소코드!$C$4:$J$188,8,FALSE)</f>
        <v>23000</v>
      </c>
      <c r="L941" s="32"/>
      <c r="M941" s="31"/>
      <c r="N941" s="32"/>
      <c r="O941" s="32"/>
    </row>
    <row r="942" spans="1:15" customFormat="1" ht="12.75" customHeight="1">
      <c r="A942" s="30">
        <v>46124</v>
      </c>
      <c r="B942" s="29" t="str">
        <f t="shared" si="57"/>
        <v>일</v>
      </c>
      <c r="C942" s="84" t="s">
        <v>1062</v>
      </c>
      <c r="D942" s="29" t="str">
        <f>VLOOKUP($C942,청소코드!$C$4:$J$188,3,FALSE)</f>
        <v>대치동 102호</v>
      </c>
      <c r="E942" s="29">
        <f>VLOOKUP($C942,청소코드!$C$4:$J$188,4,FALSE)</f>
        <v>1</v>
      </c>
      <c r="F942" s="84" t="s">
        <v>499</v>
      </c>
      <c r="G942" s="29"/>
      <c r="H942" s="29"/>
      <c r="I942" s="29" t="s">
        <v>431</v>
      </c>
      <c r="J942" s="47">
        <f t="shared" si="58"/>
        <v>18000</v>
      </c>
      <c r="K942" s="29">
        <f>VLOOKUP($C942,청소코드!$C$4:$J$188,8,FALSE)</f>
        <v>18000</v>
      </c>
      <c r="L942" s="32"/>
      <c r="M942" s="31"/>
      <c r="N942" s="32"/>
      <c r="O942" s="32"/>
    </row>
    <row r="943" spans="1:15" customFormat="1" ht="12.75" customHeight="1">
      <c r="A943" s="30">
        <v>46124</v>
      </c>
      <c r="B943" s="29" t="str">
        <f t="shared" si="57"/>
        <v>일</v>
      </c>
      <c r="C943" s="84" t="s">
        <v>1055</v>
      </c>
      <c r="D943" s="29" t="str">
        <f>VLOOKUP($C943,청소코드!$C$4:$J$188,3,FALSE)</f>
        <v>청광1차 207</v>
      </c>
      <c r="E943" s="29">
        <f>VLOOKUP($C943,청소코드!$C$4:$J$188,4,FALSE)</f>
        <v>0</v>
      </c>
      <c r="F943" s="84" t="s">
        <v>401</v>
      </c>
      <c r="G943" s="29"/>
      <c r="H943" s="29"/>
      <c r="I943" s="29" t="s">
        <v>431</v>
      </c>
      <c r="J943" s="47">
        <f t="shared" si="58"/>
        <v>5000</v>
      </c>
      <c r="K943" s="29">
        <f>VLOOKUP($C943,청소코드!$C$4:$J$188,8,FALSE)</f>
        <v>10000</v>
      </c>
      <c r="L943" s="32">
        <v>-5000</v>
      </c>
      <c r="M943" s="31"/>
      <c r="N943" s="32"/>
      <c r="O943" s="32"/>
    </row>
    <row r="944" spans="1:15" customFormat="1" ht="12.75" customHeight="1">
      <c r="A944" s="30">
        <v>46124</v>
      </c>
      <c r="B944" s="29" t="str">
        <f t="shared" si="57"/>
        <v>일</v>
      </c>
      <c r="C944" s="84" t="s">
        <v>1055</v>
      </c>
      <c r="D944" s="29" t="str">
        <f>VLOOKUP($C944,청소코드!$C$4:$J$188,3,FALSE)</f>
        <v>청광1차 207</v>
      </c>
      <c r="E944" s="29">
        <f>VLOOKUP($C944,청소코드!$C$4:$J$188,4,FALSE)</f>
        <v>0</v>
      </c>
      <c r="F944" s="84" t="s">
        <v>429</v>
      </c>
      <c r="G944" s="29"/>
      <c r="H944" s="29"/>
      <c r="I944" s="29" t="s">
        <v>431</v>
      </c>
      <c r="J944" s="47">
        <f t="shared" si="58"/>
        <v>5000</v>
      </c>
      <c r="K944" s="29">
        <f>VLOOKUP($C944,청소코드!$C$4:$J$188,8,FALSE)</f>
        <v>10000</v>
      </c>
      <c r="L944" s="32">
        <v>-5000</v>
      </c>
      <c r="M944" s="31"/>
      <c r="N944" s="32"/>
      <c r="O944" s="32"/>
    </row>
    <row r="945" spans="1:15" customFormat="1" ht="12.75" customHeight="1">
      <c r="A945" s="49">
        <v>46125</v>
      </c>
      <c r="B945" s="50" t="str">
        <f t="shared" si="57"/>
        <v>월</v>
      </c>
      <c r="C945" s="29" t="s">
        <v>948</v>
      </c>
      <c r="D945" s="29" t="str">
        <f>VLOOKUP($C945,청소코드!$C$4:$J$188,3,FALSE)</f>
        <v>더하임 202</v>
      </c>
      <c r="E945" s="29">
        <f>VLOOKUP($C945,청소코드!$C$4:$J$188,4,FALSE)</f>
        <v>1</v>
      </c>
      <c r="F945" s="84" t="s">
        <v>438</v>
      </c>
      <c r="G945" s="29"/>
      <c r="H945" s="29"/>
      <c r="I945" s="29" t="s">
        <v>439</v>
      </c>
      <c r="J945" s="47">
        <f t="shared" si="58"/>
        <v>18000</v>
      </c>
      <c r="K945" s="29">
        <f>VLOOKUP($C945,청소코드!$C$4:$J$188,8,FALSE)</f>
        <v>18000</v>
      </c>
      <c r="L945" s="32"/>
      <c r="M945" s="31"/>
      <c r="N945" s="32"/>
      <c r="O945" s="32"/>
    </row>
    <row r="946" spans="1:15" customFormat="1" ht="12.75" customHeight="1">
      <c r="A946" s="30">
        <v>46125</v>
      </c>
      <c r="B946" s="29" t="str">
        <f t="shared" si="57"/>
        <v>월</v>
      </c>
      <c r="C946" s="29" t="s">
        <v>310</v>
      </c>
      <c r="D946" s="29" t="str">
        <f>VLOOKUP($C946,청소코드!$C$4:$J$188,3,FALSE)</f>
        <v>청광3차 806</v>
      </c>
      <c r="E946" s="29">
        <f>VLOOKUP($C946,청소코드!$C$4:$J$188,4,FALSE)</f>
        <v>1</v>
      </c>
      <c r="F946" s="84" t="s">
        <v>449</v>
      </c>
      <c r="G946" s="29"/>
      <c r="H946" s="29"/>
      <c r="I946" s="29" t="s">
        <v>431</v>
      </c>
      <c r="J946" s="47">
        <f t="shared" si="58"/>
        <v>18000</v>
      </c>
      <c r="K946" s="29">
        <f>VLOOKUP($C946,청소코드!$C$4:$J$188,8,FALSE)</f>
        <v>18000</v>
      </c>
      <c r="L946" s="32"/>
      <c r="M946" s="31"/>
      <c r="N946" s="32"/>
      <c r="O946" s="32"/>
    </row>
    <row r="947" spans="1:15" customFormat="1" ht="12.75" customHeight="1">
      <c r="A947" s="30">
        <v>46125</v>
      </c>
      <c r="B947" s="29" t="str">
        <f t="shared" si="57"/>
        <v>월</v>
      </c>
      <c r="C947" s="29" t="s">
        <v>287</v>
      </c>
      <c r="D947" s="29" t="str">
        <f>VLOOKUP($C947,청소코드!$C$4:$J$188,3,FALSE)</f>
        <v>청광3차 1412</v>
      </c>
      <c r="E947" s="29">
        <f>VLOOKUP($C947,청소코드!$C$4:$J$188,4,FALSE)</f>
        <v>1</v>
      </c>
      <c r="F947" s="29" t="s">
        <v>449</v>
      </c>
      <c r="G947" s="29"/>
      <c r="H947" s="29"/>
      <c r="I947" s="29" t="s">
        <v>431</v>
      </c>
      <c r="J947" s="47">
        <f t="shared" si="58"/>
        <v>18000</v>
      </c>
      <c r="K947" s="29">
        <f>VLOOKUP($C947,청소코드!$C$4:$J$188,8,FALSE)</f>
        <v>18000</v>
      </c>
      <c r="L947" s="32"/>
      <c r="M947" s="31"/>
      <c r="N947" s="32"/>
      <c r="O947" s="32"/>
    </row>
    <row r="948" spans="1:15" customFormat="1" ht="12.75" customHeight="1">
      <c r="A948" s="30">
        <v>46125</v>
      </c>
      <c r="B948" s="29" t="str">
        <f t="shared" si="57"/>
        <v>월</v>
      </c>
      <c r="C948" s="29" t="s">
        <v>283</v>
      </c>
      <c r="D948" s="29" t="str">
        <f>VLOOKUP($C948,청소코드!$C$4:$J$188,3,FALSE)</f>
        <v>강동QV 1604</v>
      </c>
      <c r="E948" s="29">
        <f>VLOOKUP($C948,청소코드!$C$4:$J$188,4,FALSE)</f>
        <v>1</v>
      </c>
      <c r="F948" s="29" t="s">
        <v>429</v>
      </c>
      <c r="G948" s="29"/>
      <c r="H948" s="29"/>
      <c r="I948" s="29" t="s">
        <v>431</v>
      </c>
      <c r="J948" s="47">
        <f t="shared" si="58"/>
        <v>18000</v>
      </c>
      <c r="K948" s="29">
        <f>VLOOKUP($C948,청소코드!$C$4:$J$188,8,FALSE)</f>
        <v>18000</v>
      </c>
      <c r="L948" s="32"/>
      <c r="M948" s="31"/>
      <c r="N948" s="32"/>
      <c r="O948" s="32"/>
    </row>
    <row r="949" spans="1:15" customFormat="1" ht="12.75" customHeight="1">
      <c r="A949" s="30">
        <v>46125</v>
      </c>
      <c r="B949" s="29" t="str">
        <f t="shared" si="57"/>
        <v>월</v>
      </c>
      <c r="C949" s="29" t="s">
        <v>304</v>
      </c>
      <c r="D949" s="29" t="str">
        <f>VLOOKUP($C949,청소코드!$C$4:$J$188,3,FALSE)</f>
        <v>렘브 505</v>
      </c>
      <c r="E949" s="29">
        <f>VLOOKUP($C949,청소코드!$C$4:$J$188,4,FALSE)</f>
        <v>1</v>
      </c>
      <c r="F949" s="29" t="s">
        <v>429</v>
      </c>
      <c r="G949" s="29"/>
      <c r="H949" s="29"/>
      <c r="I949" s="29" t="s">
        <v>431</v>
      </c>
      <c r="J949" s="47">
        <f t="shared" si="58"/>
        <v>18000</v>
      </c>
      <c r="K949" s="29">
        <f>VLOOKUP($C949,청소코드!$C$4:$J$188,8,FALSE)</f>
        <v>18000</v>
      </c>
      <c r="L949" s="32"/>
      <c r="M949" s="31"/>
      <c r="N949" s="32"/>
      <c r="O949" s="32"/>
    </row>
    <row r="950" spans="1:15" customFormat="1" ht="12.75" customHeight="1">
      <c r="A950" s="30">
        <v>46125</v>
      </c>
      <c r="B950" s="29" t="str">
        <f t="shared" si="57"/>
        <v>월</v>
      </c>
      <c r="C950" s="29" t="s">
        <v>351</v>
      </c>
      <c r="D950" s="29" t="str">
        <f>VLOOKUP($C950,청소코드!$C$4:$J$188,3,FALSE)</f>
        <v>성우 304</v>
      </c>
      <c r="E950" s="29">
        <f>VLOOKUP($C950,청소코드!$C$4:$J$188,4,FALSE)</f>
        <v>2</v>
      </c>
      <c r="F950" s="29" t="s">
        <v>401</v>
      </c>
      <c r="G950" s="29"/>
      <c r="H950" s="29"/>
      <c r="I950" s="29" t="s">
        <v>431</v>
      </c>
      <c r="J950" s="47">
        <f t="shared" si="58"/>
        <v>23000</v>
      </c>
      <c r="K950" s="29">
        <f>VLOOKUP($C950,청소코드!$C$4:$J$188,8,FALSE)</f>
        <v>23000</v>
      </c>
      <c r="L950" s="32"/>
      <c r="M950" s="31"/>
      <c r="N950" s="32"/>
      <c r="O950" s="32"/>
    </row>
    <row r="951" spans="1:15" customFormat="1" ht="12.75" customHeight="1">
      <c r="A951" s="30">
        <v>46125</v>
      </c>
      <c r="B951" s="29" t="str">
        <f t="shared" si="57"/>
        <v>월</v>
      </c>
      <c r="C951" s="29" t="s">
        <v>1067</v>
      </c>
      <c r="D951" s="29" t="str">
        <f>VLOOKUP($C951,청소코드!$C$4:$J$188,3,FALSE)</f>
        <v>대치동 101호</v>
      </c>
      <c r="E951" s="29">
        <f>VLOOKUP($C951,청소코드!$C$4:$J$188,4,FALSE)</f>
        <v>2</v>
      </c>
      <c r="F951" s="29" t="s">
        <v>499</v>
      </c>
      <c r="G951" s="29"/>
      <c r="H951" s="29"/>
      <c r="I951" s="29" t="s">
        <v>431</v>
      </c>
      <c r="J951" s="47">
        <f t="shared" si="58"/>
        <v>23000</v>
      </c>
      <c r="K951" s="29">
        <f>VLOOKUP($C951,청소코드!$C$4:$J$188,8,FALSE)</f>
        <v>23000</v>
      </c>
      <c r="L951" s="32"/>
      <c r="M951" s="31"/>
      <c r="N951" s="32"/>
      <c r="O951" s="32"/>
    </row>
    <row r="952" spans="1:15" customFormat="1" ht="12.75" customHeight="1">
      <c r="A952" s="30">
        <v>46125</v>
      </c>
      <c r="B952" s="29" t="str">
        <f t="shared" si="57"/>
        <v>월</v>
      </c>
      <c r="C952" s="29" t="s">
        <v>416</v>
      </c>
      <c r="D952" s="29" t="str">
        <f>VLOOKUP($C952,청소코드!$C$4:$J$188,3,FALSE)</f>
        <v>청광1차 207</v>
      </c>
      <c r="E952" s="29">
        <f>VLOOKUP($C952,청소코드!$C$4:$J$188,4,FALSE)</f>
        <v>0</v>
      </c>
      <c r="F952" s="29" t="s">
        <v>401</v>
      </c>
      <c r="G952" s="29"/>
      <c r="H952" s="29"/>
      <c r="I952" s="29" t="s">
        <v>431</v>
      </c>
      <c r="J952" s="47">
        <f t="shared" si="58"/>
        <v>10000</v>
      </c>
      <c r="K952" s="29">
        <f>VLOOKUP($C952,청소코드!$C$4:$J$188,8,FALSE)</f>
        <v>10000</v>
      </c>
      <c r="L952" s="32"/>
      <c r="M952" s="31"/>
      <c r="N952" s="32"/>
      <c r="O952" s="32"/>
    </row>
    <row r="953" spans="1:15" customFormat="1" ht="12.75" customHeight="1">
      <c r="A953" s="49">
        <v>46126</v>
      </c>
      <c r="B953" s="50" t="str">
        <f t="shared" ref="B953:B984" si="59">TEXT(A953,"aaa")</f>
        <v>화</v>
      </c>
      <c r="C953" s="29" t="s">
        <v>1073</v>
      </c>
      <c r="D953" s="29" t="str">
        <f>VLOOKUP($C953,청소코드!$C$4:$J$188,3,FALSE)</f>
        <v>예건 902</v>
      </c>
      <c r="E953" s="29">
        <f>VLOOKUP($C953,청소코드!$C$4:$J$188,4,FALSE)</f>
        <v>1</v>
      </c>
      <c r="F953" s="29" t="s">
        <v>1084</v>
      </c>
      <c r="G953" s="29"/>
      <c r="H953" s="29"/>
      <c r="I953" s="29" t="s">
        <v>431</v>
      </c>
      <c r="J953" s="47">
        <f t="shared" ref="J953:J984" si="60">SUM(K953:O953)</f>
        <v>18000</v>
      </c>
      <c r="K953" s="29">
        <f>VLOOKUP($C953,청소코드!$C$4:$J$188,8,FALSE)</f>
        <v>18000</v>
      </c>
      <c r="L953" s="32"/>
      <c r="M953" s="31"/>
      <c r="N953" s="32"/>
      <c r="O953" s="32"/>
    </row>
    <row r="954" spans="1:15" customFormat="1" ht="12.75" customHeight="1">
      <c r="A954" s="30">
        <v>46126</v>
      </c>
      <c r="B954" s="29" t="str">
        <f t="shared" si="59"/>
        <v>화</v>
      </c>
      <c r="C954" s="29" t="s">
        <v>1074</v>
      </c>
      <c r="D954" s="29" t="str">
        <f>VLOOKUP($C954,청소코드!$C$4:$J$188,3,FALSE)</f>
        <v>더하임 305</v>
      </c>
      <c r="E954" s="29">
        <f>VLOOKUP($C954,청소코드!$C$4:$J$188,4,FALSE)</f>
        <v>1</v>
      </c>
      <c r="F954" s="29" t="s">
        <v>1084</v>
      </c>
      <c r="G954" s="29"/>
      <c r="H954" s="29"/>
      <c r="I954" s="29" t="s">
        <v>431</v>
      </c>
      <c r="J954" s="47">
        <f t="shared" si="60"/>
        <v>18000</v>
      </c>
      <c r="K954" s="29">
        <f>VLOOKUP($C954,청소코드!$C$4:$J$188,8,FALSE)</f>
        <v>18000</v>
      </c>
      <c r="L954" s="32"/>
      <c r="M954" s="31"/>
      <c r="N954" s="32"/>
      <c r="O954" s="32"/>
    </row>
    <row r="955" spans="1:15" customFormat="1" ht="12.75" customHeight="1">
      <c r="A955" s="30">
        <v>46126</v>
      </c>
      <c r="B955" s="29" t="str">
        <f t="shared" si="59"/>
        <v>화</v>
      </c>
      <c r="C955" s="29" t="s">
        <v>1075</v>
      </c>
      <c r="D955" s="29" t="str">
        <f>VLOOKUP($C955,청소코드!$C$4:$J$188,3,FALSE)</f>
        <v>강동QV 1604</v>
      </c>
      <c r="E955" s="29">
        <f>VLOOKUP($C955,청소코드!$C$4:$J$188,4,FALSE)</f>
        <v>1</v>
      </c>
      <c r="F955" s="29" t="s">
        <v>1085</v>
      </c>
      <c r="G955" s="29"/>
      <c r="H955" s="29"/>
      <c r="I955" s="29" t="s">
        <v>431</v>
      </c>
      <c r="J955" s="47">
        <f t="shared" si="60"/>
        <v>18000</v>
      </c>
      <c r="K955" s="29">
        <f>VLOOKUP($C955,청소코드!$C$4:$J$188,8,FALSE)</f>
        <v>18000</v>
      </c>
      <c r="L955" s="32"/>
      <c r="M955" s="31"/>
      <c r="N955" s="32"/>
      <c r="O955" s="32"/>
    </row>
    <row r="956" spans="1:15" customFormat="1" ht="12.75" customHeight="1">
      <c r="A956" s="30">
        <v>46126</v>
      </c>
      <c r="B956" s="29" t="str">
        <f t="shared" si="59"/>
        <v>화</v>
      </c>
      <c r="C956" s="29" t="s">
        <v>1076</v>
      </c>
      <c r="D956" s="29" t="str">
        <f>VLOOKUP($C956,청소코드!$C$4:$J$188,3,FALSE)</f>
        <v>렘브 204</v>
      </c>
      <c r="E956" s="29">
        <f>VLOOKUP($C956,청소코드!$C$4:$J$188,4,FALSE)</f>
        <v>1</v>
      </c>
      <c r="F956" s="29" t="s">
        <v>1085</v>
      </c>
      <c r="G956" s="29"/>
      <c r="H956" s="29"/>
      <c r="I956" s="29" t="s">
        <v>431</v>
      </c>
      <c r="J956" s="47">
        <f t="shared" si="60"/>
        <v>18000</v>
      </c>
      <c r="K956" s="29">
        <f>VLOOKUP($C956,청소코드!$C$4:$J$188,8,FALSE)</f>
        <v>18000</v>
      </c>
      <c r="L956" s="32"/>
      <c r="M956" s="31"/>
      <c r="N956" s="32"/>
      <c r="O956" s="32"/>
    </row>
    <row r="957" spans="1:15" customFormat="1" ht="12.75" customHeight="1">
      <c r="A957" s="30">
        <v>46126</v>
      </c>
      <c r="B957" s="29" t="str">
        <f t="shared" si="59"/>
        <v>화</v>
      </c>
      <c r="C957" s="29" t="s">
        <v>1077</v>
      </c>
      <c r="D957" s="29" t="str">
        <f>VLOOKUP($C957,청소코드!$C$4:$J$188,3,FALSE)</f>
        <v>청광1차 1303</v>
      </c>
      <c r="E957" s="29">
        <f>VLOOKUP($C957,청소코드!$C$4:$J$188,4,FALSE)</f>
        <v>1</v>
      </c>
      <c r="F957" s="29" t="s">
        <v>1086</v>
      </c>
      <c r="G957" s="29"/>
      <c r="H957" s="29"/>
      <c r="I957" s="29" t="s">
        <v>431</v>
      </c>
      <c r="J957" s="47">
        <f t="shared" si="60"/>
        <v>18000</v>
      </c>
      <c r="K957" s="29">
        <f>VLOOKUP($C957,청소코드!$C$4:$J$188,8,FALSE)</f>
        <v>18000</v>
      </c>
      <c r="L957" s="32"/>
      <c r="M957" s="31"/>
      <c r="N957" s="32"/>
      <c r="O957" s="32"/>
    </row>
    <row r="958" spans="1:15" customFormat="1" ht="12.75" customHeight="1">
      <c r="A958" s="30">
        <v>46126</v>
      </c>
      <c r="B958" s="29" t="str">
        <f t="shared" si="59"/>
        <v>화</v>
      </c>
      <c r="C958" s="29" t="s">
        <v>1078</v>
      </c>
      <c r="D958" s="29" t="str">
        <f>VLOOKUP($C958,청소코드!$C$4:$J$188,3,FALSE)</f>
        <v>한양립스 503</v>
      </c>
      <c r="E958" s="29">
        <f>VLOOKUP($C958,청소코드!$C$4:$J$188,4,FALSE)</f>
        <v>1</v>
      </c>
      <c r="F958" s="29" t="s">
        <v>1086</v>
      </c>
      <c r="G958" s="29"/>
      <c r="H958" s="29"/>
      <c r="I958" s="29" t="s">
        <v>431</v>
      </c>
      <c r="J958" s="47">
        <f t="shared" si="60"/>
        <v>18000</v>
      </c>
      <c r="K958" s="29">
        <f>VLOOKUP($C958,청소코드!$C$4:$J$188,8,FALSE)</f>
        <v>18000</v>
      </c>
      <c r="L958" s="32"/>
      <c r="M958" s="31"/>
      <c r="N958" s="32"/>
      <c r="O958" s="32"/>
    </row>
    <row r="959" spans="1:15" customFormat="1" ht="12.75" customHeight="1">
      <c r="A959" s="30">
        <v>46126</v>
      </c>
      <c r="B959" s="29" t="str">
        <f t="shared" si="59"/>
        <v>화</v>
      </c>
      <c r="C959" s="29" t="s">
        <v>1079</v>
      </c>
      <c r="D959" s="29" t="str">
        <f>VLOOKUP($C959,청소코드!$C$4:$J$188,3,FALSE)</f>
        <v>센텀 2차 406</v>
      </c>
      <c r="E959" s="29">
        <f>VLOOKUP($C959,청소코드!$C$4:$J$188,4,FALSE)</f>
        <v>1.5</v>
      </c>
      <c r="F959" s="29" t="s">
        <v>1087</v>
      </c>
      <c r="G959" s="29"/>
      <c r="H959" s="29"/>
      <c r="I959" s="29" t="s">
        <v>431</v>
      </c>
      <c r="J959" s="47">
        <f t="shared" si="60"/>
        <v>20000</v>
      </c>
      <c r="K959" s="29">
        <f>VLOOKUP($C959,청소코드!$C$4:$J$188,8,FALSE)</f>
        <v>20000</v>
      </c>
      <c r="L959" s="32"/>
      <c r="M959" s="31"/>
      <c r="N959" s="32"/>
      <c r="O959" s="32"/>
    </row>
    <row r="960" spans="1:15" customFormat="1" ht="12.75" customHeight="1">
      <c r="A960" s="30">
        <v>46126</v>
      </c>
      <c r="B960" s="29" t="str">
        <f t="shared" si="59"/>
        <v>화</v>
      </c>
      <c r="C960" s="29" t="s">
        <v>1080</v>
      </c>
      <c r="D960" s="29" t="str">
        <f>VLOOKUP($C960,청소코드!$C$4:$J$188,3,FALSE)</f>
        <v>센텀 2차 501</v>
      </c>
      <c r="E960" s="29">
        <f>VLOOKUP($C960,청소코드!$C$4:$J$188,4,FALSE)</f>
        <v>1.5</v>
      </c>
      <c r="F960" s="29" t="s">
        <v>1087</v>
      </c>
      <c r="G960" s="29"/>
      <c r="H960" s="29"/>
      <c r="I960" s="29" t="s">
        <v>431</v>
      </c>
      <c r="J960" s="47">
        <f t="shared" si="60"/>
        <v>20000</v>
      </c>
      <c r="K960" s="29">
        <f>VLOOKUP($C960,청소코드!$C$4:$J$188,8,FALSE)</f>
        <v>20000</v>
      </c>
      <c r="L960" s="32"/>
      <c r="M960" s="31"/>
      <c r="N960" s="32"/>
      <c r="O960" s="32"/>
    </row>
    <row r="961" spans="1:15" customFormat="1" ht="12.75" customHeight="1">
      <c r="A961" s="30">
        <v>46126</v>
      </c>
      <c r="B961" s="29" t="str">
        <f t="shared" si="59"/>
        <v>화</v>
      </c>
      <c r="C961" s="29" t="s">
        <v>1081</v>
      </c>
      <c r="D961" s="29" t="str">
        <f>VLOOKUP($C961,청소코드!$C$4:$J$188,3,FALSE)</f>
        <v>성우 204</v>
      </c>
      <c r="E961" s="29">
        <f>VLOOKUP($C961,청소코드!$C$4:$J$188,4,FALSE)</f>
        <v>2</v>
      </c>
      <c r="F961" s="29" t="s">
        <v>1088</v>
      </c>
      <c r="G961" s="29"/>
      <c r="H961" s="29"/>
      <c r="I961" s="29" t="s">
        <v>431</v>
      </c>
      <c r="J961" s="47">
        <f t="shared" si="60"/>
        <v>23000</v>
      </c>
      <c r="K961" s="29">
        <f>VLOOKUP($C961,청소코드!$C$4:$J$188,8,FALSE)</f>
        <v>23000</v>
      </c>
      <c r="L961" s="32"/>
      <c r="M961" s="31"/>
      <c r="N961" s="32"/>
      <c r="O961" s="32"/>
    </row>
    <row r="962" spans="1:15" customFormat="1" ht="12.75" customHeight="1">
      <c r="A962" s="30">
        <v>46126</v>
      </c>
      <c r="B962" s="29" t="str">
        <f t="shared" si="59"/>
        <v>화</v>
      </c>
      <c r="C962" s="29" t="s">
        <v>1082</v>
      </c>
      <c r="D962" s="29" t="str">
        <f>VLOOKUP($C962,청소코드!$C$4:$J$188,3,FALSE)</f>
        <v>성우 304</v>
      </c>
      <c r="E962" s="29">
        <f>VLOOKUP($C962,청소코드!$C$4:$J$188,4,FALSE)</f>
        <v>2</v>
      </c>
      <c r="F962" s="29" t="s">
        <v>1088</v>
      </c>
      <c r="G962" s="29"/>
      <c r="H962" s="29"/>
      <c r="I962" s="29" t="s">
        <v>431</v>
      </c>
      <c r="J962" s="47">
        <f t="shared" si="60"/>
        <v>23000</v>
      </c>
      <c r="K962" s="29">
        <f>VLOOKUP($C962,청소코드!$C$4:$J$188,8,FALSE)</f>
        <v>23000</v>
      </c>
      <c r="L962" s="32"/>
      <c r="M962" s="31"/>
      <c r="N962" s="32"/>
      <c r="O962" s="32"/>
    </row>
    <row r="963" spans="1:15" customFormat="1" ht="12.75" customHeight="1">
      <c r="A963" s="30">
        <v>46126</v>
      </c>
      <c r="B963" s="29" t="str">
        <f t="shared" si="59"/>
        <v>화</v>
      </c>
      <c r="C963" s="29" t="s">
        <v>1083</v>
      </c>
      <c r="D963" s="29" t="str">
        <f>VLOOKUP($C963,청소코드!$C$4:$J$188,3,FALSE)</f>
        <v>대치동 103호</v>
      </c>
      <c r="E963" s="29">
        <f>VLOOKUP($C963,청소코드!$C$4:$J$188,4,FALSE)</f>
        <v>1.5</v>
      </c>
      <c r="F963" s="29" t="s">
        <v>1089</v>
      </c>
      <c r="G963" s="29"/>
      <c r="H963" s="29"/>
      <c r="I963" s="29" t="s">
        <v>1091</v>
      </c>
      <c r="J963" s="47">
        <f t="shared" si="60"/>
        <v>20000</v>
      </c>
      <c r="K963" s="29">
        <f>VLOOKUP($C963,청소코드!$C$4:$J$188,8,FALSE)</f>
        <v>20000</v>
      </c>
      <c r="L963" s="32"/>
      <c r="M963" s="31"/>
      <c r="N963" s="32"/>
      <c r="O963" s="32"/>
    </row>
    <row r="964" spans="1:15" customFormat="1" ht="12.75" customHeight="1">
      <c r="A964" s="30">
        <v>46126</v>
      </c>
      <c r="B964" s="29" t="str">
        <f t="shared" si="59"/>
        <v>화</v>
      </c>
      <c r="C964" s="29" t="s">
        <v>1090</v>
      </c>
      <c r="D964" s="29" t="str">
        <f>VLOOKUP($C964,청소코드!$C$4:$J$188,3,FALSE)</f>
        <v>청광1차 207</v>
      </c>
      <c r="E964" s="29">
        <f>VLOOKUP($C964,청소코드!$C$4:$J$188,4,FALSE)</f>
        <v>0</v>
      </c>
      <c r="F964" s="29" t="s">
        <v>1086</v>
      </c>
      <c r="G964" s="29"/>
      <c r="H964" s="29"/>
      <c r="I964" s="29" t="s">
        <v>1091</v>
      </c>
      <c r="J964" s="47">
        <f t="shared" si="60"/>
        <v>10000</v>
      </c>
      <c r="K964" s="29">
        <f>VLOOKUP($C964,청소코드!$C$4:$J$188,8,FALSE)</f>
        <v>10000</v>
      </c>
      <c r="L964" s="32"/>
      <c r="M964" s="31"/>
      <c r="N964" s="32"/>
      <c r="O964" s="32"/>
    </row>
    <row r="965" spans="1:15" customFormat="1" ht="12.75" customHeight="1">
      <c r="A965" s="49">
        <v>46127</v>
      </c>
      <c r="B965" s="50" t="str">
        <f t="shared" si="59"/>
        <v>수</v>
      </c>
      <c r="C965" s="29" t="s">
        <v>1092</v>
      </c>
      <c r="D965" s="29" t="str">
        <f>VLOOKUP($C965,청소코드!$C$4:$J$188,3,FALSE)</f>
        <v>예건 202</v>
      </c>
      <c r="E965" s="29">
        <f>VLOOKUP($C965,청소코드!$C$4:$J$188,4,FALSE)</f>
        <v>1</v>
      </c>
      <c r="F965" s="29" t="s">
        <v>1104</v>
      </c>
      <c r="G965" s="29"/>
      <c r="H965" s="29"/>
      <c r="I965" s="29" t="s">
        <v>439</v>
      </c>
      <c r="J965" s="47">
        <f t="shared" si="60"/>
        <v>18000</v>
      </c>
      <c r="K965" s="29">
        <f>VLOOKUP($C965,청소코드!$C$4:$J$188,8,FALSE)</f>
        <v>18000</v>
      </c>
      <c r="L965" s="32"/>
      <c r="M965" s="31"/>
      <c r="N965" s="32"/>
      <c r="O965" s="32"/>
    </row>
    <row r="966" spans="1:15" customFormat="1" ht="12.75" customHeight="1">
      <c r="A966" s="30">
        <v>46127</v>
      </c>
      <c r="B966" s="29" t="str">
        <f t="shared" si="59"/>
        <v>수</v>
      </c>
      <c r="C966" s="29" t="s">
        <v>1093</v>
      </c>
      <c r="D966" s="29" t="str">
        <f>VLOOKUP($C966,청소코드!$C$4:$J$188,3,FALSE)</f>
        <v>예건 205</v>
      </c>
      <c r="E966" s="29">
        <f>VLOOKUP($C966,청소코드!$C$4:$J$188,4,FALSE)</f>
        <v>1</v>
      </c>
      <c r="F966" s="29" t="s">
        <v>1104</v>
      </c>
      <c r="G966" s="29"/>
      <c r="H966" s="29"/>
      <c r="I966" s="29" t="s">
        <v>431</v>
      </c>
      <c r="J966" s="47">
        <f t="shared" si="60"/>
        <v>18000</v>
      </c>
      <c r="K966" s="29">
        <f>VLOOKUP($C966,청소코드!$C$4:$J$188,8,FALSE)</f>
        <v>18000</v>
      </c>
      <c r="L966" s="32"/>
      <c r="M966" s="31"/>
      <c r="N966" s="32"/>
      <c r="O966" s="32"/>
    </row>
    <row r="967" spans="1:15" customFormat="1" ht="12.75" customHeight="1">
      <c r="A967" s="30">
        <v>46127</v>
      </c>
      <c r="B967" s="29" t="str">
        <f t="shared" si="59"/>
        <v>수</v>
      </c>
      <c r="C967" s="29" t="s">
        <v>1094</v>
      </c>
      <c r="D967" s="29" t="str">
        <f>VLOOKUP($C967,청소코드!$C$4:$J$188,3,FALSE)</f>
        <v>청광3차 806</v>
      </c>
      <c r="E967" s="29">
        <f>VLOOKUP($C967,청소코드!$C$4:$J$188,4,FALSE)</f>
        <v>1</v>
      </c>
      <c r="F967" s="29" t="s">
        <v>438</v>
      </c>
      <c r="G967" s="29"/>
      <c r="H967" s="29"/>
      <c r="I967" s="29" t="s">
        <v>431</v>
      </c>
      <c r="J967" s="47">
        <f t="shared" si="60"/>
        <v>18000</v>
      </c>
      <c r="K967" s="29">
        <f>VLOOKUP($C967,청소코드!$C$4:$J$188,8,FALSE)</f>
        <v>18000</v>
      </c>
      <c r="L967" s="32"/>
      <c r="M967" s="31"/>
      <c r="N967" s="32"/>
      <c r="O967" s="32"/>
    </row>
    <row r="968" spans="1:15" customFormat="1" ht="12.75" customHeight="1">
      <c r="A968" s="30">
        <v>46127</v>
      </c>
      <c r="B968" s="29" t="str">
        <f t="shared" si="59"/>
        <v>수</v>
      </c>
      <c r="C968" s="29" t="s">
        <v>1095</v>
      </c>
      <c r="D968" s="29" t="str">
        <f>VLOOKUP($C968,청소코드!$C$4:$J$188,3,FALSE)</f>
        <v>강동QV 1604</v>
      </c>
      <c r="E968" s="29">
        <f>VLOOKUP($C968,청소코드!$C$4:$J$188,4,FALSE)</f>
        <v>1</v>
      </c>
      <c r="F968" s="29" t="s">
        <v>438</v>
      </c>
      <c r="G968" s="29"/>
      <c r="H968" s="29"/>
      <c r="I968" s="29" t="s">
        <v>431</v>
      </c>
      <c r="J968" s="47">
        <f t="shared" si="60"/>
        <v>18000</v>
      </c>
      <c r="K968" s="29">
        <f>VLOOKUP($C968,청소코드!$C$4:$J$188,8,FALSE)</f>
        <v>18000</v>
      </c>
      <c r="L968" s="32"/>
      <c r="M968" s="31"/>
      <c r="N968" s="32"/>
      <c r="O968" s="32"/>
    </row>
    <row r="969" spans="1:15" customFormat="1" ht="12.75" customHeight="1">
      <c r="A969" s="30">
        <v>46127</v>
      </c>
      <c r="B969" s="29" t="str">
        <f t="shared" si="59"/>
        <v>수</v>
      </c>
      <c r="C969" s="29" t="s">
        <v>1096</v>
      </c>
      <c r="D969" s="29" t="str">
        <f>VLOOKUP($C969,청소코드!$C$4:$J$188,3,FALSE)</f>
        <v>한양립스 503</v>
      </c>
      <c r="E969" s="29">
        <f>VLOOKUP($C969,청소코드!$C$4:$J$188,4,FALSE)</f>
        <v>1</v>
      </c>
      <c r="F969" s="29" t="s">
        <v>1105</v>
      </c>
      <c r="G969" s="29"/>
      <c r="H969" s="29"/>
      <c r="I969" s="29" t="s">
        <v>431</v>
      </c>
      <c r="J969" s="47">
        <f t="shared" si="60"/>
        <v>18000</v>
      </c>
      <c r="K969" s="29">
        <f>VLOOKUP($C969,청소코드!$C$4:$J$188,8,FALSE)</f>
        <v>18000</v>
      </c>
      <c r="L969" s="32"/>
      <c r="M969" s="31"/>
      <c r="N969" s="32"/>
      <c r="O969" s="32"/>
    </row>
    <row r="970" spans="1:15" customFormat="1" ht="12.75" customHeight="1">
      <c r="A970" s="30">
        <v>46127</v>
      </c>
      <c r="B970" s="29" t="str">
        <f t="shared" si="59"/>
        <v>수</v>
      </c>
      <c r="C970" s="29" t="s">
        <v>1097</v>
      </c>
      <c r="D970" s="29" t="str">
        <f>VLOOKUP($C970,청소코드!$C$4:$J$188,3,FALSE)</f>
        <v>오앤 401</v>
      </c>
      <c r="E970" s="29">
        <f>VLOOKUP($C970,청소코드!$C$4:$J$188,4,FALSE)</f>
        <v>1</v>
      </c>
      <c r="F970" s="29" t="s">
        <v>1105</v>
      </c>
      <c r="G970" s="29"/>
      <c r="H970" s="29"/>
      <c r="I970" s="29" t="s">
        <v>431</v>
      </c>
      <c r="J970" s="47">
        <f t="shared" si="60"/>
        <v>18000</v>
      </c>
      <c r="K970" s="29">
        <f>VLOOKUP($C970,청소코드!$C$4:$J$188,8,FALSE)</f>
        <v>18000</v>
      </c>
      <c r="L970" s="32"/>
      <c r="M970" s="31"/>
      <c r="N970" s="32"/>
      <c r="O970" s="32"/>
    </row>
    <row r="971" spans="1:15" customFormat="1" ht="12.75" customHeight="1">
      <c r="A971" s="30">
        <v>46127</v>
      </c>
      <c r="B971" s="29" t="str">
        <f t="shared" si="59"/>
        <v>수</v>
      </c>
      <c r="C971" s="29" t="s">
        <v>1098</v>
      </c>
      <c r="D971" s="29" t="str">
        <f>VLOOKUP($C971,청소코드!$C$4:$J$188,3,FALSE)</f>
        <v>렘브 204</v>
      </c>
      <c r="E971" s="29">
        <f>VLOOKUP($C971,청소코드!$C$4:$J$188,4,FALSE)</f>
        <v>1</v>
      </c>
      <c r="F971" s="29" t="s">
        <v>401</v>
      </c>
      <c r="G971" s="29"/>
      <c r="H971" s="29"/>
      <c r="I971" s="29" t="s">
        <v>431</v>
      </c>
      <c r="J971" s="47">
        <f t="shared" si="60"/>
        <v>18000</v>
      </c>
      <c r="K971" s="29">
        <f>VLOOKUP($C971,청소코드!$C$4:$J$188,8,FALSE)</f>
        <v>18000</v>
      </c>
      <c r="L971" s="32"/>
      <c r="M971" s="31"/>
      <c r="N971" s="32"/>
      <c r="O971" s="32"/>
    </row>
    <row r="972" spans="1:15" customFormat="1" ht="12.75" customHeight="1">
      <c r="A972" s="30">
        <v>46127</v>
      </c>
      <c r="B972" s="29" t="str">
        <f t="shared" si="59"/>
        <v>수</v>
      </c>
      <c r="C972" s="29" t="s">
        <v>1099</v>
      </c>
      <c r="D972" s="29" t="str">
        <f>VLOOKUP($C972,청소코드!$C$4:$J$188,3,FALSE)</f>
        <v>센텀 2차 406</v>
      </c>
      <c r="E972" s="29">
        <f>VLOOKUP($C972,청소코드!$C$4:$J$188,4,FALSE)</f>
        <v>1.5</v>
      </c>
      <c r="F972" s="29" t="s">
        <v>401</v>
      </c>
      <c r="G972" s="29"/>
      <c r="H972" s="29"/>
      <c r="I972" s="29" t="s">
        <v>431</v>
      </c>
      <c r="J972" s="47">
        <f t="shared" si="60"/>
        <v>20000</v>
      </c>
      <c r="K972" s="29">
        <f>VLOOKUP($C972,청소코드!$C$4:$J$188,8,FALSE)</f>
        <v>20000</v>
      </c>
      <c r="L972" s="32"/>
      <c r="M972" s="31"/>
      <c r="N972" s="32"/>
      <c r="O972" s="32"/>
    </row>
    <row r="973" spans="1:15" customFormat="1" ht="12.75" customHeight="1">
      <c r="A973" s="30">
        <v>46127</v>
      </c>
      <c r="B973" s="29" t="str">
        <f t="shared" si="59"/>
        <v>수</v>
      </c>
      <c r="C973" s="29" t="s">
        <v>1100</v>
      </c>
      <c r="D973" s="29" t="str">
        <f>VLOOKUP($C973,청소코드!$C$4:$J$188,3,FALSE)</f>
        <v>대치동 102호</v>
      </c>
      <c r="E973" s="29">
        <f>VLOOKUP($C973,청소코드!$C$4:$J$188,4,FALSE)</f>
        <v>1</v>
      </c>
      <c r="F973" s="29" t="s">
        <v>1106</v>
      </c>
      <c r="G973" s="29"/>
      <c r="H973" s="29"/>
      <c r="I973" s="29" t="s">
        <v>431</v>
      </c>
      <c r="J973" s="47">
        <f t="shared" si="60"/>
        <v>18000</v>
      </c>
      <c r="K973" s="29">
        <f>VLOOKUP($C973,청소코드!$C$4:$J$188,8,FALSE)</f>
        <v>18000</v>
      </c>
      <c r="L973" s="32"/>
      <c r="M973" s="31"/>
      <c r="N973" s="32"/>
      <c r="O973" s="32"/>
    </row>
    <row r="974" spans="1:15" customFormat="1" ht="12.75" customHeight="1">
      <c r="A974" s="30">
        <v>46127</v>
      </c>
      <c r="B974" s="29" t="str">
        <f t="shared" si="59"/>
        <v>수</v>
      </c>
      <c r="C974" s="29" t="s">
        <v>1101</v>
      </c>
      <c r="D974" s="29" t="str">
        <f>VLOOKUP($C974,청소코드!$C$4:$J$188,3,FALSE)</f>
        <v>대치동 103호</v>
      </c>
      <c r="E974" s="29">
        <f>VLOOKUP($C974,청소코드!$C$4:$J$188,4,FALSE)</f>
        <v>1.5</v>
      </c>
      <c r="F974" s="29" t="s">
        <v>1106</v>
      </c>
      <c r="G974" s="29" t="s">
        <v>1112</v>
      </c>
      <c r="H974" s="29"/>
      <c r="I974" s="29" t="s">
        <v>431</v>
      </c>
      <c r="J974" s="47">
        <f t="shared" si="60"/>
        <v>30000</v>
      </c>
      <c r="K974" s="29">
        <f>VLOOKUP($C974,청소코드!$C$4:$J$188,8,FALSE)</f>
        <v>20000</v>
      </c>
      <c r="L974" s="32">
        <v>10000</v>
      </c>
      <c r="M974" s="31"/>
      <c r="N974" s="32"/>
      <c r="O974" s="32"/>
    </row>
    <row r="975" spans="1:15" customFormat="1" ht="12.75" customHeight="1">
      <c r="A975" s="30">
        <v>46127</v>
      </c>
      <c r="B975" s="29" t="str">
        <f t="shared" si="59"/>
        <v>수</v>
      </c>
      <c r="C975" s="29" t="s">
        <v>1102</v>
      </c>
      <c r="D975" s="29" t="str">
        <f>VLOOKUP($C975,청소코드!$C$4:$J$188,3,FALSE)</f>
        <v>하람휴 901</v>
      </c>
      <c r="E975" s="29">
        <f>VLOOKUP($C975,청소코드!$C$4:$J$188,4,FALSE)</f>
        <v>2</v>
      </c>
      <c r="F975" s="29" t="s">
        <v>1107</v>
      </c>
      <c r="G975" s="29" t="s">
        <v>1111</v>
      </c>
      <c r="H975" s="29"/>
      <c r="I975" s="29" t="s">
        <v>431</v>
      </c>
      <c r="J975" s="47">
        <f t="shared" si="60"/>
        <v>33000</v>
      </c>
      <c r="K975" s="29">
        <f>VLOOKUP($C975,청소코드!$C$4:$J$188,8,FALSE)</f>
        <v>23000</v>
      </c>
      <c r="L975" s="32">
        <v>10000</v>
      </c>
      <c r="M975" s="31"/>
      <c r="N975" s="32"/>
      <c r="O975" s="32"/>
    </row>
    <row r="976" spans="1:15" customFormat="1" ht="12.75" customHeight="1">
      <c r="A976" s="30">
        <v>46127</v>
      </c>
      <c r="B976" s="29" t="str">
        <f t="shared" si="59"/>
        <v>수</v>
      </c>
      <c r="C976" s="29" t="s">
        <v>1103</v>
      </c>
      <c r="D976" s="29" t="str">
        <f>VLOOKUP($C976,청소코드!$C$4:$J$188,3,FALSE)</f>
        <v>하람휴 1001</v>
      </c>
      <c r="E976" s="29">
        <f>VLOOKUP($C976,청소코드!$C$4:$J$188,4,FALSE)</f>
        <v>2</v>
      </c>
      <c r="F976" s="29" t="s">
        <v>1107</v>
      </c>
      <c r="G976" s="29"/>
      <c r="H976" s="29"/>
      <c r="I976" s="29" t="s">
        <v>431</v>
      </c>
      <c r="J976" s="47">
        <f t="shared" si="60"/>
        <v>23000</v>
      </c>
      <c r="K976" s="29">
        <f>VLOOKUP($C976,청소코드!$C$4:$J$188,8,FALSE)</f>
        <v>23000</v>
      </c>
      <c r="L976" s="32"/>
      <c r="M976" s="31"/>
      <c r="N976" s="32"/>
      <c r="O976" s="32"/>
    </row>
    <row r="977" spans="1:15" customFormat="1" ht="12.75" customHeight="1">
      <c r="A977" s="30">
        <v>46127</v>
      </c>
      <c r="B977" s="29" t="str">
        <f t="shared" si="59"/>
        <v>수</v>
      </c>
      <c r="C977" s="29" t="s">
        <v>1108</v>
      </c>
      <c r="D977" s="29" t="str">
        <f>VLOOKUP($C977,청소코드!$C$4:$J$188,3,FALSE)</f>
        <v>청광1차 207</v>
      </c>
      <c r="E977" s="29">
        <f>VLOOKUP($C977,청소코드!$C$4:$J$188,4,FALSE)</f>
        <v>0</v>
      </c>
      <c r="F977" s="29" t="s">
        <v>1104</v>
      </c>
      <c r="G977" s="29"/>
      <c r="H977" s="29"/>
      <c r="I977" s="29" t="s">
        <v>431</v>
      </c>
      <c r="J977" s="47">
        <f t="shared" si="60"/>
        <v>5000</v>
      </c>
      <c r="K977" s="29">
        <f>VLOOKUP($C977,청소코드!$C$4:$J$188,8,FALSE)</f>
        <v>10000</v>
      </c>
      <c r="L977" s="32">
        <v>-5000</v>
      </c>
      <c r="M977" s="31"/>
      <c r="N977" s="32"/>
      <c r="O977" s="32"/>
    </row>
    <row r="978" spans="1:15" customFormat="1" ht="12.75" customHeight="1">
      <c r="A978" s="30">
        <v>46127</v>
      </c>
      <c r="B978" s="29" t="str">
        <f t="shared" si="59"/>
        <v>수</v>
      </c>
      <c r="C978" s="29" t="s">
        <v>1108</v>
      </c>
      <c r="D978" s="29" t="str">
        <f>VLOOKUP($C978,청소코드!$C$4:$J$188,3,FALSE)</f>
        <v>청광1차 207</v>
      </c>
      <c r="E978" s="29">
        <f>VLOOKUP($C978,청소코드!$C$4:$J$188,4,FALSE)</f>
        <v>0</v>
      </c>
      <c r="F978" s="29" t="s">
        <v>1105</v>
      </c>
      <c r="G978" s="29"/>
      <c r="H978" s="29"/>
      <c r="I978" s="29" t="s">
        <v>431</v>
      </c>
      <c r="J978" s="47">
        <f t="shared" si="60"/>
        <v>5000</v>
      </c>
      <c r="K978" s="29">
        <f>VLOOKUP($C978,청소코드!$C$4:$J$188,8,FALSE)</f>
        <v>10000</v>
      </c>
      <c r="L978" s="32">
        <v>-5000</v>
      </c>
      <c r="M978" s="31"/>
      <c r="N978" s="32"/>
      <c r="O978" s="32"/>
    </row>
    <row r="979" spans="1:15" customFormat="1" ht="12.75" customHeight="1">
      <c r="A979" s="49">
        <v>46128</v>
      </c>
      <c r="B979" s="50" t="str">
        <f t="shared" si="59"/>
        <v>목</v>
      </c>
      <c r="C979" s="29" t="s">
        <v>330</v>
      </c>
      <c r="D979" s="29" t="str">
        <f>VLOOKUP($C979,청소코드!$C$4:$J$188,3,FALSE)</f>
        <v>예건 204</v>
      </c>
      <c r="E979" s="29">
        <f>VLOOKUP($C979,청소코드!$C$4:$J$188,4,FALSE)</f>
        <v>1</v>
      </c>
      <c r="F979" s="29" t="s">
        <v>401</v>
      </c>
      <c r="G979" s="29"/>
      <c r="H979" s="29"/>
      <c r="I979" s="29" t="s">
        <v>431</v>
      </c>
      <c r="J979" s="47">
        <f t="shared" si="60"/>
        <v>18000</v>
      </c>
      <c r="K979" s="29">
        <f>VLOOKUP($C979,청소코드!$C$4:$J$188,8,FALSE)</f>
        <v>18000</v>
      </c>
      <c r="L979" s="32"/>
      <c r="M979" s="31"/>
      <c r="N979" s="32"/>
      <c r="O979" s="32"/>
    </row>
    <row r="980" spans="1:15" customFormat="1" ht="12.75" customHeight="1">
      <c r="A980" s="30">
        <v>46128</v>
      </c>
      <c r="B980" s="29" t="str">
        <f t="shared" si="59"/>
        <v>목</v>
      </c>
      <c r="C980" s="29" t="s">
        <v>287</v>
      </c>
      <c r="D980" s="29" t="str">
        <f>VLOOKUP($C980,청소코드!$C$4:$J$188,3,FALSE)</f>
        <v>청광3차 1412</v>
      </c>
      <c r="E980" s="29">
        <f>VLOOKUP($C980,청소코드!$C$4:$J$188,4,FALSE)</f>
        <v>1</v>
      </c>
      <c r="F980" s="29" t="s">
        <v>429</v>
      </c>
      <c r="G980" s="29"/>
      <c r="H980" s="29"/>
      <c r="I980" s="29" t="s">
        <v>431</v>
      </c>
      <c r="J980" s="47">
        <f t="shared" si="60"/>
        <v>18000</v>
      </c>
      <c r="K980" s="29">
        <f>VLOOKUP($C980,청소코드!$C$4:$J$188,8,FALSE)</f>
        <v>18000</v>
      </c>
      <c r="L980" s="32"/>
      <c r="M980" s="31"/>
      <c r="N980" s="32"/>
      <c r="O980" s="32"/>
    </row>
    <row r="981" spans="1:15" customFormat="1" ht="12.75" customHeight="1">
      <c r="A981" s="30">
        <v>46128</v>
      </c>
      <c r="B981" s="29" t="str">
        <f t="shared" si="59"/>
        <v>목</v>
      </c>
      <c r="C981" s="29" t="s">
        <v>292</v>
      </c>
      <c r="D981" s="29" t="str">
        <f>VLOOKUP($C981,청소코드!$C$4:$J$188,3,FALSE)</f>
        <v>오앤 401</v>
      </c>
      <c r="E981" s="29">
        <f>VLOOKUP($C981,청소코드!$C$4:$J$188,4,FALSE)</f>
        <v>1</v>
      </c>
      <c r="F981" s="29" t="s">
        <v>426</v>
      </c>
      <c r="G981" s="29"/>
      <c r="H981" s="29"/>
      <c r="I981" s="29" t="s">
        <v>431</v>
      </c>
      <c r="J981" s="47">
        <f t="shared" si="60"/>
        <v>18000</v>
      </c>
      <c r="K981" s="29">
        <f>VLOOKUP($C981,청소코드!$C$4:$J$188,8,FALSE)</f>
        <v>18000</v>
      </c>
      <c r="L981" s="32"/>
      <c r="M981" s="31"/>
      <c r="N981" s="32"/>
      <c r="O981" s="32"/>
    </row>
    <row r="982" spans="1:15" customFormat="1" ht="12.75" customHeight="1">
      <c r="A982" s="30">
        <v>46128</v>
      </c>
      <c r="B982" s="29" t="str">
        <f t="shared" si="59"/>
        <v>목</v>
      </c>
      <c r="C982" s="29" t="s">
        <v>302</v>
      </c>
      <c r="D982" s="29" t="str">
        <f>VLOOKUP($C982,청소코드!$C$4:$J$188,3,FALSE)</f>
        <v>하람휴 1102</v>
      </c>
      <c r="E982" s="29">
        <f>VLOOKUP($C982,청소코드!$C$4:$J$188,4,FALSE)</f>
        <v>2</v>
      </c>
      <c r="F982" s="29" t="s">
        <v>408</v>
      </c>
      <c r="G982" s="29"/>
      <c r="H982" s="29"/>
      <c r="I982" s="29" t="s">
        <v>431</v>
      </c>
      <c r="J982" s="47">
        <f t="shared" si="60"/>
        <v>23000</v>
      </c>
      <c r="K982" s="29">
        <f>VLOOKUP($C982,청소코드!$C$4:$J$188,8,FALSE)</f>
        <v>23000</v>
      </c>
      <c r="L982" s="32"/>
      <c r="M982" s="31"/>
      <c r="N982" s="32"/>
      <c r="O982" s="32"/>
    </row>
    <row r="983" spans="1:15" customFormat="1" ht="12.75" customHeight="1">
      <c r="A983" s="30">
        <v>46128</v>
      </c>
      <c r="B983" s="29" t="str">
        <f t="shared" si="59"/>
        <v>목</v>
      </c>
      <c r="C983" s="29" t="s">
        <v>385</v>
      </c>
      <c r="D983" s="29" t="str">
        <f>VLOOKUP($C983,청소코드!$C$4:$J$188,3,FALSE)</f>
        <v>하람휴 1001</v>
      </c>
      <c r="E983" s="29">
        <f>VLOOKUP($C983,청소코드!$C$4:$J$188,4,FALSE)</f>
        <v>2</v>
      </c>
      <c r="F983" s="29" t="s">
        <v>408</v>
      </c>
      <c r="G983" s="29"/>
      <c r="H983" s="29"/>
      <c r="I983" s="29" t="s">
        <v>431</v>
      </c>
      <c r="J983" s="47">
        <f t="shared" si="60"/>
        <v>23000</v>
      </c>
      <c r="K983" s="29">
        <f>VLOOKUP($C983,청소코드!$C$4:$J$188,8,FALSE)</f>
        <v>23000</v>
      </c>
      <c r="L983" s="32"/>
      <c r="M983" s="31"/>
      <c r="N983" s="32"/>
      <c r="O983" s="32"/>
    </row>
    <row r="984" spans="1:15" customFormat="1" ht="12.75" customHeight="1">
      <c r="A984" s="30">
        <v>46128</v>
      </c>
      <c r="B984" s="29" t="str">
        <f t="shared" si="59"/>
        <v>목</v>
      </c>
      <c r="C984" s="29" t="s">
        <v>334</v>
      </c>
      <c r="D984" s="29" t="str">
        <f>VLOOKUP($C984,청소코드!$C$4:$J$188,3,FALSE)</f>
        <v>센텀 2차 406</v>
      </c>
      <c r="E984" s="29">
        <f>VLOOKUP($C984,청소코드!$C$4:$J$188,4,FALSE)</f>
        <v>1.5</v>
      </c>
      <c r="F984" s="29" t="s">
        <v>449</v>
      </c>
      <c r="G984" s="29"/>
      <c r="H984" s="29"/>
      <c r="I984" s="29" t="s">
        <v>431</v>
      </c>
      <c r="J984" s="47">
        <f t="shared" si="60"/>
        <v>20000</v>
      </c>
      <c r="K984" s="29">
        <f>VLOOKUP($C984,청소코드!$C$4:$J$188,8,FALSE)</f>
        <v>20000</v>
      </c>
      <c r="L984" s="32"/>
      <c r="M984" s="31"/>
      <c r="N984" s="32"/>
      <c r="O984" s="32"/>
    </row>
    <row r="985" spans="1:15" customFormat="1" ht="12.75" customHeight="1">
      <c r="A985" s="30">
        <v>46128</v>
      </c>
      <c r="B985" s="29" t="str">
        <f t="shared" ref="B985:B1016" si="61">TEXT(A985,"aaa")</f>
        <v>목</v>
      </c>
      <c r="C985" s="29" t="s">
        <v>376</v>
      </c>
      <c r="D985" s="29" t="str">
        <f>VLOOKUP($C985,청소코드!$C$4:$J$188,3,FALSE)</f>
        <v>은성 603</v>
      </c>
      <c r="E985" s="29">
        <f>VLOOKUP($C985,청소코드!$C$4:$J$188,4,FALSE)</f>
        <v>1</v>
      </c>
      <c r="F985" s="29" t="s">
        <v>449</v>
      </c>
      <c r="G985" s="29"/>
      <c r="H985" s="29"/>
      <c r="I985" s="29" t="s">
        <v>431</v>
      </c>
      <c r="J985" s="47">
        <f t="shared" ref="J985:J1016" si="62">SUM(K985:O985)</f>
        <v>18000</v>
      </c>
      <c r="K985" s="29">
        <f>VLOOKUP($C985,청소코드!$C$4:$J$188,8,FALSE)</f>
        <v>18000</v>
      </c>
      <c r="L985" s="32"/>
      <c r="M985" s="31"/>
      <c r="N985" s="32"/>
      <c r="O985" s="32"/>
    </row>
    <row r="986" spans="1:15" customFormat="1" ht="12.75" customHeight="1">
      <c r="A986" s="30">
        <v>46128</v>
      </c>
      <c r="B986" s="29" t="str">
        <f t="shared" si="61"/>
        <v>목</v>
      </c>
      <c r="C986" s="29" t="s">
        <v>357</v>
      </c>
      <c r="D986" s="29" t="str">
        <f>VLOOKUP($C986,청소코드!$C$4:$J$188,3,FALSE)</f>
        <v>오금스타 203</v>
      </c>
      <c r="E986" s="29">
        <f>VLOOKUP($C986,청소코드!$C$4:$J$188,4,FALSE)</f>
        <v>1</v>
      </c>
      <c r="F986" s="29" t="s">
        <v>449</v>
      </c>
      <c r="G986" s="29"/>
      <c r="H986" s="29"/>
      <c r="I986" s="29" t="s">
        <v>431</v>
      </c>
      <c r="J986" s="47">
        <f t="shared" si="62"/>
        <v>18000</v>
      </c>
      <c r="K986" s="29">
        <f>VLOOKUP($C986,청소코드!$C$4:$J$188,8,FALSE)</f>
        <v>18000</v>
      </c>
      <c r="L986" s="32"/>
      <c r="M986" s="31"/>
      <c r="N986" s="32"/>
      <c r="O986" s="32"/>
    </row>
    <row r="987" spans="1:15" customFormat="1" ht="12.75" customHeight="1">
      <c r="A987" s="30">
        <v>46128</v>
      </c>
      <c r="B987" s="29" t="str">
        <f t="shared" si="61"/>
        <v>목</v>
      </c>
      <c r="C987" s="29" t="s">
        <v>416</v>
      </c>
      <c r="D987" s="29" t="str">
        <f>VLOOKUP($C987,청소코드!$C$4:$J$188,3,FALSE)</f>
        <v>청광1차 207</v>
      </c>
      <c r="E987" s="29">
        <f>VLOOKUP($C987,청소코드!$C$4:$J$188,4,FALSE)</f>
        <v>0</v>
      </c>
      <c r="F987" s="29" t="s">
        <v>426</v>
      </c>
      <c r="G987" s="29"/>
      <c r="H987" s="29"/>
      <c r="I987" s="29" t="s">
        <v>431</v>
      </c>
      <c r="J987" s="47">
        <f t="shared" si="62"/>
        <v>10000</v>
      </c>
      <c r="K987" s="29">
        <f>VLOOKUP($C987,청소코드!$C$4:$J$188,8,FALSE)</f>
        <v>10000</v>
      </c>
      <c r="L987" s="32"/>
      <c r="M987" s="31"/>
      <c r="N987" s="32"/>
      <c r="O987" s="32"/>
    </row>
    <row r="988" spans="1:15" customFormat="1" ht="12.75" customHeight="1">
      <c r="A988" s="49">
        <v>46129</v>
      </c>
      <c r="B988" s="50" t="str">
        <f t="shared" si="61"/>
        <v>금</v>
      </c>
      <c r="C988" s="29" t="s">
        <v>354</v>
      </c>
      <c r="D988" s="29" t="str">
        <f>VLOOKUP($C988,청소코드!$C$4:$J$188,3,FALSE)</f>
        <v>예건 202</v>
      </c>
      <c r="E988" s="29">
        <f>VLOOKUP($C988,청소코드!$C$4:$J$188,4,FALSE)</f>
        <v>1</v>
      </c>
      <c r="F988" s="29" t="s">
        <v>438</v>
      </c>
      <c r="G988" s="29"/>
      <c r="H988" s="29"/>
      <c r="I988" s="29" t="s">
        <v>1150</v>
      </c>
      <c r="J988" s="47">
        <f t="shared" si="62"/>
        <v>18000</v>
      </c>
      <c r="K988" s="29">
        <f>VLOOKUP($C988,청소코드!$C$4:$J$188,8,FALSE)</f>
        <v>18000</v>
      </c>
      <c r="L988" s="32"/>
      <c r="M988" s="31"/>
      <c r="N988" s="32"/>
      <c r="O988" s="32"/>
    </row>
    <row r="989" spans="1:15" customFormat="1" ht="12.75" customHeight="1">
      <c r="A989" s="30">
        <v>46129</v>
      </c>
      <c r="B989" s="29" t="str">
        <f t="shared" si="61"/>
        <v>금</v>
      </c>
      <c r="C989" s="29" t="s">
        <v>348</v>
      </c>
      <c r="D989" s="29" t="str">
        <f>VLOOKUP($C989,청소코드!$C$4:$J$188,3,FALSE)</f>
        <v>성우 501</v>
      </c>
      <c r="E989" s="29">
        <f>VLOOKUP($C989,청소코드!$C$4:$J$188,4,FALSE)</f>
        <v>2</v>
      </c>
      <c r="F989" s="29" t="s">
        <v>438</v>
      </c>
      <c r="G989" s="29"/>
      <c r="H989" s="29"/>
      <c r="I989" s="29" t="s">
        <v>431</v>
      </c>
      <c r="J989" s="47">
        <f t="shared" si="62"/>
        <v>23000</v>
      </c>
      <c r="K989" s="29">
        <f>VLOOKUP($C989,청소코드!$C$4:$J$188,8,FALSE)</f>
        <v>23000</v>
      </c>
      <c r="L989" s="32"/>
      <c r="M989" s="31"/>
      <c r="N989" s="32"/>
      <c r="O989" s="32"/>
    </row>
    <row r="990" spans="1:15" customFormat="1" ht="12.75" customHeight="1">
      <c r="A990" s="30">
        <v>46129</v>
      </c>
      <c r="B990" s="29" t="str">
        <f t="shared" si="61"/>
        <v>금</v>
      </c>
      <c r="C990" s="29" t="s">
        <v>498</v>
      </c>
      <c r="D990" s="29" t="str">
        <f>VLOOKUP($C990,청소코드!$C$4:$J$188,3,FALSE)</f>
        <v>더하임 1006</v>
      </c>
      <c r="E990" s="29">
        <f>VLOOKUP($C990,청소코드!$C$4:$J$188,4,FALSE)</f>
        <v>1.5</v>
      </c>
      <c r="F990" s="29" t="s">
        <v>401</v>
      </c>
      <c r="G990" s="29"/>
      <c r="H990" s="29"/>
      <c r="I990" s="29" t="s">
        <v>431</v>
      </c>
      <c r="J990" s="47">
        <f t="shared" si="62"/>
        <v>20000</v>
      </c>
      <c r="K990" s="29">
        <f>VLOOKUP($C990,청소코드!$C$4:$J$188,8,FALSE)</f>
        <v>20000</v>
      </c>
      <c r="L990" s="32"/>
      <c r="M990" s="31"/>
      <c r="N990" s="32"/>
      <c r="O990" s="32"/>
    </row>
    <row r="991" spans="1:15" customFormat="1" ht="12.75" customHeight="1">
      <c r="A991" s="30">
        <v>46129</v>
      </c>
      <c r="B991" s="29" t="str">
        <f t="shared" si="61"/>
        <v>금</v>
      </c>
      <c r="C991" s="29" t="s">
        <v>364</v>
      </c>
      <c r="D991" s="29" t="str">
        <f>VLOOKUP($C991,청소코드!$C$4:$J$188,3,FALSE)</f>
        <v>더하임 305</v>
      </c>
      <c r="E991" s="29">
        <f>VLOOKUP($C991,청소코드!$C$4:$J$188,4,FALSE)</f>
        <v>1</v>
      </c>
      <c r="F991" s="29" t="s">
        <v>401</v>
      </c>
      <c r="G991" s="29"/>
      <c r="H991" s="29"/>
      <c r="I991" s="29" t="s">
        <v>431</v>
      </c>
      <c r="J991" s="47">
        <f t="shared" si="62"/>
        <v>18000</v>
      </c>
      <c r="K991" s="29">
        <f>VLOOKUP($C991,청소코드!$C$4:$J$188,8,FALSE)</f>
        <v>18000</v>
      </c>
      <c r="L991" s="32"/>
      <c r="M991" s="31"/>
      <c r="N991" s="32"/>
      <c r="O991" s="32"/>
    </row>
    <row r="992" spans="1:15" customFormat="1" ht="12.75" customHeight="1">
      <c r="A992" s="30">
        <v>46129</v>
      </c>
      <c r="B992" s="29" t="str">
        <f t="shared" si="61"/>
        <v>금</v>
      </c>
      <c r="C992" s="29" t="s">
        <v>287</v>
      </c>
      <c r="D992" s="29" t="str">
        <f>VLOOKUP($C992,청소코드!$C$4:$J$188,3,FALSE)</f>
        <v>청광3차 1412</v>
      </c>
      <c r="E992" s="29">
        <f>VLOOKUP($C992,청소코드!$C$4:$J$188,4,FALSE)</f>
        <v>1</v>
      </c>
      <c r="F992" s="29" t="s">
        <v>449</v>
      </c>
      <c r="G992" s="29"/>
      <c r="H992" s="29"/>
      <c r="I992" s="29" t="s">
        <v>431</v>
      </c>
      <c r="J992" s="47">
        <f t="shared" si="62"/>
        <v>18000</v>
      </c>
      <c r="K992" s="29">
        <f>VLOOKUP($C992,청소코드!$C$4:$J$188,8,FALSE)</f>
        <v>18000</v>
      </c>
      <c r="L992" s="32"/>
      <c r="M992" s="31"/>
      <c r="N992" s="32"/>
      <c r="O992" s="32"/>
    </row>
    <row r="993" spans="1:15" customFormat="1" ht="12.75" customHeight="1">
      <c r="A993" s="30">
        <v>46129</v>
      </c>
      <c r="B993" s="29" t="str">
        <f t="shared" si="61"/>
        <v>금</v>
      </c>
      <c r="C993" s="29" t="s">
        <v>290</v>
      </c>
      <c r="D993" s="29" t="str">
        <f>VLOOKUP($C993,청소코드!$C$4:$J$188,3,FALSE)</f>
        <v>렘브 204</v>
      </c>
      <c r="E993" s="29">
        <f>VLOOKUP($C993,청소코드!$C$4:$J$188,4,FALSE)</f>
        <v>1</v>
      </c>
      <c r="F993" s="29" t="s">
        <v>449</v>
      </c>
      <c r="G993" s="29"/>
      <c r="H993" s="29"/>
      <c r="I993" s="29" t="s">
        <v>431</v>
      </c>
      <c r="J993" s="47">
        <f t="shared" si="62"/>
        <v>18000</v>
      </c>
      <c r="K993" s="29">
        <f>VLOOKUP($C993,청소코드!$C$4:$J$188,8,FALSE)</f>
        <v>18000</v>
      </c>
      <c r="L993" s="32"/>
      <c r="M993" s="31"/>
      <c r="N993" s="32"/>
      <c r="O993" s="32"/>
    </row>
    <row r="994" spans="1:15" customFormat="1" ht="12.75" customHeight="1">
      <c r="A994" s="30">
        <v>46129</v>
      </c>
      <c r="B994" s="29" t="str">
        <f t="shared" si="61"/>
        <v>금</v>
      </c>
      <c r="C994" s="29" t="s">
        <v>334</v>
      </c>
      <c r="D994" s="29" t="str">
        <f>VLOOKUP($C994,청소코드!$C$4:$J$188,3,FALSE)</f>
        <v>센텀 2차 406</v>
      </c>
      <c r="E994" s="29">
        <f>VLOOKUP($C994,청소코드!$C$4:$J$188,4,FALSE)</f>
        <v>1.5</v>
      </c>
      <c r="F994" s="29" t="s">
        <v>429</v>
      </c>
      <c r="G994" s="29"/>
      <c r="H994" s="29"/>
      <c r="I994" s="29" t="s">
        <v>431</v>
      </c>
      <c r="J994" s="47">
        <f t="shared" si="62"/>
        <v>20000</v>
      </c>
      <c r="K994" s="29">
        <f>VLOOKUP($C994,청소코드!$C$4:$J$188,8,FALSE)</f>
        <v>20000</v>
      </c>
      <c r="L994" s="32"/>
      <c r="M994" s="31"/>
      <c r="N994" s="32"/>
      <c r="O994" s="32"/>
    </row>
    <row r="995" spans="1:15" customFormat="1" ht="12.75" customHeight="1">
      <c r="A995" s="30">
        <v>46129</v>
      </c>
      <c r="B995" s="29" t="str">
        <f t="shared" si="61"/>
        <v>금</v>
      </c>
      <c r="C995" s="29" t="s">
        <v>325</v>
      </c>
      <c r="D995" s="29" t="str">
        <f>VLOOKUP($C995,청소코드!$C$4:$J$188,3,FALSE)</f>
        <v>센텀 2차 501</v>
      </c>
      <c r="E995" s="29">
        <f>VLOOKUP($C995,청소코드!$C$4:$J$188,4,FALSE)</f>
        <v>1.5</v>
      </c>
      <c r="F995" s="29" t="s">
        <v>426</v>
      </c>
      <c r="G995" s="29"/>
      <c r="H995" s="29"/>
      <c r="I995" s="29" t="s">
        <v>431</v>
      </c>
      <c r="J995" s="47">
        <f t="shared" si="62"/>
        <v>20000</v>
      </c>
      <c r="K995" s="29">
        <f>VLOOKUP($C995,청소코드!$C$4:$J$188,8,FALSE)</f>
        <v>20000</v>
      </c>
      <c r="L995" s="32"/>
      <c r="M995" s="31"/>
      <c r="N995" s="32"/>
      <c r="O995" s="32"/>
    </row>
    <row r="996" spans="1:15" customFormat="1" ht="12.75" customHeight="1">
      <c r="A996" s="30">
        <v>46129</v>
      </c>
      <c r="B996" s="29" t="str">
        <f t="shared" si="61"/>
        <v>금</v>
      </c>
      <c r="C996" s="29" t="s">
        <v>292</v>
      </c>
      <c r="D996" s="29" t="str">
        <f>VLOOKUP($C996,청소코드!$C$4:$J$188,3,FALSE)</f>
        <v>오앤 401</v>
      </c>
      <c r="E996" s="29">
        <f>VLOOKUP($C996,청소코드!$C$4:$J$188,4,FALSE)</f>
        <v>1</v>
      </c>
      <c r="F996" s="29" t="s">
        <v>426</v>
      </c>
      <c r="G996" s="29"/>
      <c r="H996" s="29"/>
      <c r="I996" s="29" t="s">
        <v>431</v>
      </c>
      <c r="J996" s="47">
        <f t="shared" si="62"/>
        <v>18000</v>
      </c>
      <c r="K996" s="29">
        <f>VLOOKUP($C996,청소코드!$C$4:$J$188,8,FALSE)</f>
        <v>18000</v>
      </c>
      <c r="L996" s="32"/>
      <c r="M996" s="31"/>
      <c r="N996" s="32"/>
      <c r="O996" s="32"/>
    </row>
    <row r="997" spans="1:15" customFormat="1" ht="12.75" customHeight="1">
      <c r="A997" s="30">
        <v>46129</v>
      </c>
      <c r="B997" s="29" t="str">
        <f t="shared" si="61"/>
        <v>금</v>
      </c>
      <c r="C997" s="29" t="s">
        <v>385</v>
      </c>
      <c r="D997" s="29" t="str">
        <f>VLOOKUP($C997,청소코드!$C$4:$J$188,3,FALSE)</f>
        <v>하람휴 1001</v>
      </c>
      <c r="E997" s="29">
        <f>VLOOKUP($C997,청소코드!$C$4:$J$188,4,FALSE)</f>
        <v>2</v>
      </c>
      <c r="F997" s="29" t="s">
        <v>408</v>
      </c>
      <c r="G997" s="29"/>
      <c r="H997" s="29"/>
      <c r="I997" s="29" t="s">
        <v>431</v>
      </c>
      <c r="J997" s="47">
        <f t="shared" si="62"/>
        <v>23000</v>
      </c>
      <c r="K997" s="29">
        <f>VLOOKUP($C997,청소코드!$C$4:$J$188,8,FALSE)</f>
        <v>23000</v>
      </c>
      <c r="L997" s="32"/>
      <c r="M997" s="31"/>
      <c r="N997" s="32"/>
      <c r="O997" s="32"/>
    </row>
    <row r="998" spans="1:15" customFormat="1" ht="12.75" customHeight="1">
      <c r="A998" s="30">
        <v>46129</v>
      </c>
      <c r="B998" s="29" t="str">
        <f t="shared" si="61"/>
        <v>금</v>
      </c>
      <c r="C998" s="29" t="s">
        <v>393</v>
      </c>
      <c r="D998" s="29" t="str">
        <f>VLOOKUP($C998,청소코드!$C$4:$J$188,3,FALSE)</f>
        <v>대치동 103호</v>
      </c>
      <c r="E998" s="29">
        <f>VLOOKUP($C998,청소코드!$C$4:$J$188,4,FALSE)</f>
        <v>1.5</v>
      </c>
      <c r="F998" s="29" t="s">
        <v>499</v>
      </c>
      <c r="G998" s="29"/>
      <c r="H998" s="29"/>
      <c r="I998" s="29" t="s">
        <v>431</v>
      </c>
      <c r="J998" s="47">
        <f t="shared" si="62"/>
        <v>20000</v>
      </c>
      <c r="K998" s="29">
        <f>VLOOKUP($C998,청소코드!$C$4:$J$188,8,FALSE)</f>
        <v>20000</v>
      </c>
      <c r="L998" s="32"/>
      <c r="M998" s="31"/>
      <c r="N998" s="32"/>
      <c r="O998" s="32"/>
    </row>
    <row r="999" spans="1:15" customFormat="1" ht="12.75" customHeight="1">
      <c r="A999" s="30">
        <v>46129</v>
      </c>
      <c r="B999" s="29" t="str">
        <f t="shared" si="61"/>
        <v>금</v>
      </c>
      <c r="C999" s="29" t="s">
        <v>416</v>
      </c>
      <c r="D999" s="29" t="str">
        <f>VLOOKUP($C999,청소코드!$C$4:$J$188,3,FALSE)</f>
        <v>청광1차 207</v>
      </c>
      <c r="E999" s="29">
        <f>VLOOKUP($C999,청소코드!$C$4:$J$188,4,FALSE)</f>
        <v>0</v>
      </c>
      <c r="F999" s="29" t="s">
        <v>426</v>
      </c>
      <c r="G999" s="29"/>
      <c r="H999" s="29"/>
      <c r="I999" s="29" t="s">
        <v>431</v>
      </c>
      <c r="J999" s="47">
        <f t="shared" si="62"/>
        <v>10000</v>
      </c>
      <c r="K999" s="29">
        <f>VLOOKUP($C999,청소코드!$C$4:$J$188,8,FALSE)</f>
        <v>10000</v>
      </c>
      <c r="L999" s="32"/>
      <c r="M999" s="31"/>
      <c r="N999" s="32"/>
      <c r="O999" s="32"/>
    </row>
    <row r="1000" spans="1:15" customFormat="1" ht="12.75" customHeight="1">
      <c r="A1000" s="49">
        <v>46130</v>
      </c>
      <c r="B1000" s="50" t="str">
        <f t="shared" si="61"/>
        <v>토</v>
      </c>
      <c r="C1000" s="29" t="s">
        <v>1113</v>
      </c>
      <c r="D1000" s="29" t="str">
        <f>VLOOKUP($C1000,청소코드!$C$4:$J$188,3,FALSE)</f>
        <v>예건 202</v>
      </c>
      <c r="E1000" s="29">
        <f>VLOOKUP($C1000,청소코드!$C$4:$J$188,4,FALSE)</f>
        <v>1</v>
      </c>
      <c r="F1000" s="29" t="s">
        <v>1137</v>
      </c>
      <c r="G1000" s="29"/>
      <c r="H1000" s="29"/>
      <c r="I1000" s="29" t="s">
        <v>1144</v>
      </c>
      <c r="J1000" s="47">
        <f t="shared" si="62"/>
        <v>18000</v>
      </c>
      <c r="K1000" s="29">
        <f>VLOOKUP($C1000,청소코드!$C$4:$J$188,8,FALSE)</f>
        <v>18000</v>
      </c>
      <c r="L1000" s="32"/>
      <c r="M1000" s="31"/>
      <c r="N1000" s="32"/>
      <c r="O1000" s="32"/>
    </row>
    <row r="1001" spans="1:15" customFormat="1" ht="12.75" customHeight="1">
      <c r="A1001" s="30">
        <v>46130</v>
      </c>
      <c r="B1001" s="29" t="str">
        <f t="shared" si="61"/>
        <v>토</v>
      </c>
      <c r="C1001" s="29" t="s">
        <v>1114</v>
      </c>
      <c r="D1001" s="29" t="str">
        <f>VLOOKUP($C1001,청소코드!$C$4:$J$188,3,FALSE)</f>
        <v>예건 205</v>
      </c>
      <c r="E1001" s="29">
        <f>VLOOKUP($C1001,청소코드!$C$4:$J$188,4,FALSE)</f>
        <v>1</v>
      </c>
      <c r="F1001" s="29" t="s">
        <v>438</v>
      </c>
      <c r="G1001" s="29"/>
      <c r="H1001" s="29"/>
      <c r="I1001" s="29" t="s">
        <v>431</v>
      </c>
      <c r="J1001" s="47">
        <f t="shared" si="62"/>
        <v>18000</v>
      </c>
      <c r="K1001" s="29">
        <f>VLOOKUP($C1001,청소코드!$C$4:$J$188,8,FALSE)</f>
        <v>18000</v>
      </c>
      <c r="L1001" s="32"/>
      <c r="M1001" s="31"/>
      <c r="N1001" s="32"/>
      <c r="O1001" s="32"/>
    </row>
    <row r="1002" spans="1:15" customFormat="1" ht="12.75" customHeight="1">
      <c r="A1002" s="30">
        <v>46130</v>
      </c>
      <c r="B1002" s="29" t="str">
        <f t="shared" si="61"/>
        <v>토</v>
      </c>
      <c r="C1002" s="29" t="s">
        <v>1115</v>
      </c>
      <c r="D1002" s="29" t="str">
        <f>VLOOKUP($C1002,청소코드!$C$4:$J$188,3,FALSE)</f>
        <v>예건 303</v>
      </c>
      <c r="E1002" s="29">
        <f>VLOOKUP($C1002,청소코드!$C$4:$J$188,4,FALSE)</f>
        <v>2</v>
      </c>
      <c r="F1002" s="29" t="s">
        <v>438</v>
      </c>
      <c r="G1002" s="29"/>
      <c r="H1002" s="29"/>
      <c r="I1002" s="29" t="s">
        <v>431</v>
      </c>
      <c r="J1002" s="47">
        <f t="shared" si="62"/>
        <v>23000</v>
      </c>
      <c r="K1002" s="29">
        <f>VLOOKUP($C1002,청소코드!$C$4:$J$188,8,FALSE)</f>
        <v>23000</v>
      </c>
      <c r="L1002" s="32"/>
      <c r="M1002" s="31"/>
      <c r="N1002" s="32"/>
      <c r="O1002" s="32"/>
    </row>
    <row r="1003" spans="1:15" customFormat="1" ht="12.75" customHeight="1">
      <c r="A1003" s="30">
        <v>46130</v>
      </c>
      <c r="B1003" s="29" t="str">
        <f t="shared" si="61"/>
        <v>토</v>
      </c>
      <c r="C1003" s="29" t="s">
        <v>1116</v>
      </c>
      <c r="D1003" s="29" t="str">
        <f>VLOOKUP($C1003,청소코드!$C$4:$J$188,3,FALSE)</f>
        <v>더하임 1002</v>
      </c>
      <c r="E1003" s="29">
        <f>VLOOKUP($C1003,청소코드!$C$4:$J$188,4,FALSE)</f>
        <v>1</v>
      </c>
      <c r="F1003" s="29" t="s">
        <v>1138</v>
      </c>
      <c r="G1003" s="29"/>
      <c r="H1003" s="29"/>
      <c r="I1003" s="29" t="s">
        <v>431</v>
      </c>
      <c r="J1003" s="47">
        <f t="shared" si="62"/>
        <v>18000</v>
      </c>
      <c r="K1003" s="29">
        <f>VLOOKUP($C1003,청소코드!$C$4:$J$188,8,FALSE)</f>
        <v>18000</v>
      </c>
      <c r="L1003" s="32"/>
      <c r="M1003" s="31"/>
      <c r="N1003" s="32"/>
      <c r="O1003" s="32"/>
    </row>
    <row r="1004" spans="1:15" customFormat="1" ht="12.75" customHeight="1">
      <c r="A1004" s="30">
        <v>46130</v>
      </c>
      <c r="B1004" s="29" t="str">
        <f t="shared" si="61"/>
        <v>토</v>
      </c>
      <c r="C1004" s="29" t="s">
        <v>1117</v>
      </c>
      <c r="D1004" s="29" t="str">
        <f>VLOOKUP($C1004,청소코드!$C$4:$J$188,3,FALSE)</f>
        <v>더하임 1003</v>
      </c>
      <c r="E1004" s="29">
        <f>VLOOKUP($C1004,청소코드!$C$4:$J$188,4,FALSE)</f>
        <v>1</v>
      </c>
      <c r="F1004" s="29" t="s">
        <v>1138</v>
      </c>
      <c r="G1004" s="29"/>
      <c r="H1004" s="29"/>
      <c r="I1004" s="29" t="s">
        <v>431</v>
      </c>
      <c r="J1004" s="47">
        <f t="shared" si="62"/>
        <v>18000</v>
      </c>
      <c r="K1004" s="29">
        <f>VLOOKUP($C1004,청소코드!$C$4:$J$188,8,FALSE)</f>
        <v>18000</v>
      </c>
      <c r="L1004" s="32"/>
      <c r="M1004" s="31"/>
      <c r="N1004" s="32"/>
      <c r="O1004" s="32"/>
    </row>
    <row r="1005" spans="1:15" customFormat="1" ht="12.75" customHeight="1">
      <c r="A1005" s="30">
        <v>46130</v>
      </c>
      <c r="B1005" s="29" t="str">
        <f t="shared" si="61"/>
        <v>토</v>
      </c>
      <c r="C1005" s="29" t="s">
        <v>1118</v>
      </c>
      <c r="D1005" s="29" t="str">
        <f>VLOOKUP($C1005,청소코드!$C$4:$J$188,3,FALSE)</f>
        <v>더하임 1004</v>
      </c>
      <c r="E1005" s="29">
        <f>VLOOKUP($C1005,청소코드!$C$4:$J$188,4,FALSE)</f>
        <v>1</v>
      </c>
      <c r="F1005" s="29" t="s">
        <v>1138</v>
      </c>
      <c r="G1005" s="29"/>
      <c r="H1005" s="29"/>
      <c r="I1005" s="29" t="s">
        <v>431</v>
      </c>
      <c r="J1005" s="47">
        <f t="shared" si="62"/>
        <v>18000</v>
      </c>
      <c r="K1005" s="29">
        <f>VLOOKUP($C1005,청소코드!$C$4:$J$188,8,FALSE)</f>
        <v>18000</v>
      </c>
      <c r="L1005" s="32"/>
      <c r="M1005" s="31"/>
      <c r="N1005" s="32"/>
      <c r="O1005" s="32"/>
    </row>
    <row r="1006" spans="1:15" customFormat="1" ht="12.75" customHeight="1">
      <c r="A1006" s="30">
        <v>46130</v>
      </c>
      <c r="B1006" s="29" t="str">
        <f t="shared" si="61"/>
        <v>토</v>
      </c>
      <c r="C1006" s="29" t="s">
        <v>1119</v>
      </c>
      <c r="D1006" s="29" t="str">
        <f>VLOOKUP($C1006,청소코드!$C$4:$J$188,3,FALSE)</f>
        <v>더하임 1005</v>
      </c>
      <c r="E1006" s="29">
        <f>VLOOKUP($C1006,청소코드!$C$4:$J$188,4,FALSE)</f>
        <v>1</v>
      </c>
      <c r="F1006" s="29" t="s">
        <v>426</v>
      </c>
      <c r="G1006" s="29"/>
      <c r="H1006" s="29"/>
      <c r="I1006" s="29" t="s">
        <v>431</v>
      </c>
      <c r="J1006" s="47">
        <f t="shared" si="62"/>
        <v>18000</v>
      </c>
      <c r="K1006" s="29">
        <f>VLOOKUP($C1006,청소코드!$C$4:$J$188,8,FALSE)</f>
        <v>18000</v>
      </c>
      <c r="L1006" s="32"/>
      <c r="M1006" s="31"/>
      <c r="N1006" s="32"/>
      <c r="O1006" s="32"/>
    </row>
    <row r="1007" spans="1:15" customFormat="1" ht="12.75" customHeight="1">
      <c r="A1007" s="30">
        <v>46130</v>
      </c>
      <c r="B1007" s="29" t="str">
        <f t="shared" si="61"/>
        <v>토</v>
      </c>
      <c r="C1007" s="29" t="s">
        <v>1120</v>
      </c>
      <c r="D1007" s="29" t="str">
        <f>VLOOKUP($C1007,청소코드!$C$4:$J$188,3,FALSE)</f>
        <v>더하임 203</v>
      </c>
      <c r="E1007" s="29">
        <f>VLOOKUP($C1007,청소코드!$C$4:$J$188,4,FALSE)</f>
        <v>1</v>
      </c>
      <c r="F1007" s="29" t="s">
        <v>426</v>
      </c>
      <c r="G1007" s="29"/>
      <c r="H1007" s="29"/>
      <c r="I1007" s="29" t="s">
        <v>431</v>
      </c>
      <c r="J1007" s="47">
        <f t="shared" si="62"/>
        <v>18000</v>
      </c>
      <c r="K1007" s="29">
        <f>VLOOKUP($C1007,청소코드!$C$4:$J$188,8,FALSE)</f>
        <v>18000</v>
      </c>
      <c r="L1007" s="32"/>
      <c r="M1007" s="31"/>
      <c r="N1007" s="32"/>
      <c r="O1007" s="32"/>
    </row>
    <row r="1008" spans="1:15" customFormat="1" ht="12.75" customHeight="1">
      <c r="A1008" s="30">
        <v>46130</v>
      </c>
      <c r="B1008" s="29" t="str">
        <f t="shared" si="61"/>
        <v>토</v>
      </c>
      <c r="C1008" s="29" t="s">
        <v>1121</v>
      </c>
      <c r="D1008" s="29" t="str">
        <f>VLOOKUP($C1008,청소코드!$C$4:$J$188,3,FALSE)</f>
        <v>더하임 304</v>
      </c>
      <c r="E1008" s="29">
        <f>VLOOKUP($C1008,청소코드!$C$4:$J$188,4,FALSE)</f>
        <v>1</v>
      </c>
      <c r="F1008" s="29" t="s">
        <v>426</v>
      </c>
      <c r="G1008" s="29"/>
      <c r="H1008" s="29"/>
      <c r="I1008" s="29" t="s">
        <v>431</v>
      </c>
      <c r="J1008" s="47">
        <f t="shared" si="62"/>
        <v>18000</v>
      </c>
      <c r="K1008" s="29">
        <f>VLOOKUP($C1008,청소코드!$C$4:$J$188,8,FALSE)</f>
        <v>18000</v>
      </c>
      <c r="L1008" s="32"/>
      <c r="M1008" s="31"/>
      <c r="N1008" s="32"/>
      <c r="O1008" s="32"/>
    </row>
    <row r="1009" spans="1:15" customFormat="1" ht="12.75" customHeight="1">
      <c r="A1009" s="30">
        <v>46130</v>
      </c>
      <c r="B1009" s="29" t="str">
        <f t="shared" si="61"/>
        <v>토</v>
      </c>
      <c r="C1009" s="29" t="s">
        <v>1122</v>
      </c>
      <c r="D1009" s="29" t="str">
        <f>VLOOKUP($C1009,청소코드!$C$4:$J$188,3,FALSE)</f>
        <v>청광1차 1303</v>
      </c>
      <c r="E1009" s="29">
        <f>VLOOKUP($C1009,청소코드!$C$4:$J$188,4,FALSE)</f>
        <v>1</v>
      </c>
      <c r="F1009" s="29" t="s">
        <v>449</v>
      </c>
      <c r="G1009" s="29"/>
      <c r="H1009" s="29"/>
      <c r="I1009" s="29" t="s">
        <v>431</v>
      </c>
      <c r="J1009" s="47">
        <f t="shared" si="62"/>
        <v>18000</v>
      </c>
      <c r="K1009" s="29">
        <f>VLOOKUP($C1009,청소코드!$C$4:$J$188,8,FALSE)</f>
        <v>18000</v>
      </c>
      <c r="L1009" s="32"/>
      <c r="M1009" s="31"/>
      <c r="N1009" s="32"/>
      <c r="O1009" s="32"/>
    </row>
    <row r="1010" spans="1:15" customFormat="1" ht="12.75" customHeight="1">
      <c r="A1010" s="30">
        <v>46130</v>
      </c>
      <c r="B1010" s="29" t="str">
        <f t="shared" si="61"/>
        <v>토</v>
      </c>
      <c r="C1010" s="29" t="s">
        <v>1123</v>
      </c>
      <c r="D1010" s="29" t="str">
        <f>VLOOKUP($C1010,청소코드!$C$4:$J$188,3,FALSE)</f>
        <v>청광3차 1416</v>
      </c>
      <c r="E1010" s="29">
        <f>VLOOKUP($C1010,청소코드!$C$4:$J$188,4,FALSE)</f>
        <v>1</v>
      </c>
      <c r="F1010" s="29" t="s">
        <v>449</v>
      </c>
      <c r="G1010" s="29"/>
      <c r="H1010" s="29"/>
      <c r="I1010" s="29" t="s">
        <v>431</v>
      </c>
      <c r="J1010" s="47">
        <f t="shared" si="62"/>
        <v>18000</v>
      </c>
      <c r="K1010" s="29">
        <f>VLOOKUP($C1010,청소코드!$C$4:$J$188,8,FALSE)</f>
        <v>18000</v>
      </c>
      <c r="L1010" s="32"/>
      <c r="M1010" s="31"/>
      <c r="N1010" s="32"/>
      <c r="O1010" s="32"/>
    </row>
    <row r="1011" spans="1:15" customFormat="1" ht="12.75" customHeight="1">
      <c r="A1011" s="30">
        <v>46130</v>
      </c>
      <c r="B1011" s="29" t="str">
        <f t="shared" si="61"/>
        <v>토</v>
      </c>
      <c r="C1011" s="29" t="s">
        <v>1124</v>
      </c>
      <c r="D1011" s="29" t="str">
        <f>VLOOKUP($C1011,청소코드!$C$4:$J$188,3,FALSE)</f>
        <v>청광3차 1412</v>
      </c>
      <c r="E1011" s="29">
        <f>VLOOKUP($C1011,청소코드!$C$4:$J$188,4,FALSE)</f>
        <v>1</v>
      </c>
      <c r="F1011" s="29" t="s">
        <v>449</v>
      </c>
      <c r="G1011" s="29"/>
      <c r="H1011" s="29"/>
      <c r="I1011" s="29" t="s">
        <v>431</v>
      </c>
      <c r="J1011" s="47">
        <f t="shared" si="62"/>
        <v>18000</v>
      </c>
      <c r="K1011" s="29">
        <f>VLOOKUP($C1011,청소코드!$C$4:$J$188,8,FALSE)</f>
        <v>18000</v>
      </c>
      <c r="L1011" s="32"/>
      <c r="M1011" s="31"/>
      <c r="N1011" s="32"/>
      <c r="O1011" s="32"/>
    </row>
    <row r="1012" spans="1:15" customFormat="1" ht="12.75" customHeight="1">
      <c r="A1012" s="30">
        <v>46130</v>
      </c>
      <c r="B1012" s="29" t="str">
        <f t="shared" si="61"/>
        <v>토</v>
      </c>
      <c r="C1012" s="29" t="s">
        <v>1125</v>
      </c>
      <c r="D1012" s="29" t="str">
        <f>VLOOKUP($C1012,청소코드!$C$4:$J$188,3,FALSE)</f>
        <v>르센티 1801</v>
      </c>
      <c r="E1012" s="29" t="str">
        <f>VLOOKUP($C1012,청소코드!$C$4:$J$188,4,FALSE)</f>
        <v>복</v>
      </c>
      <c r="F1012" s="29" t="s">
        <v>1139</v>
      </c>
      <c r="G1012" s="29"/>
      <c r="H1012" s="29"/>
      <c r="I1012" s="29" t="s">
        <v>431</v>
      </c>
      <c r="J1012" s="47">
        <f t="shared" si="62"/>
        <v>20000</v>
      </c>
      <c r="K1012" s="29">
        <f>VLOOKUP($C1012,청소코드!$C$4:$J$188,8,FALSE)</f>
        <v>20000</v>
      </c>
      <c r="L1012" s="32"/>
      <c r="M1012" s="31"/>
      <c r="N1012" s="32"/>
      <c r="O1012" s="32"/>
    </row>
    <row r="1013" spans="1:15" customFormat="1" ht="12.75" customHeight="1">
      <c r="A1013" s="30">
        <v>46130</v>
      </c>
      <c r="B1013" s="29" t="str">
        <f t="shared" si="61"/>
        <v>토</v>
      </c>
      <c r="C1013" s="29" t="s">
        <v>1126</v>
      </c>
      <c r="D1013" s="29" t="str">
        <f>VLOOKUP($C1013,청소코드!$C$4:$J$188,3,FALSE)</f>
        <v>렘브 204</v>
      </c>
      <c r="E1013" s="29">
        <f>VLOOKUP($C1013,청소코드!$C$4:$J$188,4,FALSE)</f>
        <v>1</v>
      </c>
      <c r="F1013" s="29" t="s">
        <v>1139</v>
      </c>
      <c r="G1013" s="29"/>
      <c r="H1013" s="29"/>
      <c r="I1013" s="29" t="s">
        <v>431</v>
      </c>
      <c r="J1013" s="47">
        <f t="shared" si="62"/>
        <v>18000</v>
      </c>
      <c r="K1013" s="29">
        <f>VLOOKUP($C1013,청소코드!$C$4:$J$188,8,FALSE)</f>
        <v>18000</v>
      </c>
      <c r="L1013" s="32"/>
      <c r="M1013" s="31"/>
      <c r="N1013" s="32"/>
      <c r="O1013" s="32"/>
    </row>
    <row r="1014" spans="1:15" customFormat="1" ht="12.75" customHeight="1">
      <c r="A1014" s="30">
        <v>46130</v>
      </c>
      <c r="B1014" s="29" t="str">
        <f t="shared" si="61"/>
        <v>토</v>
      </c>
      <c r="C1014" s="29" t="s">
        <v>1127</v>
      </c>
      <c r="D1014" s="29" t="str">
        <f>VLOOKUP($C1014,청소코드!$C$4:$J$188,3,FALSE)</f>
        <v>동구햇살 1203</v>
      </c>
      <c r="E1014" s="29" t="str">
        <f>VLOOKUP($C1014,청소코드!$C$4:$J$188,4,FALSE)</f>
        <v>복</v>
      </c>
      <c r="F1014" s="29" t="s">
        <v>1139</v>
      </c>
      <c r="G1014" s="29"/>
      <c r="H1014" s="29"/>
      <c r="I1014" s="29" t="s">
        <v>431</v>
      </c>
      <c r="J1014" s="47">
        <f t="shared" si="62"/>
        <v>20000</v>
      </c>
      <c r="K1014" s="29">
        <f>VLOOKUP($C1014,청소코드!$C$4:$J$188,8,FALSE)</f>
        <v>20000</v>
      </c>
      <c r="L1014" s="32"/>
      <c r="M1014" s="31"/>
      <c r="N1014" s="32"/>
      <c r="O1014" s="32"/>
    </row>
    <row r="1015" spans="1:15" customFormat="1" ht="12.75" customHeight="1">
      <c r="A1015" s="30">
        <v>46130</v>
      </c>
      <c r="B1015" s="29" t="str">
        <f t="shared" si="61"/>
        <v>토</v>
      </c>
      <c r="C1015" s="29" t="s">
        <v>1128</v>
      </c>
      <c r="D1015" s="29" t="str">
        <f>VLOOKUP($C1015,청소코드!$C$4:$J$188,3,FALSE)</f>
        <v>센텀 2차 406</v>
      </c>
      <c r="E1015" s="29">
        <f>VLOOKUP($C1015,청소코드!$C$4:$J$188,4,FALSE)</f>
        <v>1.5</v>
      </c>
      <c r="F1015" s="29" t="s">
        <v>426</v>
      </c>
      <c r="G1015" s="29"/>
      <c r="H1015" s="29"/>
      <c r="I1015" s="29" t="s">
        <v>431</v>
      </c>
      <c r="J1015" s="47">
        <f t="shared" si="62"/>
        <v>20000</v>
      </c>
      <c r="K1015" s="29">
        <f>VLOOKUP($C1015,청소코드!$C$4:$J$188,8,FALSE)</f>
        <v>20000</v>
      </c>
      <c r="L1015" s="32"/>
      <c r="M1015" s="31"/>
      <c r="N1015" s="32"/>
      <c r="O1015" s="32"/>
    </row>
    <row r="1016" spans="1:15" customFormat="1" ht="12.75" customHeight="1">
      <c r="A1016" s="30">
        <v>46130</v>
      </c>
      <c r="B1016" s="29" t="str">
        <f t="shared" si="61"/>
        <v>토</v>
      </c>
      <c r="C1016" s="29" t="s">
        <v>1129</v>
      </c>
      <c r="D1016" s="29" t="str">
        <f>VLOOKUP($C1016,청소코드!$C$4:$J$188,3,FALSE)</f>
        <v>성우 304</v>
      </c>
      <c r="E1016" s="29">
        <f>VLOOKUP($C1016,청소코드!$C$4:$J$188,4,FALSE)</f>
        <v>2</v>
      </c>
      <c r="F1016" s="29" t="s">
        <v>1140</v>
      </c>
      <c r="G1016" s="29"/>
      <c r="H1016" s="29"/>
      <c r="I1016" s="29" t="s">
        <v>431</v>
      </c>
      <c r="J1016" s="47">
        <f t="shared" si="62"/>
        <v>23000</v>
      </c>
      <c r="K1016" s="29">
        <f>VLOOKUP($C1016,청소코드!$C$4:$J$188,8,FALSE)</f>
        <v>23000</v>
      </c>
      <c r="L1016" s="32"/>
      <c r="M1016" s="31"/>
      <c r="N1016" s="32"/>
      <c r="O1016" s="32"/>
    </row>
    <row r="1017" spans="1:15" customFormat="1" ht="12.75" customHeight="1">
      <c r="A1017" s="30">
        <v>46130</v>
      </c>
      <c r="B1017" s="29" t="str">
        <f t="shared" ref="B1017:B1048" si="63">TEXT(A1017,"aaa")</f>
        <v>토</v>
      </c>
      <c r="C1017" s="29" t="s">
        <v>1130</v>
      </c>
      <c r="D1017" s="29" t="str">
        <f>VLOOKUP($C1017,청소코드!$C$4:$J$188,3,FALSE)</f>
        <v>성우 803</v>
      </c>
      <c r="E1017" s="29">
        <f>VLOOKUP($C1017,청소코드!$C$4:$J$188,4,FALSE)</f>
        <v>3</v>
      </c>
      <c r="F1017" s="29" t="s">
        <v>1140</v>
      </c>
      <c r="G1017" s="29"/>
      <c r="H1017" s="29"/>
      <c r="I1017" s="29" t="s">
        <v>431</v>
      </c>
      <c r="J1017" s="47">
        <f t="shared" ref="J1017:J1048" si="64">SUM(K1017:O1017)</f>
        <v>30000</v>
      </c>
      <c r="K1017" s="29">
        <f>VLOOKUP($C1017,청소코드!$C$4:$J$188,8,FALSE)</f>
        <v>30000</v>
      </c>
      <c r="L1017" s="32"/>
      <c r="M1017" s="31"/>
      <c r="N1017" s="32"/>
      <c r="O1017" s="32"/>
    </row>
    <row r="1018" spans="1:15" customFormat="1" ht="12.75" customHeight="1">
      <c r="A1018" s="30">
        <v>46130</v>
      </c>
      <c r="B1018" s="29" t="str">
        <f t="shared" si="63"/>
        <v>토</v>
      </c>
      <c r="C1018" s="29" t="s">
        <v>1131</v>
      </c>
      <c r="D1018" s="29" t="str">
        <f>VLOOKUP($C1018,청소코드!$C$4:$J$188,3,FALSE)</f>
        <v>오금스타 205</v>
      </c>
      <c r="E1018" s="29">
        <f>VLOOKUP($C1018,청소코드!$C$4:$J$188,4,FALSE)</f>
        <v>1</v>
      </c>
      <c r="F1018" s="29" t="s">
        <v>1141</v>
      </c>
      <c r="G1018" s="29"/>
      <c r="H1018" s="29"/>
      <c r="I1018" s="29" t="s">
        <v>431</v>
      </c>
      <c r="J1018" s="47">
        <f t="shared" si="64"/>
        <v>20000</v>
      </c>
      <c r="K1018" s="29">
        <f>VLOOKUP($C1018,청소코드!$C$4:$J$188,8,FALSE)</f>
        <v>18000</v>
      </c>
      <c r="L1018" s="32">
        <v>2000</v>
      </c>
      <c r="M1018" s="31"/>
      <c r="N1018" s="32"/>
      <c r="O1018" s="32"/>
    </row>
    <row r="1019" spans="1:15" customFormat="1" ht="12.75" customHeight="1">
      <c r="A1019" s="30">
        <v>46130</v>
      </c>
      <c r="B1019" s="29" t="str">
        <f t="shared" si="63"/>
        <v>토</v>
      </c>
      <c r="C1019" s="29" t="s">
        <v>1132</v>
      </c>
      <c r="D1019" s="29" t="str">
        <f>VLOOKUP($C1019,청소코드!$C$4:$J$188,3,FALSE)</f>
        <v>하람휴 1001</v>
      </c>
      <c r="E1019" s="29">
        <f>VLOOKUP($C1019,청소코드!$C$4:$J$188,4,FALSE)</f>
        <v>2</v>
      </c>
      <c r="F1019" s="29" t="s">
        <v>1142</v>
      </c>
      <c r="G1019" s="29"/>
      <c r="H1019" s="29"/>
      <c r="I1019" s="29" t="s">
        <v>431</v>
      </c>
      <c r="J1019" s="47">
        <f t="shared" si="64"/>
        <v>23000</v>
      </c>
      <c r="K1019" s="29">
        <f>VLOOKUP($C1019,청소코드!$C$4:$J$188,8,FALSE)</f>
        <v>23000</v>
      </c>
      <c r="L1019" s="32"/>
      <c r="M1019" s="31"/>
      <c r="N1019" s="32"/>
      <c r="O1019" s="32"/>
    </row>
    <row r="1020" spans="1:15" customFormat="1" ht="12.75" customHeight="1">
      <c r="A1020" s="30">
        <v>46130</v>
      </c>
      <c r="B1020" s="29" t="str">
        <f t="shared" si="63"/>
        <v>토</v>
      </c>
      <c r="C1020" s="29" t="s">
        <v>1133</v>
      </c>
      <c r="D1020" s="29" t="str">
        <f>VLOOKUP($C1020,청소코드!$C$4:$J$188,3,FALSE)</f>
        <v>대치동 101호</v>
      </c>
      <c r="E1020" s="29">
        <f>VLOOKUP($C1020,청소코드!$C$4:$J$188,4,FALSE)</f>
        <v>2</v>
      </c>
      <c r="F1020" s="29" t="s">
        <v>1143</v>
      </c>
      <c r="G1020" s="29"/>
      <c r="H1020" s="29"/>
      <c r="I1020" s="29" t="s">
        <v>431</v>
      </c>
      <c r="J1020" s="47">
        <f t="shared" si="64"/>
        <v>23000</v>
      </c>
      <c r="K1020" s="29">
        <f>VLOOKUP($C1020,청소코드!$C$4:$J$188,8,FALSE)</f>
        <v>23000</v>
      </c>
      <c r="L1020" s="32"/>
      <c r="M1020" s="31"/>
      <c r="N1020" s="32"/>
      <c r="O1020" s="32"/>
    </row>
    <row r="1021" spans="1:15" customFormat="1" ht="12.75" customHeight="1">
      <c r="A1021" s="30">
        <v>46130</v>
      </c>
      <c r="B1021" s="29" t="str">
        <f t="shared" si="63"/>
        <v>토</v>
      </c>
      <c r="C1021" s="29" t="s">
        <v>1134</v>
      </c>
      <c r="D1021" s="29" t="str">
        <f>VLOOKUP($C1021,청소코드!$C$4:$J$188,3,FALSE)</f>
        <v>대치동 103호</v>
      </c>
      <c r="E1021" s="29">
        <f>VLOOKUP($C1021,청소코드!$C$4:$J$188,4,FALSE)</f>
        <v>1.5</v>
      </c>
      <c r="F1021" s="29" t="s">
        <v>1143</v>
      </c>
      <c r="G1021" s="29"/>
      <c r="H1021" s="29"/>
      <c r="I1021" s="29" t="s">
        <v>431</v>
      </c>
      <c r="J1021" s="47">
        <f t="shared" si="64"/>
        <v>24000</v>
      </c>
      <c r="K1021" s="29">
        <f>VLOOKUP($C1021,청소코드!$C$4:$J$188,8,FALSE)</f>
        <v>20000</v>
      </c>
      <c r="L1021" s="32"/>
      <c r="M1021" s="31"/>
      <c r="N1021" s="32">
        <v>4000</v>
      </c>
      <c r="O1021" s="32"/>
    </row>
    <row r="1022" spans="1:15" customFormat="1" ht="12.75" customHeight="1">
      <c r="A1022" s="30">
        <v>46130</v>
      </c>
      <c r="B1022" s="29" t="str">
        <f t="shared" si="63"/>
        <v>토</v>
      </c>
      <c r="C1022" s="29" t="s">
        <v>1135</v>
      </c>
      <c r="D1022" s="29" t="str">
        <f>VLOOKUP($C1022,청소코드!$C$4:$J$188,3,FALSE)</f>
        <v>예건 702</v>
      </c>
      <c r="E1022" s="29">
        <f>VLOOKUP($C1022,청소코드!$C$4:$J$188,4,FALSE)</f>
        <v>1</v>
      </c>
      <c r="F1022" s="29" t="s">
        <v>1140</v>
      </c>
      <c r="G1022" s="29"/>
      <c r="H1022" s="29"/>
      <c r="I1022" s="29" t="s">
        <v>431</v>
      </c>
      <c r="J1022" s="47">
        <f t="shared" si="64"/>
        <v>18000</v>
      </c>
      <c r="K1022" s="29">
        <f>VLOOKUP($C1022,청소코드!$C$4:$J$188,8,FALSE)</f>
        <v>18000</v>
      </c>
      <c r="L1022" s="32"/>
      <c r="M1022" s="31"/>
      <c r="O1022" s="32"/>
    </row>
    <row r="1023" spans="1:15" customFormat="1" ht="12.75" customHeight="1">
      <c r="A1023" s="30">
        <v>46130</v>
      </c>
      <c r="B1023" s="29" t="str">
        <f t="shared" si="63"/>
        <v>토</v>
      </c>
      <c r="C1023" s="29" t="s">
        <v>1136</v>
      </c>
      <c r="D1023" s="29" t="str">
        <f>VLOOKUP($C1023,청소코드!$C$4:$J$188,3,FALSE)</f>
        <v>청광1차 207</v>
      </c>
      <c r="E1023" s="29">
        <f>VLOOKUP($C1023,청소코드!$C$4:$J$188,4,FALSE)</f>
        <v>0</v>
      </c>
      <c r="F1023" s="29" t="s">
        <v>426</v>
      </c>
      <c r="G1023" s="29"/>
      <c r="H1023" s="29"/>
      <c r="I1023" s="29" t="s">
        <v>431</v>
      </c>
      <c r="J1023" s="47">
        <f t="shared" si="64"/>
        <v>10000</v>
      </c>
      <c r="K1023" s="29">
        <f>VLOOKUP($C1023,청소코드!$C$4:$J$188,8,FALSE)</f>
        <v>10000</v>
      </c>
      <c r="L1023" s="32"/>
      <c r="M1023" s="31"/>
      <c r="N1023" s="32"/>
      <c r="O1023" s="32"/>
    </row>
    <row r="1024" spans="1:15" customFormat="1" ht="12.75" customHeight="1">
      <c r="A1024" s="49">
        <v>46131</v>
      </c>
      <c r="B1024" s="50" t="str">
        <f t="shared" si="63"/>
        <v>일</v>
      </c>
      <c r="C1024" s="29" t="s">
        <v>1151</v>
      </c>
      <c r="D1024" s="29" t="str">
        <f>VLOOKUP($C1024,청소코드!$C$4:$J$188,3,FALSE)</f>
        <v>은성 603</v>
      </c>
      <c r="E1024" s="29">
        <f>VLOOKUP($C1024,청소코드!$C$4:$J$188,4,FALSE)</f>
        <v>1</v>
      </c>
      <c r="F1024" s="29" t="s">
        <v>426</v>
      </c>
      <c r="G1024" s="29"/>
      <c r="H1024" s="29"/>
      <c r="I1024" s="29" t="s">
        <v>1179</v>
      </c>
      <c r="J1024" s="47">
        <f t="shared" si="64"/>
        <v>18000</v>
      </c>
      <c r="K1024" s="29">
        <f>VLOOKUP($C1024,청소코드!$C$4:$J$188,8,FALSE)</f>
        <v>18000</v>
      </c>
      <c r="L1024" s="32"/>
      <c r="M1024" s="31"/>
      <c r="N1024" s="32"/>
      <c r="O1024" s="32"/>
    </row>
    <row r="1025" spans="1:15" customFormat="1" ht="12.75" customHeight="1">
      <c r="A1025" s="30">
        <v>46131</v>
      </c>
      <c r="B1025" s="29" t="str">
        <f t="shared" si="63"/>
        <v>일</v>
      </c>
      <c r="C1025" s="29" t="s">
        <v>1152</v>
      </c>
      <c r="D1025" s="29" t="str">
        <f>VLOOKUP($C1025,청소코드!$C$4:$J$188,3,FALSE)</f>
        <v>예건 205</v>
      </c>
      <c r="E1025" s="29">
        <f>VLOOKUP($C1025,청소코드!$C$4:$J$188,4,FALSE)</f>
        <v>1</v>
      </c>
      <c r="F1025" s="29" t="s">
        <v>426</v>
      </c>
      <c r="G1025" s="29"/>
      <c r="H1025" s="29"/>
      <c r="I1025" s="29" t="s">
        <v>431</v>
      </c>
      <c r="J1025" s="47">
        <f t="shared" si="64"/>
        <v>18000</v>
      </c>
      <c r="K1025" s="29">
        <f>VLOOKUP($C1025,청소코드!$C$4:$J$188,8,FALSE)</f>
        <v>18000</v>
      </c>
      <c r="L1025" s="32"/>
      <c r="M1025" s="31"/>
      <c r="N1025" s="32"/>
      <c r="O1025" s="32"/>
    </row>
    <row r="1026" spans="1:15" customFormat="1" ht="12.75" customHeight="1">
      <c r="A1026" s="30">
        <v>46131</v>
      </c>
      <c r="B1026" s="29" t="str">
        <f t="shared" si="63"/>
        <v>일</v>
      </c>
      <c r="C1026" s="29" t="s">
        <v>1153</v>
      </c>
      <c r="D1026" s="29" t="str">
        <f>VLOOKUP($C1026,청소코드!$C$4:$J$188,3,FALSE)</f>
        <v>예건 303</v>
      </c>
      <c r="E1026" s="29">
        <f>VLOOKUP($C1026,청소코드!$C$4:$J$188,4,FALSE)</f>
        <v>2</v>
      </c>
      <c r="F1026" s="29" t="s">
        <v>426</v>
      </c>
      <c r="G1026" s="29"/>
      <c r="H1026" s="29"/>
      <c r="I1026" s="29" t="s">
        <v>431</v>
      </c>
      <c r="J1026" s="47">
        <f t="shared" si="64"/>
        <v>23000</v>
      </c>
      <c r="K1026" s="29">
        <f>VLOOKUP($C1026,청소코드!$C$4:$J$188,8,FALSE)</f>
        <v>23000</v>
      </c>
      <c r="L1026" s="32"/>
      <c r="M1026" s="31"/>
      <c r="N1026" s="32"/>
      <c r="O1026" s="32"/>
    </row>
    <row r="1027" spans="1:15" customFormat="1" ht="12.75" customHeight="1">
      <c r="A1027" s="30">
        <v>46131</v>
      </c>
      <c r="B1027" s="29" t="str">
        <f t="shared" si="63"/>
        <v>일</v>
      </c>
      <c r="C1027" s="29" t="s">
        <v>1154</v>
      </c>
      <c r="D1027" s="29" t="str">
        <f>VLOOKUP($C1027,청소코드!$C$4:$J$188,3,FALSE)</f>
        <v>성우 204</v>
      </c>
      <c r="E1027" s="29">
        <f>VLOOKUP($C1027,청소코드!$C$4:$J$188,4,FALSE)</f>
        <v>2</v>
      </c>
      <c r="F1027" s="29" t="s">
        <v>438</v>
      </c>
      <c r="G1027" s="29"/>
      <c r="H1027" s="29"/>
      <c r="I1027" s="29" t="s">
        <v>431</v>
      </c>
      <c r="J1027" s="47">
        <f t="shared" si="64"/>
        <v>23000</v>
      </c>
      <c r="K1027" s="29">
        <f>VLOOKUP($C1027,청소코드!$C$4:$J$188,8,FALSE)</f>
        <v>23000</v>
      </c>
      <c r="L1027" s="32"/>
      <c r="M1027" s="31"/>
      <c r="N1027" s="32"/>
      <c r="O1027" s="32"/>
    </row>
    <row r="1028" spans="1:15" customFormat="1" ht="12.75" customHeight="1">
      <c r="A1028" s="30">
        <v>46131</v>
      </c>
      <c r="B1028" s="29" t="str">
        <f t="shared" si="63"/>
        <v>일</v>
      </c>
      <c r="C1028" s="29" t="s">
        <v>1155</v>
      </c>
      <c r="D1028" s="29" t="str">
        <f>VLOOKUP($C1028,청소코드!$C$4:$J$188,3,FALSE)</f>
        <v>성우 304</v>
      </c>
      <c r="E1028" s="29">
        <f>VLOOKUP($C1028,청소코드!$C$4:$J$188,4,FALSE)</f>
        <v>2</v>
      </c>
      <c r="F1028" s="29" t="s">
        <v>438</v>
      </c>
      <c r="G1028" s="29"/>
      <c r="H1028" s="29"/>
      <c r="I1028" s="29" t="s">
        <v>431</v>
      </c>
      <c r="J1028" s="47">
        <f t="shared" si="64"/>
        <v>23000</v>
      </c>
      <c r="K1028" s="29">
        <f>VLOOKUP($C1028,청소코드!$C$4:$J$188,8,FALSE)</f>
        <v>23000</v>
      </c>
      <c r="L1028" s="32"/>
      <c r="M1028" s="31"/>
      <c r="N1028" s="32"/>
      <c r="O1028" s="32"/>
    </row>
    <row r="1029" spans="1:15" customFormat="1" ht="12.75" customHeight="1">
      <c r="A1029" s="30">
        <v>46131</v>
      </c>
      <c r="B1029" s="29" t="str">
        <f t="shared" si="63"/>
        <v>일</v>
      </c>
      <c r="C1029" s="29" t="s">
        <v>1156</v>
      </c>
      <c r="D1029" s="29" t="str">
        <f>VLOOKUP($C1029,청소코드!$C$4:$J$188,3,FALSE)</f>
        <v>성우 803</v>
      </c>
      <c r="E1029" s="29">
        <f>VLOOKUP($C1029,청소코드!$C$4:$J$188,4,FALSE)</f>
        <v>3</v>
      </c>
      <c r="F1029" s="29" t="s">
        <v>438</v>
      </c>
      <c r="G1029" s="29"/>
      <c r="H1029" s="29"/>
      <c r="I1029" s="29" t="s">
        <v>431</v>
      </c>
      <c r="J1029" s="47">
        <f t="shared" si="64"/>
        <v>30000</v>
      </c>
      <c r="K1029" s="29">
        <f>VLOOKUP($C1029,청소코드!$C$4:$J$188,8,FALSE)</f>
        <v>30000</v>
      </c>
      <c r="L1029" s="32"/>
      <c r="M1029" s="31"/>
      <c r="N1029" s="32"/>
      <c r="O1029" s="32"/>
    </row>
    <row r="1030" spans="1:15" customFormat="1" ht="12.75" customHeight="1">
      <c r="A1030" s="30">
        <v>46131</v>
      </c>
      <c r="B1030" s="29" t="str">
        <f t="shared" si="63"/>
        <v>일</v>
      </c>
      <c r="C1030" s="29" t="s">
        <v>1157</v>
      </c>
      <c r="D1030" s="29" t="str">
        <f>VLOOKUP($C1030,청소코드!$C$4:$J$188,3,FALSE)</f>
        <v>청광1차 1303</v>
      </c>
      <c r="E1030" s="29">
        <f>VLOOKUP($C1030,청소코드!$C$4:$J$188,4,FALSE)</f>
        <v>1</v>
      </c>
      <c r="F1030" s="29" t="s">
        <v>449</v>
      </c>
      <c r="G1030" s="29"/>
      <c r="H1030" s="29"/>
      <c r="I1030" s="29" t="s">
        <v>431</v>
      </c>
      <c r="J1030" s="47">
        <f t="shared" si="64"/>
        <v>18000</v>
      </c>
      <c r="K1030" s="29">
        <f>VLOOKUP($C1030,청소코드!$C$4:$J$188,8,FALSE)</f>
        <v>18000</v>
      </c>
      <c r="L1030" s="32"/>
      <c r="M1030" s="31"/>
      <c r="N1030" s="32"/>
      <c r="O1030" s="32"/>
    </row>
    <row r="1031" spans="1:15" customFormat="1" ht="12.75" customHeight="1">
      <c r="A1031" s="30">
        <v>46131</v>
      </c>
      <c r="B1031" s="29" t="str">
        <f t="shared" si="63"/>
        <v>일</v>
      </c>
      <c r="C1031" s="29" t="s">
        <v>1158</v>
      </c>
      <c r="D1031" s="29" t="str">
        <f>VLOOKUP($C1031,청소코드!$C$4:$J$188,3,FALSE)</f>
        <v>더하임 1003</v>
      </c>
      <c r="E1031" s="29">
        <f>VLOOKUP($C1031,청소코드!$C$4:$J$188,4,FALSE)</f>
        <v>1</v>
      </c>
      <c r="F1031" s="29" t="s">
        <v>449</v>
      </c>
      <c r="G1031" s="29"/>
      <c r="H1031" s="29"/>
      <c r="I1031" s="29" t="s">
        <v>431</v>
      </c>
      <c r="J1031" s="47">
        <f t="shared" si="64"/>
        <v>18000</v>
      </c>
      <c r="K1031" s="29">
        <f>VLOOKUP($C1031,청소코드!$C$4:$J$188,8,FALSE)</f>
        <v>18000</v>
      </c>
      <c r="L1031" s="32"/>
      <c r="M1031" s="31"/>
      <c r="N1031" s="32"/>
      <c r="O1031" s="32"/>
    </row>
    <row r="1032" spans="1:15" customFormat="1" ht="12.75" customHeight="1">
      <c r="A1032" s="30">
        <v>46131</v>
      </c>
      <c r="B1032" s="29" t="str">
        <f t="shared" si="63"/>
        <v>일</v>
      </c>
      <c r="C1032" s="29" t="s">
        <v>1159</v>
      </c>
      <c r="D1032" s="29" t="str">
        <f>VLOOKUP($C1032,청소코드!$C$4:$J$188,3,FALSE)</f>
        <v>더하임 1005</v>
      </c>
      <c r="E1032" s="29">
        <f>VLOOKUP($C1032,청소코드!$C$4:$J$188,4,FALSE)</f>
        <v>1</v>
      </c>
      <c r="F1032" s="29" t="s">
        <v>449</v>
      </c>
      <c r="G1032" s="29"/>
      <c r="H1032" s="29"/>
      <c r="I1032" s="29" t="s">
        <v>431</v>
      </c>
      <c r="J1032" s="47">
        <f t="shared" si="64"/>
        <v>18000</v>
      </c>
      <c r="K1032" s="29">
        <f>VLOOKUP($C1032,청소코드!$C$4:$J$188,8,FALSE)</f>
        <v>18000</v>
      </c>
      <c r="L1032" s="32"/>
      <c r="M1032" s="31"/>
      <c r="N1032" s="32"/>
      <c r="O1032" s="32"/>
    </row>
    <row r="1033" spans="1:15" customFormat="1" ht="12.75" customHeight="1">
      <c r="A1033" s="30">
        <v>46131</v>
      </c>
      <c r="B1033" s="29" t="str">
        <f t="shared" si="63"/>
        <v>일</v>
      </c>
      <c r="C1033" s="29" t="s">
        <v>1160</v>
      </c>
      <c r="D1033" s="29" t="str">
        <f>VLOOKUP($C1033,청소코드!$C$4:$J$188,3,FALSE)</f>
        <v>센텀 2차 406</v>
      </c>
      <c r="E1033" s="29">
        <f>VLOOKUP($C1033,청소코드!$C$4:$J$188,4,FALSE)</f>
        <v>1.5</v>
      </c>
      <c r="F1033" s="29" t="s">
        <v>1173</v>
      </c>
      <c r="G1033" s="29"/>
      <c r="H1033" s="29"/>
      <c r="I1033" s="29" t="s">
        <v>431</v>
      </c>
      <c r="J1033" s="47">
        <f t="shared" si="64"/>
        <v>20000</v>
      </c>
      <c r="K1033" s="29">
        <f>VLOOKUP($C1033,청소코드!$C$4:$J$188,8,FALSE)</f>
        <v>20000</v>
      </c>
      <c r="L1033" s="32"/>
      <c r="M1033" s="31"/>
      <c r="N1033" s="32"/>
      <c r="O1033" s="32"/>
    </row>
    <row r="1034" spans="1:15" customFormat="1" ht="12.75" customHeight="1">
      <c r="A1034" s="30">
        <v>46131</v>
      </c>
      <c r="B1034" s="29" t="str">
        <f t="shared" si="63"/>
        <v>일</v>
      </c>
      <c r="C1034" s="29" t="s">
        <v>1161</v>
      </c>
      <c r="D1034" s="29" t="str">
        <f>VLOOKUP($C1034,청소코드!$C$4:$J$188,3,FALSE)</f>
        <v>렘브 204</v>
      </c>
      <c r="E1034" s="29">
        <f>VLOOKUP($C1034,청소코드!$C$4:$J$188,4,FALSE)</f>
        <v>1</v>
      </c>
      <c r="F1034" s="29" t="s">
        <v>1173</v>
      </c>
      <c r="G1034" s="29"/>
      <c r="H1034" s="29"/>
      <c r="I1034" s="29" t="s">
        <v>431</v>
      </c>
      <c r="J1034" s="47">
        <f t="shared" si="64"/>
        <v>18000</v>
      </c>
      <c r="K1034" s="29">
        <f>VLOOKUP($C1034,청소코드!$C$4:$J$188,8,FALSE)</f>
        <v>18000</v>
      </c>
      <c r="L1034" s="32"/>
      <c r="M1034" s="31"/>
      <c r="N1034" s="32"/>
      <c r="O1034" s="32"/>
    </row>
    <row r="1035" spans="1:15" customFormat="1" ht="12.75" customHeight="1">
      <c r="A1035" s="30">
        <v>46131</v>
      </c>
      <c r="B1035" s="29" t="str">
        <f t="shared" si="63"/>
        <v>일</v>
      </c>
      <c r="C1035" s="29" t="s">
        <v>1162</v>
      </c>
      <c r="D1035" s="29" t="str">
        <f>VLOOKUP($C1035,청소코드!$C$4:$J$188,3,FALSE)</f>
        <v>동구햇살 1203</v>
      </c>
      <c r="E1035" s="29" t="str">
        <f>VLOOKUP($C1035,청소코드!$C$4:$J$188,4,FALSE)</f>
        <v>복</v>
      </c>
      <c r="F1035" s="29" t="s">
        <v>1173</v>
      </c>
      <c r="G1035" s="29"/>
      <c r="H1035" s="29"/>
      <c r="I1035" s="29" t="s">
        <v>431</v>
      </c>
      <c r="J1035" s="47">
        <f t="shared" si="64"/>
        <v>20000</v>
      </c>
      <c r="K1035" s="29">
        <f>VLOOKUP($C1035,청소코드!$C$4:$J$188,8,FALSE)</f>
        <v>20000</v>
      </c>
      <c r="L1035" s="32"/>
      <c r="M1035" s="31"/>
      <c r="N1035" s="32"/>
      <c r="O1035" s="32"/>
    </row>
    <row r="1036" spans="1:15" customFormat="1" ht="12.75" customHeight="1">
      <c r="A1036" s="30">
        <v>46131</v>
      </c>
      <c r="B1036" s="29" t="str">
        <f t="shared" si="63"/>
        <v>일</v>
      </c>
      <c r="C1036" s="29" t="s">
        <v>1163</v>
      </c>
      <c r="D1036" s="29" t="str">
        <f>VLOOKUP($C1036,청소코드!$C$4:$J$188,3,FALSE)</f>
        <v>더하임 204</v>
      </c>
      <c r="E1036" s="29">
        <f>VLOOKUP($C1036,청소코드!$C$4:$J$188,4,FALSE)</f>
        <v>1</v>
      </c>
      <c r="F1036" s="29" t="s">
        <v>1173</v>
      </c>
      <c r="G1036" s="29"/>
      <c r="H1036" s="29"/>
      <c r="I1036" s="29" t="s">
        <v>1179</v>
      </c>
      <c r="J1036" s="47">
        <f t="shared" si="64"/>
        <v>18000</v>
      </c>
      <c r="K1036" s="29">
        <f>VLOOKUP($C1036,청소코드!$C$4:$J$188,8,FALSE)</f>
        <v>18000</v>
      </c>
      <c r="L1036" s="32"/>
      <c r="M1036" s="31"/>
      <c r="N1036" s="32"/>
      <c r="O1036" s="32"/>
    </row>
    <row r="1037" spans="1:15" customFormat="1" ht="12.75" customHeight="1">
      <c r="A1037" s="30">
        <v>46131</v>
      </c>
      <c r="B1037" s="29" t="str">
        <f t="shared" si="63"/>
        <v>일</v>
      </c>
      <c r="C1037" s="29" t="s">
        <v>1164</v>
      </c>
      <c r="D1037" s="29" t="str">
        <f>VLOOKUP($C1037,청소코드!$C$4:$J$188,3,FALSE)</f>
        <v>더하임 304</v>
      </c>
      <c r="E1037" s="29">
        <f>VLOOKUP($C1037,청소코드!$C$4:$J$188,4,FALSE)</f>
        <v>1</v>
      </c>
      <c r="F1037" s="29" t="s">
        <v>1173</v>
      </c>
      <c r="G1037" s="29"/>
      <c r="H1037" s="29"/>
      <c r="I1037" s="29" t="s">
        <v>431</v>
      </c>
      <c r="J1037" s="47">
        <f t="shared" si="64"/>
        <v>18000</v>
      </c>
      <c r="K1037" s="29">
        <f>VLOOKUP($C1037,청소코드!$C$4:$J$188,8,FALSE)</f>
        <v>18000</v>
      </c>
      <c r="L1037" s="32"/>
      <c r="M1037" s="31"/>
      <c r="N1037" s="32"/>
      <c r="O1037" s="32"/>
    </row>
    <row r="1038" spans="1:15" customFormat="1" ht="12.75" customHeight="1">
      <c r="A1038" s="30">
        <v>46131</v>
      </c>
      <c r="B1038" s="29" t="str">
        <f t="shared" si="63"/>
        <v>일</v>
      </c>
      <c r="C1038" s="29" t="s">
        <v>1165</v>
      </c>
      <c r="D1038" s="29" t="str">
        <f>VLOOKUP($C1038,청소코드!$C$4:$J$188,3,FALSE)</f>
        <v>청광3차 1416</v>
      </c>
      <c r="E1038" s="29">
        <f>VLOOKUP($C1038,청소코드!$C$4:$J$188,4,FALSE)</f>
        <v>1</v>
      </c>
      <c r="F1038" s="29" t="s">
        <v>1174</v>
      </c>
      <c r="G1038" s="29"/>
      <c r="H1038" s="29"/>
      <c r="I1038" s="29" t="s">
        <v>431</v>
      </c>
      <c r="J1038" s="47">
        <f t="shared" si="64"/>
        <v>18000</v>
      </c>
      <c r="K1038" s="29">
        <f>VLOOKUP($C1038,청소코드!$C$4:$J$188,8,FALSE)</f>
        <v>18000</v>
      </c>
      <c r="L1038" s="32"/>
      <c r="M1038" s="31"/>
      <c r="N1038" s="32"/>
      <c r="O1038" s="32"/>
    </row>
    <row r="1039" spans="1:15" customFormat="1" ht="12.75" customHeight="1">
      <c r="A1039" s="30">
        <v>46131</v>
      </c>
      <c r="B1039" s="29" t="str">
        <f t="shared" si="63"/>
        <v>일</v>
      </c>
      <c r="C1039" s="29" t="s">
        <v>1166</v>
      </c>
      <c r="D1039" s="29" t="str">
        <f>VLOOKUP($C1039,청소코드!$C$4:$J$188,3,FALSE)</f>
        <v>청광3차 806</v>
      </c>
      <c r="E1039" s="29">
        <f>VLOOKUP($C1039,청소코드!$C$4:$J$188,4,FALSE)</f>
        <v>1</v>
      </c>
      <c r="F1039" s="29" t="s">
        <v>1174</v>
      </c>
      <c r="G1039" s="29"/>
      <c r="H1039" s="29"/>
      <c r="I1039" s="29" t="s">
        <v>431</v>
      </c>
      <c r="J1039" s="47">
        <f t="shared" si="64"/>
        <v>18000</v>
      </c>
      <c r="K1039" s="29">
        <f>VLOOKUP($C1039,청소코드!$C$4:$J$188,8,FALSE)</f>
        <v>18000</v>
      </c>
      <c r="L1039" s="32"/>
      <c r="M1039" s="31"/>
      <c r="N1039" s="32"/>
      <c r="O1039" s="32"/>
    </row>
    <row r="1040" spans="1:15" customFormat="1" ht="12.75" customHeight="1">
      <c r="A1040" s="30">
        <v>46131</v>
      </c>
      <c r="B1040" s="29" t="str">
        <f t="shared" si="63"/>
        <v>일</v>
      </c>
      <c r="C1040" s="29" t="s">
        <v>1167</v>
      </c>
      <c r="D1040" s="29" t="str">
        <f>VLOOKUP($C1040,청소코드!$C$4:$J$188,3,FALSE)</f>
        <v>청광3차 1412</v>
      </c>
      <c r="E1040" s="29">
        <f>VLOOKUP($C1040,청소코드!$C$4:$J$188,4,FALSE)</f>
        <v>1</v>
      </c>
      <c r="F1040" s="29" t="s">
        <v>1174</v>
      </c>
      <c r="G1040" s="29"/>
      <c r="H1040" s="29"/>
      <c r="I1040" s="29" t="s">
        <v>431</v>
      </c>
      <c r="J1040" s="47">
        <f t="shared" si="64"/>
        <v>18000</v>
      </c>
      <c r="K1040" s="29">
        <f>VLOOKUP($C1040,청소코드!$C$4:$J$188,8,FALSE)</f>
        <v>18000</v>
      </c>
      <c r="L1040" s="32"/>
      <c r="M1040" s="31"/>
      <c r="N1040" s="32"/>
      <c r="O1040" s="32"/>
    </row>
    <row r="1041" spans="1:15" customFormat="1" ht="12.75" customHeight="1">
      <c r="A1041" s="30">
        <v>46131</v>
      </c>
      <c r="B1041" s="29" t="str">
        <f t="shared" si="63"/>
        <v>일</v>
      </c>
      <c r="C1041" s="29" t="s">
        <v>1168</v>
      </c>
      <c r="D1041" s="29" t="str">
        <f>VLOOKUP($C1041,청소코드!$C$4:$J$188,3,FALSE)</f>
        <v>오금스타 205</v>
      </c>
      <c r="E1041" s="29">
        <f>VLOOKUP($C1041,청소코드!$C$4:$J$188,4,FALSE)</f>
        <v>1</v>
      </c>
      <c r="F1041" s="29" t="s">
        <v>1175</v>
      </c>
      <c r="G1041" s="29"/>
      <c r="H1041" s="29"/>
      <c r="I1041" s="29" t="s">
        <v>431</v>
      </c>
      <c r="J1041" s="47">
        <f t="shared" si="64"/>
        <v>20000</v>
      </c>
      <c r="K1041" s="29">
        <f>VLOOKUP($C1041,청소코드!$C$4:$J$188,8,FALSE)</f>
        <v>18000</v>
      </c>
      <c r="L1041" s="32">
        <v>2000</v>
      </c>
      <c r="M1041" s="31"/>
      <c r="N1041" s="32"/>
      <c r="O1041" s="32"/>
    </row>
    <row r="1042" spans="1:15" customFormat="1" ht="12.75" customHeight="1">
      <c r="A1042" s="30">
        <v>46131</v>
      </c>
      <c r="B1042" s="29" t="str">
        <f t="shared" si="63"/>
        <v>일</v>
      </c>
      <c r="C1042" s="29" t="s">
        <v>1169</v>
      </c>
      <c r="D1042" s="29" t="str">
        <f>VLOOKUP($C1042,청소코드!$C$4:$J$188,3,FALSE)</f>
        <v>하람휴 1001</v>
      </c>
      <c r="E1042" s="29">
        <f>VLOOKUP($C1042,청소코드!$C$4:$J$188,4,FALSE)</f>
        <v>2</v>
      </c>
      <c r="F1042" s="29" t="s">
        <v>1176</v>
      </c>
      <c r="G1042" s="29"/>
      <c r="H1042" s="29"/>
      <c r="I1042" s="29" t="s">
        <v>431</v>
      </c>
      <c r="J1042" s="47">
        <f t="shared" si="64"/>
        <v>23000</v>
      </c>
      <c r="K1042" s="29">
        <f>VLOOKUP($C1042,청소코드!$C$4:$J$188,8,FALSE)</f>
        <v>23000</v>
      </c>
      <c r="L1042" s="32"/>
      <c r="M1042" s="31"/>
      <c r="N1042" s="32"/>
      <c r="O1042" s="32"/>
    </row>
    <row r="1043" spans="1:15" customFormat="1" ht="12.75" customHeight="1">
      <c r="A1043" s="30">
        <v>46131</v>
      </c>
      <c r="B1043" s="29" t="str">
        <f t="shared" si="63"/>
        <v>일</v>
      </c>
      <c r="C1043" s="29" t="s">
        <v>1170</v>
      </c>
      <c r="D1043" s="29" t="str">
        <f>VLOOKUP($C1043,청소코드!$C$4:$J$188,3,FALSE)</f>
        <v>대치동 101호</v>
      </c>
      <c r="E1043" s="29">
        <f>VLOOKUP($C1043,청소코드!$C$4:$J$188,4,FALSE)</f>
        <v>2</v>
      </c>
      <c r="F1043" s="29" t="s">
        <v>1177</v>
      </c>
      <c r="G1043" s="29"/>
      <c r="H1043" s="29"/>
      <c r="I1043" s="29" t="s">
        <v>431</v>
      </c>
      <c r="J1043" s="47">
        <f t="shared" si="64"/>
        <v>27000</v>
      </c>
      <c r="K1043" s="29">
        <f>VLOOKUP($C1043,청소코드!$C$4:$J$188,8,FALSE)</f>
        <v>23000</v>
      </c>
      <c r="L1043" s="32"/>
      <c r="M1043" s="31"/>
      <c r="N1043" s="32">
        <v>4000</v>
      </c>
      <c r="O1043" s="32"/>
    </row>
    <row r="1044" spans="1:15" customFormat="1" ht="12.75" customHeight="1">
      <c r="A1044" s="30">
        <v>46131</v>
      </c>
      <c r="B1044" s="29" t="str">
        <f t="shared" si="63"/>
        <v>일</v>
      </c>
      <c r="C1044" s="29" t="s">
        <v>1171</v>
      </c>
      <c r="D1044" s="29" t="str">
        <f>VLOOKUP($C1044,청소코드!$C$4:$J$188,3,FALSE)</f>
        <v>대치동 102호</v>
      </c>
      <c r="E1044" s="29">
        <f>VLOOKUP($C1044,청소코드!$C$4:$J$188,4,FALSE)</f>
        <v>1</v>
      </c>
      <c r="F1044" s="29" t="s">
        <v>1177</v>
      </c>
      <c r="G1044" s="29"/>
      <c r="H1044" s="29"/>
      <c r="I1044" s="29" t="s">
        <v>431</v>
      </c>
      <c r="J1044" s="47">
        <f t="shared" si="64"/>
        <v>18000</v>
      </c>
      <c r="K1044" s="29">
        <f>VLOOKUP($C1044,청소코드!$C$4:$J$188,8,FALSE)</f>
        <v>18000</v>
      </c>
      <c r="L1044" s="32"/>
      <c r="M1044" s="31"/>
      <c r="N1044" s="32"/>
      <c r="O1044" s="32"/>
    </row>
    <row r="1045" spans="1:15" customFormat="1" ht="12.75" customHeight="1">
      <c r="A1045" s="30">
        <v>46131</v>
      </c>
      <c r="B1045" s="29" t="str">
        <f t="shared" si="63"/>
        <v>일</v>
      </c>
      <c r="C1045" s="29" t="s">
        <v>1172</v>
      </c>
      <c r="D1045" s="29" t="str">
        <f>VLOOKUP($C1045,청소코드!$C$4:$J$188,3,FALSE)</f>
        <v>대치동 103호</v>
      </c>
      <c r="E1045" s="29">
        <f>VLOOKUP($C1045,청소코드!$C$4:$J$188,4,FALSE)</f>
        <v>1.5</v>
      </c>
      <c r="F1045" s="29" t="s">
        <v>1177</v>
      </c>
      <c r="G1045" s="29"/>
      <c r="H1045" s="29"/>
      <c r="I1045" s="29" t="s">
        <v>431</v>
      </c>
      <c r="J1045" s="47">
        <f t="shared" si="64"/>
        <v>20000</v>
      </c>
      <c r="K1045" s="29">
        <f>VLOOKUP($C1045,청소코드!$C$4:$J$188,8,FALSE)</f>
        <v>20000</v>
      </c>
      <c r="L1045" s="32"/>
      <c r="M1045" s="31"/>
      <c r="N1045" s="32"/>
      <c r="O1045" s="32"/>
    </row>
    <row r="1046" spans="1:15" customFormat="1" ht="12.75" customHeight="1">
      <c r="A1046" s="30">
        <v>46131</v>
      </c>
      <c r="B1046" s="29" t="str">
        <f t="shared" si="63"/>
        <v>일</v>
      </c>
      <c r="C1046" s="29" t="s">
        <v>1178</v>
      </c>
      <c r="D1046" s="29" t="str">
        <f>VLOOKUP($C1046,청소코드!$C$4:$J$188,3,FALSE)</f>
        <v>청광1차 207</v>
      </c>
      <c r="E1046" s="29">
        <f>VLOOKUP($C1046,청소코드!$C$4:$J$188,4,FALSE)</f>
        <v>0</v>
      </c>
      <c r="F1046" s="29" t="s">
        <v>426</v>
      </c>
      <c r="G1046" s="29"/>
      <c r="H1046" s="29"/>
      <c r="I1046" s="29" t="s">
        <v>431</v>
      </c>
      <c r="J1046" s="47">
        <f t="shared" si="64"/>
        <v>10000</v>
      </c>
      <c r="K1046" s="29">
        <f>VLOOKUP($C1046,청소코드!$C$4:$J$188,8,FALSE)</f>
        <v>10000</v>
      </c>
      <c r="L1046" s="32"/>
      <c r="M1046" s="31"/>
      <c r="N1046" s="32"/>
      <c r="O1046" s="32"/>
    </row>
    <row r="1047" spans="1:15" customFormat="1" ht="12.75" customHeight="1">
      <c r="A1047" s="49">
        <v>46132</v>
      </c>
      <c r="B1047" s="50" t="str">
        <f t="shared" si="63"/>
        <v>월</v>
      </c>
      <c r="C1047" s="29" t="s">
        <v>1182</v>
      </c>
      <c r="D1047" s="29" t="str">
        <f>VLOOKUP($C1047,청소코드!$C$4:$J$188,3,FALSE)</f>
        <v>성우 803</v>
      </c>
      <c r="E1047" s="29">
        <f>VLOOKUP($C1047,청소코드!$C$4:$J$188,4,FALSE)</f>
        <v>3</v>
      </c>
      <c r="F1047" s="29" t="s">
        <v>1197</v>
      </c>
      <c r="G1047" s="29" t="s">
        <v>1199</v>
      </c>
      <c r="H1047" s="29"/>
      <c r="I1047" s="29" t="s">
        <v>1200</v>
      </c>
      <c r="J1047" s="47">
        <f t="shared" si="64"/>
        <v>35000</v>
      </c>
      <c r="K1047" s="29">
        <f>VLOOKUP($C1047,청소코드!$C$4:$J$188,8,FALSE)</f>
        <v>30000</v>
      </c>
      <c r="L1047" s="32">
        <v>5000</v>
      </c>
      <c r="M1047" s="31"/>
      <c r="N1047" s="32"/>
      <c r="O1047" s="32"/>
    </row>
    <row r="1048" spans="1:15" customFormat="1" ht="12.75" customHeight="1">
      <c r="A1048" s="30">
        <v>46132</v>
      </c>
      <c r="B1048" s="29" t="str">
        <f t="shared" si="63"/>
        <v>월</v>
      </c>
      <c r="C1048" s="29" t="s">
        <v>1183</v>
      </c>
      <c r="D1048" s="29" t="str">
        <f>VLOOKUP($C1048,청소코드!$C$4:$J$188,3,FALSE)</f>
        <v>예건 202</v>
      </c>
      <c r="E1048" s="29">
        <f>VLOOKUP($C1048,청소코드!$C$4:$J$188,4,FALSE)</f>
        <v>1</v>
      </c>
      <c r="F1048" s="29" t="s">
        <v>1197</v>
      </c>
      <c r="G1048" s="29"/>
      <c r="H1048" s="29"/>
      <c r="I1048" s="29" t="s">
        <v>431</v>
      </c>
      <c r="J1048" s="47">
        <f t="shared" si="64"/>
        <v>18000</v>
      </c>
      <c r="K1048" s="29">
        <f>VLOOKUP($C1048,청소코드!$C$4:$J$188,8,FALSE)</f>
        <v>18000</v>
      </c>
      <c r="L1048" s="32"/>
      <c r="M1048" s="31"/>
      <c r="N1048" s="32"/>
      <c r="O1048" s="32"/>
    </row>
    <row r="1049" spans="1:15" customFormat="1" ht="12.75" customHeight="1">
      <c r="A1049" s="30">
        <v>46132</v>
      </c>
      <c r="B1049" s="29" t="str">
        <f t="shared" ref="B1049:B1061" si="65">TEXT(A1049,"aaa")</f>
        <v>월</v>
      </c>
      <c r="C1049" s="29" t="s">
        <v>1184</v>
      </c>
      <c r="D1049" s="29" t="str">
        <f>VLOOKUP($C1049,청소코드!$C$4:$J$188,3,FALSE)</f>
        <v>예건 702</v>
      </c>
      <c r="E1049" s="29">
        <f>VLOOKUP($C1049,청소코드!$C$4:$J$188,4,FALSE)</f>
        <v>1</v>
      </c>
      <c r="F1049" s="29" t="s">
        <v>1197</v>
      </c>
      <c r="G1049" s="29"/>
      <c r="H1049" s="29"/>
      <c r="I1049" s="29" t="s">
        <v>431</v>
      </c>
      <c r="J1049" s="47">
        <f t="shared" ref="J1049:J1061" si="66">SUM(K1049:O1049)</f>
        <v>18000</v>
      </c>
      <c r="K1049" s="29">
        <f>VLOOKUP($C1049,청소코드!$C$4:$J$188,8,FALSE)</f>
        <v>18000</v>
      </c>
      <c r="L1049" s="32"/>
      <c r="M1049" s="31"/>
      <c r="N1049" s="32"/>
      <c r="O1049" s="32"/>
    </row>
    <row r="1050" spans="1:15" customFormat="1" ht="12.75" customHeight="1">
      <c r="A1050" s="30">
        <v>46132</v>
      </c>
      <c r="B1050" s="29" t="str">
        <f t="shared" si="65"/>
        <v>월</v>
      </c>
      <c r="C1050" s="29" t="s">
        <v>1185</v>
      </c>
      <c r="D1050" s="29" t="str">
        <f>VLOOKUP($C1050,청소코드!$C$4:$J$188,3,FALSE)</f>
        <v>더하임 1003</v>
      </c>
      <c r="E1050" s="29">
        <f>VLOOKUP($C1050,청소코드!$C$4:$J$188,4,FALSE)</f>
        <v>1</v>
      </c>
      <c r="F1050" s="29" t="s">
        <v>426</v>
      </c>
      <c r="G1050" s="29" t="s">
        <v>1199</v>
      </c>
      <c r="H1050" s="29"/>
      <c r="I1050" s="29" t="s">
        <v>431</v>
      </c>
      <c r="J1050" s="47">
        <f t="shared" si="66"/>
        <v>23000</v>
      </c>
      <c r="K1050" s="29">
        <f>VLOOKUP($C1050,청소코드!$C$4:$J$188,8,FALSE)</f>
        <v>18000</v>
      </c>
      <c r="L1050" s="32">
        <v>5000</v>
      </c>
      <c r="M1050" s="31"/>
      <c r="N1050" s="32"/>
      <c r="O1050" s="32"/>
    </row>
    <row r="1051" spans="1:15" customFormat="1" ht="12.75" customHeight="1">
      <c r="A1051" s="30">
        <v>46132</v>
      </c>
      <c r="B1051" s="29" t="str">
        <f t="shared" si="65"/>
        <v>월</v>
      </c>
      <c r="C1051" s="29" t="s">
        <v>1186</v>
      </c>
      <c r="D1051" s="29" t="str">
        <f>VLOOKUP($C1051,청소코드!$C$4:$J$188,3,FALSE)</f>
        <v>더하임 1004</v>
      </c>
      <c r="E1051" s="29">
        <f>VLOOKUP($C1051,청소코드!$C$4:$J$188,4,FALSE)</f>
        <v>1</v>
      </c>
      <c r="F1051" s="29" t="s">
        <v>426</v>
      </c>
      <c r="G1051" s="29"/>
      <c r="H1051" s="29"/>
      <c r="I1051" s="29" t="s">
        <v>431</v>
      </c>
      <c r="J1051" s="47">
        <f t="shared" si="66"/>
        <v>18000</v>
      </c>
      <c r="K1051" s="29">
        <f>VLOOKUP($C1051,청소코드!$C$4:$J$188,8,FALSE)</f>
        <v>18000</v>
      </c>
      <c r="L1051" s="32"/>
      <c r="M1051" s="31"/>
      <c r="N1051" s="32"/>
      <c r="O1051" s="32"/>
    </row>
    <row r="1052" spans="1:15" customFormat="1" ht="12.75" customHeight="1">
      <c r="A1052" s="30">
        <v>46132</v>
      </c>
      <c r="B1052" s="29" t="str">
        <f t="shared" si="65"/>
        <v>월</v>
      </c>
      <c r="C1052" s="29" t="s">
        <v>1187</v>
      </c>
      <c r="D1052" s="29" t="str">
        <f>VLOOKUP($C1052,청소코드!$C$4:$J$188,3,FALSE)</f>
        <v>더하임 204</v>
      </c>
      <c r="E1052" s="29">
        <f>VLOOKUP($C1052,청소코드!$C$4:$J$188,4,FALSE)</f>
        <v>1</v>
      </c>
      <c r="F1052" s="29" t="s">
        <v>426</v>
      </c>
      <c r="G1052" s="29"/>
      <c r="H1052" s="29"/>
      <c r="I1052" s="29" t="s">
        <v>431</v>
      </c>
      <c r="J1052" s="47">
        <f t="shared" si="66"/>
        <v>18000</v>
      </c>
      <c r="K1052" s="29">
        <f>VLOOKUP($C1052,청소코드!$C$4:$J$188,8,FALSE)</f>
        <v>18000</v>
      </c>
      <c r="L1052" s="32"/>
      <c r="M1052" s="31"/>
      <c r="N1052" s="32"/>
      <c r="O1052" s="32"/>
    </row>
    <row r="1053" spans="1:15" customFormat="1" ht="12.75" customHeight="1">
      <c r="A1053" s="30">
        <v>46132</v>
      </c>
      <c r="B1053" s="29" t="str">
        <f t="shared" si="65"/>
        <v>월</v>
      </c>
      <c r="C1053" s="29" t="s">
        <v>1188</v>
      </c>
      <c r="D1053" s="29" t="str">
        <f>VLOOKUP($C1053,청소코드!$C$4:$J$188,3,FALSE)</f>
        <v>더하임 305</v>
      </c>
      <c r="E1053" s="29">
        <f>VLOOKUP($C1053,청소코드!$C$4:$J$188,4,FALSE)</f>
        <v>1</v>
      </c>
      <c r="F1053" s="29" t="s">
        <v>426</v>
      </c>
      <c r="G1053" s="29"/>
      <c r="H1053" s="29"/>
      <c r="I1053" s="29" t="s">
        <v>431</v>
      </c>
      <c r="J1053" s="47">
        <f t="shared" si="66"/>
        <v>18000</v>
      </c>
      <c r="K1053" s="29">
        <f>VLOOKUP($C1053,청소코드!$C$4:$J$188,8,FALSE)</f>
        <v>18000</v>
      </c>
      <c r="L1053" s="32"/>
      <c r="M1053" s="31"/>
      <c r="N1053" s="32"/>
      <c r="O1053" s="32"/>
    </row>
    <row r="1054" spans="1:15" customFormat="1" ht="12.75" customHeight="1">
      <c r="A1054" s="30">
        <v>46132</v>
      </c>
      <c r="B1054" s="29" t="str">
        <f t="shared" si="65"/>
        <v>월</v>
      </c>
      <c r="C1054" s="29" t="s">
        <v>1189</v>
      </c>
      <c r="D1054" s="29" t="str">
        <f>VLOOKUP($C1054,청소코드!$C$4:$J$188,3,FALSE)</f>
        <v>더하임 901</v>
      </c>
      <c r="E1054" s="29">
        <f>VLOOKUP($C1054,청소코드!$C$4:$J$188,4,FALSE)</f>
        <v>1</v>
      </c>
      <c r="F1054" s="29" t="s">
        <v>426</v>
      </c>
      <c r="G1054" s="29"/>
      <c r="H1054" s="29"/>
      <c r="I1054" s="29" t="s">
        <v>431</v>
      </c>
      <c r="J1054" s="47">
        <f t="shared" si="66"/>
        <v>18000</v>
      </c>
      <c r="K1054" s="29">
        <f>VLOOKUP($C1054,청소코드!$C$4:$J$188,8,FALSE)</f>
        <v>18000</v>
      </c>
      <c r="L1054" s="32"/>
      <c r="M1054" s="31"/>
      <c r="N1054" s="32"/>
      <c r="O1054" s="32"/>
    </row>
    <row r="1055" spans="1:15" customFormat="1" ht="12.75" customHeight="1">
      <c r="A1055" s="30">
        <v>46132</v>
      </c>
      <c r="B1055" s="29" t="str">
        <f t="shared" si="65"/>
        <v>월</v>
      </c>
      <c r="C1055" s="29" t="s">
        <v>1190</v>
      </c>
      <c r="D1055" s="29" t="str">
        <f>VLOOKUP($C1055,청소코드!$C$4:$J$188,3,FALSE)</f>
        <v>청광1차 1303</v>
      </c>
      <c r="E1055" s="29">
        <f>VLOOKUP($C1055,청소코드!$C$4:$J$188,4,FALSE)</f>
        <v>1</v>
      </c>
      <c r="F1055" s="29" t="s">
        <v>401</v>
      </c>
      <c r="G1055" s="29" t="s">
        <v>1199</v>
      </c>
      <c r="H1055" s="29"/>
      <c r="I1055" s="29" t="s">
        <v>431</v>
      </c>
      <c r="J1055" s="47">
        <f t="shared" si="66"/>
        <v>23000</v>
      </c>
      <c r="K1055" s="29">
        <f>VLOOKUP($C1055,청소코드!$C$4:$J$188,8,FALSE)</f>
        <v>18000</v>
      </c>
      <c r="L1055" s="32">
        <v>5000</v>
      </c>
      <c r="M1055" s="31"/>
      <c r="N1055" s="32"/>
      <c r="O1055" s="32"/>
    </row>
    <row r="1056" spans="1:15" customFormat="1" ht="12.75" customHeight="1">
      <c r="A1056" s="30">
        <v>46132</v>
      </c>
      <c r="B1056" s="29" t="str">
        <f t="shared" si="65"/>
        <v>월</v>
      </c>
      <c r="C1056" s="29" t="s">
        <v>1191</v>
      </c>
      <c r="D1056" s="29" t="str">
        <f>VLOOKUP($C1056,청소코드!$C$4:$J$188,3,FALSE)</f>
        <v>청광3차 1412</v>
      </c>
      <c r="E1056" s="29">
        <f>VLOOKUP($C1056,청소코드!$C$4:$J$188,4,FALSE)</f>
        <v>1</v>
      </c>
      <c r="F1056" s="29" t="s">
        <v>401</v>
      </c>
      <c r="G1056" s="29"/>
      <c r="H1056" s="29"/>
      <c r="I1056" s="29" t="s">
        <v>431</v>
      </c>
      <c r="J1056" s="47">
        <f t="shared" si="66"/>
        <v>18000</v>
      </c>
      <c r="K1056" s="29">
        <f>VLOOKUP($C1056,청소코드!$C$4:$J$188,8,FALSE)</f>
        <v>18000</v>
      </c>
      <c r="L1056" s="32"/>
      <c r="M1056" s="31"/>
      <c r="N1056" s="32"/>
      <c r="O1056" s="32"/>
    </row>
    <row r="1057" spans="1:15" customFormat="1" ht="12.75" customHeight="1">
      <c r="A1057" s="30">
        <v>46132</v>
      </c>
      <c r="B1057" s="29" t="str">
        <f t="shared" si="65"/>
        <v>월</v>
      </c>
      <c r="C1057" s="29" t="s">
        <v>1192</v>
      </c>
      <c r="D1057" s="29" t="str">
        <f>VLOOKUP($C1057,청소코드!$C$4:$J$188,3,FALSE)</f>
        <v>르센티 1801</v>
      </c>
      <c r="E1057" s="29" t="str">
        <f>VLOOKUP($C1057,청소코드!$C$4:$J$188,4,FALSE)</f>
        <v>복</v>
      </c>
      <c r="F1057" s="29" t="s">
        <v>1198</v>
      </c>
      <c r="G1057" s="29" t="s">
        <v>1199</v>
      </c>
      <c r="H1057" s="29"/>
      <c r="I1057" s="29" t="s">
        <v>431</v>
      </c>
      <c r="J1057" s="47">
        <f t="shared" si="66"/>
        <v>25000</v>
      </c>
      <c r="K1057" s="29">
        <f>VLOOKUP($C1057,청소코드!$C$4:$J$188,8,FALSE)</f>
        <v>20000</v>
      </c>
      <c r="L1057" s="32">
        <v>5000</v>
      </c>
      <c r="M1057" s="31"/>
      <c r="N1057" s="32"/>
      <c r="O1057" s="32"/>
    </row>
    <row r="1058" spans="1:15" customFormat="1" ht="12.75" customHeight="1">
      <c r="A1058" s="30">
        <v>46132</v>
      </c>
      <c r="B1058" s="29" t="str">
        <f t="shared" si="65"/>
        <v>월</v>
      </c>
      <c r="C1058" s="29" t="s">
        <v>1193</v>
      </c>
      <c r="D1058" s="29" t="str">
        <f>VLOOKUP($C1058,청소코드!$C$4:$J$188,3,FALSE)</f>
        <v>은성 603</v>
      </c>
      <c r="E1058" s="29">
        <f>VLOOKUP($C1058,청소코드!$C$4:$J$188,4,FALSE)</f>
        <v>1</v>
      </c>
      <c r="F1058" s="29" t="s">
        <v>1198</v>
      </c>
      <c r="G1058" s="29"/>
      <c r="H1058" s="29"/>
      <c r="I1058" s="29" t="s">
        <v>431</v>
      </c>
      <c r="J1058" s="47">
        <f t="shared" si="66"/>
        <v>18000</v>
      </c>
      <c r="K1058" s="29">
        <f>VLOOKUP($C1058,청소코드!$C$4:$J$188,8,FALSE)</f>
        <v>18000</v>
      </c>
      <c r="L1058" s="32"/>
      <c r="M1058" s="31"/>
      <c r="N1058" s="32"/>
      <c r="O1058" s="32"/>
    </row>
    <row r="1059" spans="1:15" customFormat="1" ht="12.75" customHeight="1">
      <c r="A1059" s="30">
        <v>46132</v>
      </c>
      <c r="B1059" s="29" t="str">
        <f t="shared" si="65"/>
        <v>월</v>
      </c>
      <c r="C1059" s="29" t="s">
        <v>1194</v>
      </c>
      <c r="D1059" s="29" t="str">
        <f>VLOOKUP($C1059,청소코드!$C$4:$J$188,3,FALSE)</f>
        <v>렘브 204</v>
      </c>
      <c r="E1059" s="29">
        <f>VLOOKUP($C1059,청소코드!$C$4:$J$188,4,FALSE)</f>
        <v>1</v>
      </c>
      <c r="F1059" s="29" t="s">
        <v>1198</v>
      </c>
      <c r="G1059" s="29"/>
      <c r="H1059" s="29"/>
      <c r="I1059" s="29" t="s">
        <v>431</v>
      </c>
      <c r="J1059" s="47">
        <f t="shared" si="66"/>
        <v>18000</v>
      </c>
      <c r="K1059" s="29">
        <f>VLOOKUP($C1059,청소코드!$C$4:$J$188,8,FALSE)</f>
        <v>18000</v>
      </c>
      <c r="L1059" s="32"/>
      <c r="M1059" s="31"/>
      <c r="N1059" s="32"/>
      <c r="O1059" s="32"/>
    </row>
    <row r="1060" spans="1:15" customFormat="1" ht="12.75" customHeight="1">
      <c r="A1060" s="30">
        <v>46132</v>
      </c>
      <c r="B1060" s="29" t="str">
        <f t="shared" si="65"/>
        <v>월</v>
      </c>
      <c r="C1060" s="29" t="s">
        <v>1195</v>
      </c>
      <c r="D1060" s="29" t="str">
        <f>VLOOKUP($C1060,청소코드!$C$4:$J$188,3,FALSE)</f>
        <v>동구햇살 1203</v>
      </c>
      <c r="E1060" s="29" t="str">
        <f>VLOOKUP($C1060,청소코드!$C$4:$J$188,4,FALSE)</f>
        <v>복</v>
      </c>
      <c r="F1060" s="29" t="s">
        <v>1198</v>
      </c>
      <c r="G1060" s="29"/>
      <c r="H1060" s="29"/>
      <c r="I1060" s="29" t="s">
        <v>431</v>
      </c>
      <c r="J1060" s="47">
        <f t="shared" si="66"/>
        <v>20000</v>
      </c>
      <c r="K1060" s="29">
        <f>VLOOKUP($C1060,청소코드!$C$4:$J$188,8,FALSE)</f>
        <v>20000</v>
      </c>
      <c r="L1060" s="32"/>
      <c r="M1060" s="31"/>
      <c r="N1060" s="32"/>
      <c r="O1060" s="32"/>
    </row>
    <row r="1061" spans="1:15" customFormat="1" ht="12.75" customHeight="1">
      <c r="A1061" s="30">
        <v>46132</v>
      </c>
      <c r="B1061" s="29" t="str">
        <f t="shared" si="65"/>
        <v>월</v>
      </c>
      <c r="C1061" s="29" t="s">
        <v>1196</v>
      </c>
      <c r="D1061" s="29" t="str">
        <f>VLOOKUP($C1061,청소코드!$C$4:$J$188,3,FALSE)</f>
        <v>청광1차 207</v>
      </c>
      <c r="E1061" s="29">
        <f>VLOOKUP($C1061,청소코드!$C$4:$J$188,4,FALSE)</f>
        <v>0</v>
      </c>
      <c r="F1061" s="29" t="s">
        <v>426</v>
      </c>
      <c r="G1061" s="29"/>
      <c r="H1061" s="29"/>
      <c r="I1061" s="29" t="s">
        <v>431</v>
      </c>
      <c r="J1061" s="47">
        <f t="shared" si="66"/>
        <v>10000</v>
      </c>
      <c r="K1061" s="29">
        <f>VLOOKUP($C1061,청소코드!$C$4:$J$188,8,FALSE)</f>
        <v>10000</v>
      </c>
      <c r="L1061" s="32"/>
      <c r="M1061" s="31"/>
      <c r="N1061" s="32"/>
      <c r="O1061" s="32"/>
    </row>
    <row r="1062" spans="1:15" customFormat="1" ht="12.75" customHeight="1">
      <c r="A1062" s="49">
        <v>46133</v>
      </c>
      <c r="B1062" s="50" t="str">
        <f t="shared" ref="B1062:B1093" si="67">TEXT(A1062,"aaa")</f>
        <v>화</v>
      </c>
      <c r="C1062" s="29" t="s">
        <v>1203</v>
      </c>
      <c r="D1062" s="29" t="str">
        <f>VLOOKUP($C1062,청소코드!$C$4:$J$188,3,FALSE)</f>
        <v>더하임 1004</v>
      </c>
      <c r="E1062" s="29">
        <f>VLOOKUP($C1062,청소코드!$C$4:$J$188,4,FALSE)</f>
        <v>1</v>
      </c>
      <c r="F1062" s="29" t="s">
        <v>1209</v>
      </c>
      <c r="G1062" s="29"/>
      <c r="H1062" s="29"/>
      <c r="I1062" s="29" t="s">
        <v>1217</v>
      </c>
      <c r="J1062" s="47">
        <f t="shared" ref="J1062:J1093" si="68">SUM(K1062:O1062)</f>
        <v>18000</v>
      </c>
      <c r="K1062" s="29">
        <f>VLOOKUP($C1062,청소코드!$C$4:$J$188,8,FALSE)</f>
        <v>18000</v>
      </c>
      <c r="L1062" s="32"/>
      <c r="M1062" s="31"/>
      <c r="N1062" s="32"/>
      <c r="O1062" s="32"/>
    </row>
    <row r="1063" spans="1:15" customFormat="1" ht="12.75" customHeight="1">
      <c r="A1063" s="30">
        <v>46133</v>
      </c>
      <c r="B1063" s="29" t="str">
        <f t="shared" si="67"/>
        <v>화</v>
      </c>
      <c r="C1063" s="29" t="s">
        <v>1204</v>
      </c>
      <c r="D1063" s="29" t="str">
        <f>VLOOKUP($C1063,청소코드!$C$4:$J$188,3,FALSE)</f>
        <v>동구햇살 1203</v>
      </c>
      <c r="E1063" s="29" t="str">
        <f>VLOOKUP($C1063,청소코드!$C$4:$J$188,4,FALSE)</f>
        <v>복</v>
      </c>
      <c r="F1063" s="29" t="s">
        <v>1210</v>
      </c>
      <c r="G1063" s="29"/>
      <c r="H1063" s="29"/>
      <c r="I1063" s="29" t="s">
        <v>431</v>
      </c>
      <c r="J1063" s="47">
        <f t="shared" si="68"/>
        <v>20000</v>
      </c>
      <c r="K1063" s="29">
        <f>VLOOKUP($C1063,청소코드!$C$4:$J$188,8,FALSE)</f>
        <v>20000</v>
      </c>
      <c r="L1063" s="32"/>
      <c r="M1063" s="31"/>
      <c r="N1063" s="32"/>
      <c r="O1063" s="32"/>
    </row>
    <row r="1064" spans="1:15" customFormat="1" ht="12.75" customHeight="1">
      <c r="A1064" s="30">
        <v>46133</v>
      </c>
      <c r="B1064" s="29" t="str">
        <f t="shared" si="67"/>
        <v>화</v>
      </c>
      <c r="C1064" s="29" t="s">
        <v>1205</v>
      </c>
      <c r="D1064" s="29" t="str">
        <f>VLOOKUP($C1064,청소코드!$C$4:$J$188,3,FALSE)</f>
        <v>센텀 2차 406</v>
      </c>
      <c r="E1064" s="29">
        <f>VLOOKUP($C1064,청소코드!$C$4:$J$188,4,FALSE)</f>
        <v>1.5</v>
      </c>
      <c r="F1064" s="29" t="s">
        <v>1211</v>
      </c>
      <c r="G1064" s="29"/>
      <c r="H1064" s="29"/>
      <c r="I1064" s="29" t="s">
        <v>431</v>
      </c>
      <c r="J1064" s="47">
        <f t="shared" si="68"/>
        <v>20000</v>
      </c>
      <c r="K1064" s="29">
        <f>VLOOKUP($C1064,청소코드!$C$4:$J$188,8,FALSE)</f>
        <v>20000</v>
      </c>
      <c r="L1064" s="32"/>
      <c r="M1064" s="31"/>
      <c r="N1064" s="32"/>
      <c r="O1064" s="32"/>
    </row>
    <row r="1065" spans="1:15" customFormat="1" ht="12.75" customHeight="1">
      <c r="A1065" s="30">
        <v>46133</v>
      </c>
      <c r="B1065" s="29" t="str">
        <f t="shared" si="67"/>
        <v>화</v>
      </c>
      <c r="C1065" s="29" t="s">
        <v>1206</v>
      </c>
      <c r="D1065" s="29" t="str">
        <f>VLOOKUP($C1065,청소코드!$C$4:$J$188,3,FALSE)</f>
        <v>오금스타 201</v>
      </c>
      <c r="E1065" s="29">
        <f>VLOOKUP($C1065,청소코드!$C$4:$J$188,4,FALSE)</f>
        <v>1</v>
      </c>
      <c r="F1065" s="29" t="s">
        <v>1211</v>
      </c>
      <c r="G1065" s="29" t="s">
        <v>1215</v>
      </c>
      <c r="H1065" s="29"/>
      <c r="I1065" s="29" t="s">
        <v>431</v>
      </c>
      <c r="J1065" s="47">
        <f t="shared" si="68"/>
        <v>30000</v>
      </c>
      <c r="K1065" s="29">
        <f>VLOOKUP($C1065,청소코드!$C$4:$J$188,8,FALSE)</f>
        <v>18000</v>
      </c>
      <c r="L1065" s="32">
        <v>12000</v>
      </c>
      <c r="M1065" s="31"/>
      <c r="N1065" s="32"/>
      <c r="O1065" s="32"/>
    </row>
    <row r="1066" spans="1:15" customFormat="1" ht="12.75" customHeight="1">
      <c r="A1066" s="30">
        <v>46133</v>
      </c>
      <c r="B1066" s="29" t="str">
        <f t="shared" si="67"/>
        <v>화</v>
      </c>
      <c r="C1066" s="29" t="s">
        <v>1207</v>
      </c>
      <c r="D1066" s="29" t="str">
        <f>VLOOKUP($C1066,청소코드!$C$4:$J$188,3,FALSE)</f>
        <v>청광3차 1416</v>
      </c>
      <c r="E1066" s="29">
        <f>VLOOKUP($C1066,청소코드!$C$4:$J$188,4,FALSE)</f>
        <v>1</v>
      </c>
      <c r="F1066" s="29" t="s">
        <v>1212</v>
      </c>
      <c r="G1066" s="29" t="s">
        <v>1213</v>
      </c>
      <c r="H1066" s="29"/>
      <c r="I1066" s="29" t="s">
        <v>431</v>
      </c>
      <c r="J1066" s="47">
        <f t="shared" si="68"/>
        <v>23000</v>
      </c>
      <c r="K1066" s="29">
        <f>VLOOKUP($C1066,청소코드!$C$4:$J$188,8,FALSE)</f>
        <v>18000</v>
      </c>
      <c r="L1066" s="32">
        <v>5000</v>
      </c>
      <c r="M1066" s="31"/>
      <c r="N1066" s="32"/>
      <c r="O1066" s="32"/>
    </row>
    <row r="1067" spans="1:15" customFormat="1" ht="12.75" customHeight="1">
      <c r="A1067" s="30">
        <v>46133</v>
      </c>
      <c r="B1067" s="29" t="str">
        <f t="shared" si="67"/>
        <v>화</v>
      </c>
      <c r="C1067" s="29" t="s">
        <v>1208</v>
      </c>
      <c r="D1067" s="29" t="str">
        <f>VLOOKUP($C1067,청소코드!$C$4:$J$188,3,FALSE)</f>
        <v>더하임 901</v>
      </c>
      <c r="E1067" s="29">
        <f>VLOOKUP($C1067,청소코드!$C$4:$J$188,4,FALSE)</f>
        <v>1</v>
      </c>
      <c r="F1067" s="29" t="s">
        <v>1209</v>
      </c>
      <c r="G1067" s="29"/>
      <c r="H1067" s="29"/>
      <c r="I1067" s="29" t="s">
        <v>431</v>
      </c>
      <c r="J1067" s="47">
        <f t="shared" si="68"/>
        <v>18000</v>
      </c>
      <c r="K1067" s="29">
        <f>VLOOKUP($C1067,청소코드!$C$4:$J$188,8,FALSE)</f>
        <v>18000</v>
      </c>
      <c r="L1067" s="32"/>
      <c r="M1067" s="31"/>
      <c r="N1067" s="32"/>
      <c r="O1067" s="32"/>
    </row>
    <row r="1068" spans="1:15" customFormat="1" ht="12.75" customHeight="1">
      <c r="A1068" s="30">
        <v>46133</v>
      </c>
      <c r="B1068" s="29" t="str">
        <f t="shared" si="67"/>
        <v>화</v>
      </c>
      <c r="C1068" s="29" t="s">
        <v>1216</v>
      </c>
      <c r="D1068" s="29" t="str">
        <f>VLOOKUP($C1068,청소코드!$C$4:$J$188,3,FALSE)</f>
        <v>센텀 2차 501</v>
      </c>
      <c r="E1068" s="29">
        <f>VLOOKUP($C1068,청소코드!$C$4:$J$188,4,FALSE)</f>
        <v>1.5</v>
      </c>
      <c r="F1068" s="29" t="s">
        <v>1211</v>
      </c>
      <c r="G1068" s="29"/>
      <c r="H1068" s="29"/>
      <c r="I1068" s="29" t="s">
        <v>431</v>
      </c>
      <c r="J1068" s="47">
        <f t="shared" si="68"/>
        <v>20000</v>
      </c>
      <c r="K1068" s="29">
        <f>VLOOKUP($C1068,청소코드!$C$4:$J$188,8,FALSE)</f>
        <v>20000</v>
      </c>
      <c r="L1068" s="32"/>
      <c r="M1068" s="31"/>
      <c r="N1068" s="32"/>
      <c r="O1068" s="32"/>
    </row>
    <row r="1069" spans="1:15" customFormat="1" ht="12.75" customHeight="1">
      <c r="A1069" s="30">
        <v>46133</v>
      </c>
      <c r="B1069" s="29" t="str">
        <f t="shared" si="67"/>
        <v>화</v>
      </c>
      <c r="C1069" s="29" t="s">
        <v>1214</v>
      </c>
      <c r="D1069" s="29" t="str">
        <f>VLOOKUP($C1069,청소코드!$C$4:$J$188,3,FALSE)</f>
        <v>청광1차 207</v>
      </c>
      <c r="E1069" s="29">
        <f>VLOOKUP($C1069,청소코드!$C$4:$J$188,4,FALSE)</f>
        <v>0</v>
      </c>
      <c r="F1069" s="29" t="s">
        <v>1209</v>
      </c>
      <c r="G1069" s="29"/>
      <c r="H1069" s="29"/>
      <c r="I1069" s="29" t="s">
        <v>431</v>
      </c>
      <c r="J1069" s="47">
        <f t="shared" si="68"/>
        <v>10000</v>
      </c>
      <c r="K1069" s="29">
        <f>VLOOKUP($C1069,청소코드!$C$4:$J$188,8,FALSE)</f>
        <v>10000</v>
      </c>
      <c r="L1069" s="32"/>
      <c r="M1069" s="31"/>
      <c r="N1069" s="32"/>
      <c r="O1069" s="32"/>
    </row>
    <row r="1070" spans="1:15" customFormat="1" ht="12.75" customHeight="1">
      <c r="A1070" s="49">
        <v>46134</v>
      </c>
      <c r="B1070" s="50" t="str">
        <f t="shared" si="67"/>
        <v>수</v>
      </c>
      <c r="C1070" s="29" t="s">
        <v>497</v>
      </c>
      <c r="D1070" s="29" t="str">
        <f>VLOOKUP($C1070,청소코드!$C$4:$J$188,3,FALSE)</f>
        <v>더하임 1005</v>
      </c>
      <c r="E1070" s="29">
        <f>VLOOKUP($C1070,청소코드!$C$4:$J$188,4,FALSE)</f>
        <v>1</v>
      </c>
      <c r="F1070" s="29" t="s">
        <v>452</v>
      </c>
      <c r="G1070" s="29"/>
      <c r="H1070" s="29"/>
      <c r="I1070" s="29" t="s">
        <v>1219</v>
      </c>
      <c r="J1070" s="47">
        <f t="shared" si="68"/>
        <v>18000</v>
      </c>
      <c r="K1070" s="29">
        <f>VLOOKUP($C1070,청소코드!$C$4:$J$188,8,FALSE)</f>
        <v>18000</v>
      </c>
      <c r="L1070" s="32"/>
      <c r="M1070" s="31"/>
      <c r="N1070" s="32"/>
      <c r="O1070" s="32"/>
    </row>
    <row r="1071" spans="1:15" customFormat="1" ht="12.75" customHeight="1">
      <c r="A1071" s="30">
        <v>46134</v>
      </c>
      <c r="B1071" s="29" t="str">
        <f t="shared" si="67"/>
        <v>수</v>
      </c>
      <c r="C1071" s="29" t="s">
        <v>949</v>
      </c>
      <c r="D1071" s="29" t="str">
        <f>VLOOKUP($C1071,청소코드!$C$4:$J$188,3,FALSE)</f>
        <v>더하임 203</v>
      </c>
      <c r="E1071" s="29">
        <f>VLOOKUP($C1071,청소코드!$C$4:$J$188,4,FALSE)</f>
        <v>1</v>
      </c>
      <c r="F1071" s="29" t="s">
        <v>452</v>
      </c>
      <c r="G1071" s="29"/>
      <c r="H1071" s="29"/>
      <c r="I1071" s="29" t="s">
        <v>431</v>
      </c>
      <c r="J1071" s="47">
        <f t="shared" si="68"/>
        <v>18000</v>
      </c>
      <c r="K1071" s="29">
        <f>VLOOKUP($C1071,청소코드!$C$4:$J$188,8,FALSE)</f>
        <v>18000</v>
      </c>
      <c r="L1071" s="32"/>
      <c r="M1071" s="31"/>
      <c r="N1071" s="32"/>
      <c r="O1071" s="32"/>
    </row>
    <row r="1072" spans="1:15" customFormat="1" ht="12.75" customHeight="1">
      <c r="A1072" s="30">
        <v>46134</v>
      </c>
      <c r="B1072" s="29" t="str">
        <f t="shared" si="67"/>
        <v>수</v>
      </c>
      <c r="C1072" s="29" t="s">
        <v>870</v>
      </c>
      <c r="D1072" s="29" t="str">
        <f>VLOOKUP($C1072,청소코드!$C$4:$J$188,3,FALSE)</f>
        <v>더하임 901</v>
      </c>
      <c r="E1072" s="29">
        <f>VLOOKUP($C1072,청소코드!$C$4:$J$188,4,FALSE)</f>
        <v>1</v>
      </c>
      <c r="F1072" s="29" t="s">
        <v>401</v>
      </c>
      <c r="G1072" s="29"/>
      <c r="H1072" s="29"/>
      <c r="I1072" s="29" t="s">
        <v>431</v>
      </c>
      <c r="J1072" s="47">
        <f t="shared" si="68"/>
        <v>18000</v>
      </c>
      <c r="K1072" s="29">
        <f>VLOOKUP($C1072,청소코드!$C$4:$J$188,8,FALSE)</f>
        <v>18000</v>
      </c>
      <c r="L1072" s="32"/>
      <c r="M1072" s="31"/>
      <c r="N1072" s="32"/>
      <c r="O1072" s="32"/>
    </row>
    <row r="1073" spans="1:15" customFormat="1" ht="12.75" customHeight="1">
      <c r="A1073" s="30">
        <v>46134</v>
      </c>
      <c r="B1073" s="29" t="str">
        <f t="shared" si="67"/>
        <v>수</v>
      </c>
      <c r="C1073" s="29" t="s">
        <v>869</v>
      </c>
      <c r="D1073" s="29" t="str">
        <f>VLOOKUP($C1073,청소코드!$C$4:$J$188,3,FALSE)</f>
        <v>더하임 904</v>
      </c>
      <c r="E1073" s="29">
        <f>VLOOKUP($C1073,청소코드!$C$4:$J$188,4,FALSE)</f>
        <v>1</v>
      </c>
      <c r="F1073" s="29" t="s">
        <v>429</v>
      </c>
      <c r="G1073" s="29"/>
      <c r="H1073" s="29"/>
      <c r="I1073" s="29" t="s">
        <v>431</v>
      </c>
      <c r="J1073" s="47">
        <f t="shared" si="68"/>
        <v>18000</v>
      </c>
      <c r="K1073" s="29">
        <f>VLOOKUP($C1073,청소코드!$C$4:$J$188,8,FALSE)</f>
        <v>18000</v>
      </c>
      <c r="L1073" s="32"/>
      <c r="M1073" s="31"/>
      <c r="N1073" s="32"/>
      <c r="O1073" s="32"/>
    </row>
    <row r="1074" spans="1:15" customFormat="1" ht="12.75" customHeight="1">
      <c r="A1074" s="30">
        <v>46134</v>
      </c>
      <c r="B1074" s="29" t="str">
        <f t="shared" si="67"/>
        <v>수</v>
      </c>
      <c r="C1074" s="29" t="s">
        <v>315</v>
      </c>
      <c r="D1074" s="29" t="str">
        <f>VLOOKUP($C1074,청소코드!$C$4:$J$188,3,FALSE)</f>
        <v>동구햇살 1203</v>
      </c>
      <c r="E1074" s="29" t="str">
        <f>VLOOKUP($C1074,청소코드!$C$4:$J$188,4,FALSE)</f>
        <v>복</v>
      </c>
      <c r="F1074" s="29" t="s">
        <v>426</v>
      </c>
      <c r="G1074" s="29"/>
      <c r="H1074" s="29"/>
      <c r="I1074" s="29" t="s">
        <v>431</v>
      </c>
      <c r="J1074" s="47">
        <f t="shared" si="68"/>
        <v>20000</v>
      </c>
      <c r="K1074" s="29">
        <f>VLOOKUP($C1074,청소코드!$C$4:$J$188,8,FALSE)</f>
        <v>20000</v>
      </c>
      <c r="L1074" s="32"/>
      <c r="M1074" s="31"/>
      <c r="N1074" s="32"/>
      <c r="O1074" s="32"/>
    </row>
    <row r="1075" spans="1:15" customFormat="1" ht="12.75" customHeight="1">
      <c r="A1075" s="30">
        <v>46134</v>
      </c>
      <c r="B1075" s="29" t="str">
        <f t="shared" si="67"/>
        <v>수</v>
      </c>
      <c r="C1075" s="29" t="s">
        <v>385</v>
      </c>
      <c r="D1075" s="29" t="str">
        <f>VLOOKUP($C1075,청소코드!$C$4:$J$188,3,FALSE)</f>
        <v>하람휴 1001</v>
      </c>
      <c r="E1075" s="29">
        <f>VLOOKUP($C1075,청소코드!$C$4:$J$188,4,FALSE)</f>
        <v>2</v>
      </c>
      <c r="F1075" s="29" t="s">
        <v>408</v>
      </c>
      <c r="G1075" s="29"/>
      <c r="H1075" s="29"/>
      <c r="I1075" s="29" t="s">
        <v>431</v>
      </c>
      <c r="J1075" s="47">
        <f t="shared" si="68"/>
        <v>23000</v>
      </c>
      <c r="K1075" s="29">
        <f>VLOOKUP($C1075,청소코드!$C$4:$J$188,8,FALSE)</f>
        <v>23000</v>
      </c>
      <c r="L1075" s="32"/>
      <c r="M1075" s="31"/>
      <c r="N1075" s="32"/>
      <c r="O1075" s="32"/>
    </row>
    <row r="1076" spans="1:15" customFormat="1" ht="12.75" customHeight="1">
      <c r="A1076" s="30">
        <v>46134</v>
      </c>
      <c r="B1076" s="29" t="str">
        <f t="shared" si="67"/>
        <v>수</v>
      </c>
      <c r="C1076" s="29" t="s">
        <v>396</v>
      </c>
      <c r="D1076" s="29" t="str">
        <f>VLOOKUP($C1076,청소코드!$C$4:$J$188,3,FALSE)</f>
        <v>대치동 101호</v>
      </c>
      <c r="E1076" s="29">
        <f>VLOOKUP($C1076,청소코드!$C$4:$J$188,4,FALSE)</f>
        <v>2</v>
      </c>
      <c r="F1076" s="29" t="s">
        <v>499</v>
      </c>
      <c r="G1076" s="29"/>
      <c r="H1076" s="29"/>
      <c r="I1076" s="29" t="s">
        <v>431</v>
      </c>
      <c r="J1076" s="47">
        <f t="shared" si="68"/>
        <v>23000</v>
      </c>
      <c r="K1076" s="29">
        <f>VLOOKUP($C1076,청소코드!$C$4:$J$188,8,FALSE)</f>
        <v>23000</v>
      </c>
      <c r="L1076" s="32"/>
      <c r="M1076" s="31"/>
      <c r="N1076" s="32"/>
      <c r="O1076" s="32"/>
    </row>
    <row r="1077" spans="1:15" customFormat="1" ht="12.75" customHeight="1">
      <c r="A1077" s="30">
        <v>46134</v>
      </c>
      <c r="B1077" s="29" t="str">
        <f t="shared" si="67"/>
        <v>수</v>
      </c>
      <c r="C1077" s="29" t="s">
        <v>393</v>
      </c>
      <c r="D1077" s="29" t="str">
        <f>VLOOKUP($C1077,청소코드!$C$4:$J$188,3,FALSE)</f>
        <v>대치동 103호</v>
      </c>
      <c r="E1077" s="29">
        <f>VLOOKUP($C1077,청소코드!$C$4:$J$188,4,FALSE)</f>
        <v>1.5</v>
      </c>
      <c r="F1077" s="29" t="s">
        <v>499</v>
      </c>
      <c r="G1077" s="29"/>
      <c r="H1077" s="29"/>
      <c r="I1077" s="29" t="s">
        <v>431</v>
      </c>
      <c r="J1077" s="47">
        <f t="shared" si="68"/>
        <v>20000</v>
      </c>
      <c r="K1077" s="29">
        <f>VLOOKUP($C1077,청소코드!$C$4:$J$188,8,FALSE)</f>
        <v>20000</v>
      </c>
      <c r="L1077" s="32"/>
      <c r="M1077" s="31"/>
      <c r="N1077" s="32"/>
      <c r="O1077" s="32"/>
    </row>
    <row r="1078" spans="1:15" customFormat="1" ht="12.75" customHeight="1">
      <c r="A1078" s="30">
        <v>46134</v>
      </c>
      <c r="B1078" s="29" t="str">
        <f t="shared" si="67"/>
        <v>수</v>
      </c>
      <c r="C1078" s="29" t="s">
        <v>416</v>
      </c>
      <c r="D1078" s="29" t="str">
        <f>VLOOKUP($C1078,청소코드!$C$4:$J$188,3,FALSE)</f>
        <v>청광1차 207</v>
      </c>
      <c r="E1078" s="29">
        <f>VLOOKUP($C1078,청소코드!$C$4:$J$188,4,FALSE)</f>
        <v>0</v>
      </c>
      <c r="F1078" s="29" t="s">
        <v>426</v>
      </c>
      <c r="G1078" s="29"/>
      <c r="H1078" s="29"/>
      <c r="I1078" s="29" t="s">
        <v>431</v>
      </c>
      <c r="J1078" s="47">
        <f t="shared" si="68"/>
        <v>10000</v>
      </c>
      <c r="K1078" s="29">
        <f>VLOOKUP($C1078,청소코드!$C$4:$J$188,8,FALSE)</f>
        <v>10000</v>
      </c>
      <c r="L1078" s="32"/>
      <c r="M1078" s="31"/>
      <c r="N1078" s="32"/>
      <c r="O1078" s="32"/>
    </row>
    <row r="1079" spans="1:15" customFormat="1" ht="12.75" customHeight="1">
      <c r="A1079" s="49">
        <v>46135</v>
      </c>
      <c r="B1079" s="50" t="str">
        <f t="shared" si="67"/>
        <v>목</v>
      </c>
      <c r="C1079" s="29" t="s">
        <v>330</v>
      </c>
      <c r="D1079" s="29" t="str">
        <f>VLOOKUP($C1079,청소코드!$C$4:$J$188,3,FALSE)</f>
        <v>예건 204</v>
      </c>
      <c r="E1079" s="29">
        <f>VLOOKUP($C1079,청소코드!$C$4:$J$188,4,FALSE)</f>
        <v>1</v>
      </c>
      <c r="F1079" s="29" t="s">
        <v>452</v>
      </c>
      <c r="G1079" s="29"/>
      <c r="H1079" s="29"/>
      <c r="I1079" s="29" t="s">
        <v>431</v>
      </c>
      <c r="J1079" s="47">
        <f t="shared" si="68"/>
        <v>18000</v>
      </c>
      <c r="K1079" s="29">
        <f>VLOOKUP($C1079,청소코드!$C$4:$J$188,8,FALSE)</f>
        <v>18000</v>
      </c>
      <c r="L1079" s="32"/>
      <c r="M1079" s="31"/>
      <c r="N1079" s="32"/>
      <c r="O1079" s="32"/>
    </row>
    <row r="1080" spans="1:15" customFormat="1" ht="12.75" customHeight="1">
      <c r="A1080" s="30">
        <v>46135</v>
      </c>
      <c r="B1080" s="29" t="str">
        <f t="shared" si="67"/>
        <v>목</v>
      </c>
      <c r="C1080" s="29" t="s">
        <v>497</v>
      </c>
      <c r="D1080" s="29" t="str">
        <f>VLOOKUP($C1080,청소코드!$C$4:$J$188,3,FALSE)</f>
        <v>더하임 1005</v>
      </c>
      <c r="E1080" s="29">
        <f>VLOOKUP($C1080,청소코드!$C$4:$J$188,4,FALSE)</f>
        <v>1</v>
      </c>
      <c r="F1080" s="29" t="s">
        <v>452</v>
      </c>
      <c r="G1080" s="29"/>
      <c r="H1080" s="29"/>
      <c r="I1080" s="29" t="s">
        <v>431</v>
      </c>
      <c r="J1080" s="47">
        <f t="shared" si="68"/>
        <v>18000</v>
      </c>
      <c r="K1080" s="29">
        <f>VLOOKUP($C1080,청소코드!$C$4:$J$188,8,FALSE)</f>
        <v>18000</v>
      </c>
      <c r="L1080" s="32"/>
      <c r="M1080" s="31"/>
      <c r="N1080" s="32"/>
      <c r="O1080" s="32"/>
    </row>
    <row r="1081" spans="1:15" customFormat="1" ht="12.75" customHeight="1">
      <c r="A1081" s="30">
        <v>46135</v>
      </c>
      <c r="B1081" s="29" t="str">
        <f t="shared" si="67"/>
        <v>목</v>
      </c>
      <c r="C1081" s="29" t="s">
        <v>315</v>
      </c>
      <c r="D1081" s="29" t="str">
        <f>VLOOKUP($C1081,청소코드!$C$4:$J$188,3,FALSE)</f>
        <v>동구햇살 1203</v>
      </c>
      <c r="E1081" s="29" t="str">
        <f>VLOOKUP($C1081,청소코드!$C$4:$J$188,4,FALSE)</f>
        <v>복</v>
      </c>
      <c r="F1081" s="29" t="s">
        <v>429</v>
      </c>
      <c r="G1081" s="29"/>
      <c r="H1081" s="29"/>
      <c r="I1081" s="29" t="s">
        <v>431</v>
      </c>
      <c r="J1081" s="47">
        <f t="shared" si="68"/>
        <v>20000</v>
      </c>
      <c r="K1081" s="29">
        <f>VLOOKUP($C1081,청소코드!$C$4:$J$188,8,FALSE)</f>
        <v>20000</v>
      </c>
      <c r="L1081" s="32"/>
      <c r="M1081" s="31"/>
      <c r="N1081" s="32"/>
      <c r="O1081" s="32"/>
    </row>
    <row r="1082" spans="1:15" customFormat="1" ht="12.75" customHeight="1">
      <c r="A1082" s="30">
        <v>46135</v>
      </c>
      <c r="B1082" s="29" t="str">
        <f t="shared" si="67"/>
        <v>목</v>
      </c>
      <c r="C1082" s="29" t="s">
        <v>310</v>
      </c>
      <c r="D1082" s="29" t="str">
        <f>VLOOKUP($C1082,청소코드!$C$4:$J$188,3,FALSE)</f>
        <v>청광3차 806</v>
      </c>
      <c r="E1082" s="29">
        <f>VLOOKUP($C1082,청소코드!$C$4:$J$188,4,FALSE)</f>
        <v>1</v>
      </c>
      <c r="F1082" s="29" t="s">
        <v>426</v>
      </c>
      <c r="G1082" s="29"/>
      <c r="H1082" s="29"/>
      <c r="I1082" s="29" t="s">
        <v>431</v>
      </c>
      <c r="J1082" s="47">
        <f t="shared" si="68"/>
        <v>18000</v>
      </c>
      <c r="K1082" s="29">
        <f>VLOOKUP($C1082,청소코드!$C$4:$J$188,8,FALSE)</f>
        <v>18000</v>
      </c>
      <c r="L1082" s="32"/>
      <c r="M1082" s="31"/>
      <c r="N1082" s="32"/>
      <c r="O1082" s="32"/>
    </row>
    <row r="1083" spans="1:15" customFormat="1" ht="12.75" customHeight="1">
      <c r="A1083" s="30">
        <v>46135</v>
      </c>
      <c r="B1083" s="29" t="str">
        <f t="shared" si="67"/>
        <v>목</v>
      </c>
      <c r="C1083" s="29" t="s">
        <v>292</v>
      </c>
      <c r="D1083" s="29" t="str">
        <f>VLOOKUP($C1083,청소코드!$C$4:$J$188,3,FALSE)</f>
        <v>오앤 401</v>
      </c>
      <c r="E1083" s="29">
        <f>VLOOKUP($C1083,청소코드!$C$4:$J$188,4,FALSE)</f>
        <v>1</v>
      </c>
      <c r="F1083" s="29" t="s">
        <v>426</v>
      </c>
      <c r="G1083" s="29"/>
      <c r="H1083" s="29"/>
      <c r="I1083" s="29" t="s">
        <v>431</v>
      </c>
      <c r="J1083" s="47">
        <f t="shared" si="68"/>
        <v>18000</v>
      </c>
      <c r="K1083" s="29">
        <f>VLOOKUP($C1083,청소코드!$C$4:$J$188,8,FALSE)</f>
        <v>18000</v>
      </c>
      <c r="L1083" s="32"/>
      <c r="M1083" s="31"/>
      <c r="N1083" s="32"/>
      <c r="O1083" s="32"/>
    </row>
    <row r="1084" spans="1:15" customFormat="1" ht="12.75" customHeight="1">
      <c r="A1084" s="30">
        <v>46135</v>
      </c>
      <c r="B1084" s="29" t="str">
        <f t="shared" si="67"/>
        <v>목</v>
      </c>
      <c r="C1084" s="29" t="s">
        <v>334</v>
      </c>
      <c r="D1084" s="29" t="str">
        <f>VLOOKUP($C1084,청소코드!$C$4:$J$188,3,FALSE)</f>
        <v>센텀 2차 406</v>
      </c>
      <c r="E1084" s="29">
        <f>VLOOKUP($C1084,청소코드!$C$4:$J$188,4,FALSE)</f>
        <v>1.5</v>
      </c>
      <c r="F1084" s="29" t="s">
        <v>401</v>
      </c>
      <c r="G1084" s="29"/>
      <c r="H1084" s="29"/>
      <c r="I1084" s="29" t="s">
        <v>431</v>
      </c>
      <c r="J1084" s="47">
        <f t="shared" si="68"/>
        <v>20000</v>
      </c>
      <c r="K1084" s="29">
        <f>VLOOKUP($C1084,청소코드!$C$4:$J$188,8,FALSE)</f>
        <v>20000</v>
      </c>
      <c r="L1084" s="32"/>
      <c r="M1084" s="31"/>
      <c r="N1084" s="32"/>
      <c r="O1084" s="32"/>
    </row>
    <row r="1085" spans="1:15" customFormat="1" ht="12.75" customHeight="1">
      <c r="A1085" s="30">
        <v>46135</v>
      </c>
      <c r="B1085" s="29" t="str">
        <f t="shared" si="67"/>
        <v>목</v>
      </c>
      <c r="C1085" s="29" t="s">
        <v>393</v>
      </c>
      <c r="D1085" s="29" t="str">
        <f>VLOOKUP($C1085,청소코드!$C$4:$J$188,3,FALSE)</f>
        <v>대치동 103호</v>
      </c>
      <c r="E1085" s="29">
        <f>VLOOKUP($C1085,청소코드!$C$4:$J$188,4,FALSE)</f>
        <v>1.5</v>
      </c>
      <c r="F1085" s="29" t="s">
        <v>499</v>
      </c>
      <c r="G1085" s="29"/>
      <c r="H1085" s="29"/>
      <c r="I1085" s="29" t="s">
        <v>431</v>
      </c>
      <c r="J1085" s="47">
        <f t="shared" si="68"/>
        <v>20000</v>
      </c>
      <c r="K1085" s="29">
        <f>VLOOKUP($C1085,청소코드!$C$4:$J$188,8,FALSE)</f>
        <v>20000</v>
      </c>
      <c r="L1085" s="32"/>
      <c r="M1085" s="31"/>
      <c r="N1085" s="32"/>
      <c r="O1085" s="32"/>
    </row>
    <row r="1086" spans="1:15" customFormat="1" ht="12.75" customHeight="1">
      <c r="A1086" s="30">
        <v>46135</v>
      </c>
      <c r="B1086" s="29" t="str">
        <f t="shared" si="67"/>
        <v>목</v>
      </c>
      <c r="C1086" s="29" t="s">
        <v>416</v>
      </c>
      <c r="D1086" s="29" t="str">
        <f>VLOOKUP($C1086,청소코드!$C$4:$J$188,3,FALSE)</f>
        <v>청광1차 207</v>
      </c>
      <c r="E1086" s="29">
        <f>VLOOKUP($C1086,청소코드!$C$4:$J$188,4,FALSE)</f>
        <v>0</v>
      </c>
      <c r="F1086" s="29" t="s">
        <v>426</v>
      </c>
      <c r="G1086" s="29"/>
      <c r="H1086" s="29"/>
      <c r="I1086" s="29" t="s">
        <v>1290</v>
      </c>
      <c r="J1086" s="47">
        <f t="shared" si="68"/>
        <v>10000</v>
      </c>
      <c r="K1086" s="29">
        <f>VLOOKUP($C1086,청소코드!$C$4:$J$188,8,FALSE)</f>
        <v>10000</v>
      </c>
      <c r="L1086" s="32"/>
      <c r="M1086" s="31"/>
      <c r="N1086" s="32"/>
      <c r="O1086" s="32"/>
    </row>
    <row r="1087" spans="1:15" customFormat="1" ht="12.75" customHeight="1">
      <c r="A1087" s="49">
        <v>46136</v>
      </c>
      <c r="B1087" s="50" t="str">
        <f t="shared" si="67"/>
        <v>금</v>
      </c>
      <c r="C1087" s="29" t="s">
        <v>1224</v>
      </c>
      <c r="D1087" s="29" t="str">
        <f>VLOOKUP($C1087,청소코드!$C$4:$J$188,3,FALSE)</f>
        <v>더하임 1003</v>
      </c>
      <c r="E1087" s="29">
        <f>VLOOKUP($C1087,청소코드!$C$4:$J$188,4,FALSE)</f>
        <v>1</v>
      </c>
      <c r="F1087" s="29" t="s">
        <v>1248</v>
      </c>
      <c r="G1087" s="29"/>
      <c r="H1087" s="29"/>
      <c r="I1087" s="29" t="s">
        <v>431</v>
      </c>
      <c r="J1087" s="47">
        <f t="shared" si="68"/>
        <v>18000</v>
      </c>
      <c r="K1087" s="29">
        <f>VLOOKUP($C1087,청소코드!$C$4:$J$188,8,FALSE)</f>
        <v>18000</v>
      </c>
      <c r="L1087" s="32"/>
      <c r="M1087" s="31"/>
      <c r="N1087" s="32"/>
      <c r="O1087" s="32"/>
    </row>
    <row r="1088" spans="1:15" customFormat="1" ht="12.75" customHeight="1">
      <c r="A1088" s="30">
        <v>46136</v>
      </c>
      <c r="B1088" s="29" t="str">
        <f t="shared" si="67"/>
        <v>금</v>
      </c>
      <c r="C1088" s="29" t="s">
        <v>1225</v>
      </c>
      <c r="D1088" s="29" t="str">
        <f>VLOOKUP($C1088,청소코드!$C$4:$J$188,3,FALSE)</f>
        <v>더하임 1004</v>
      </c>
      <c r="E1088" s="29">
        <f>VLOOKUP($C1088,청소코드!$C$4:$J$188,4,FALSE)</f>
        <v>1</v>
      </c>
      <c r="F1088" s="29" t="s">
        <v>1248</v>
      </c>
      <c r="G1088" s="29"/>
      <c r="H1088" s="29"/>
      <c r="I1088" s="29" t="s">
        <v>431</v>
      </c>
      <c r="J1088" s="47">
        <f t="shared" si="68"/>
        <v>18000</v>
      </c>
      <c r="K1088" s="29">
        <f>VLOOKUP($C1088,청소코드!$C$4:$J$188,8,FALSE)</f>
        <v>18000</v>
      </c>
      <c r="L1088" s="32"/>
      <c r="M1088" s="31"/>
      <c r="N1088" s="32"/>
      <c r="O1088" s="32"/>
    </row>
    <row r="1089" spans="1:15" customFormat="1" ht="12.75" customHeight="1">
      <c r="A1089" s="30">
        <v>46136</v>
      </c>
      <c r="B1089" s="29" t="str">
        <f t="shared" si="67"/>
        <v>금</v>
      </c>
      <c r="C1089" s="29" t="s">
        <v>1226</v>
      </c>
      <c r="D1089" s="29" t="str">
        <f>VLOOKUP($C1089,청소코드!$C$4:$J$188,3,FALSE)</f>
        <v>더하임 203</v>
      </c>
      <c r="E1089" s="29">
        <f>VLOOKUP($C1089,청소코드!$C$4:$J$188,4,FALSE)</f>
        <v>1</v>
      </c>
      <c r="F1089" s="29" t="s">
        <v>1250</v>
      </c>
      <c r="G1089" s="29"/>
      <c r="H1089" s="29"/>
      <c r="I1089" s="29" t="s">
        <v>431</v>
      </c>
      <c r="J1089" s="47">
        <f t="shared" si="68"/>
        <v>18000</v>
      </c>
      <c r="K1089" s="29">
        <f>VLOOKUP($C1089,청소코드!$C$4:$J$188,8,FALSE)</f>
        <v>18000</v>
      </c>
      <c r="L1089" s="32"/>
      <c r="M1089" s="31"/>
      <c r="N1089" s="32"/>
      <c r="O1089" s="32"/>
    </row>
    <row r="1090" spans="1:15" customFormat="1" ht="12.75" customHeight="1">
      <c r="A1090" s="30">
        <v>46136</v>
      </c>
      <c r="B1090" s="29" t="str">
        <f t="shared" si="67"/>
        <v>금</v>
      </c>
      <c r="C1090" s="29" t="s">
        <v>1228</v>
      </c>
      <c r="D1090" s="29" t="str">
        <f>VLOOKUP($C1090,청소코드!$C$4:$J$188,3,FALSE)</f>
        <v>렘브 204</v>
      </c>
      <c r="E1090" s="29">
        <f>VLOOKUP($C1090,청소코드!$C$4:$J$188,4,FALSE)</f>
        <v>1</v>
      </c>
      <c r="F1090" s="29" t="s">
        <v>1241</v>
      </c>
      <c r="G1090" s="29"/>
      <c r="H1090" s="29"/>
      <c r="I1090" s="29" t="s">
        <v>431</v>
      </c>
      <c r="J1090" s="47">
        <f t="shared" si="68"/>
        <v>18000</v>
      </c>
      <c r="K1090" s="29">
        <f>VLOOKUP($C1090,청소코드!$C$4:$J$188,8,FALSE)</f>
        <v>18000</v>
      </c>
      <c r="L1090" s="32"/>
      <c r="M1090" s="31"/>
      <c r="N1090" s="32"/>
      <c r="O1090" s="32"/>
    </row>
    <row r="1091" spans="1:15" customFormat="1" ht="12.75" customHeight="1">
      <c r="A1091" s="30">
        <v>46136</v>
      </c>
      <c r="B1091" s="29" t="str">
        <f t="shared" si="67"/>
        <v>금</v>
      </c>
      <c r="C1091" s="29" t="s">
        <v>1229</v>
      </c>
      <c r="D1091" s="29" t="str">
        <f>VLOOKUP($C1091,청소코드!$C$4:$J$188,3,FALSE)</f>
        <v>동구햇살 1203</v>
      </c>
      <c r="E1091" s="29" t="str">
        <f>VLOOKUP($C1091,청소코드!$C$4:$J$188,4,FALSE)</f>
        <v>복</v>
      </c>
      <c r="F1091" s="29" t="s">
        <v>1242</v>
      </c>
      <c r="G1091" s="29"/>
      <c r="H1091" s="29"/>
      <c r="I1091" s="29" t="s">
        <v>431</v>
      </c>
      <c r="J1091" s="47">
        <f t="shared" si="68"/>
        <v>20000</v>
      </c>
      <c r="K1091" s="29">
        <f>VLOOKUP($C1091,청소코드!$C$4:$J$188,8,FALSE)</f>
        <v>20000</v>
      </c>
      <c r="L1091" s="32"/>
      <c r="M1091" s="31"/>
      <c r="N1091" s="32"/>
      <c r="O1091" s="32"/>
    </row>
    <row r="1092" spans="1:15" customFormat="1" ht="12.75" customHeight="1">
      <c r="A1092" s="30">
        <v>46136</v>
      </c>
      <c r="B1092" s="29" t="str">
        <f t="shared" si="67"/>
        <v>금</v>
      </c>
      <c r="C1092" s="29" t="s">
        <v>1243</v>
      </c>
      <c r="D1092" s="29" t="str">
        <f>VLOOKUP($C1092,청소코드!$C$4:$J$188,3,FALSE)</f>
        <v>은성 603</v>
      </c>
      <c r="E1092" s="29">
        <f>VLOOKUP($C1092,청소코드!$C$4:$J$188,4,FALSE)</f>
        <v>1</v>
      </c>
      <c r="F1092" s="29" t="s">
        <v>1244</v>
      </c>
      <c r="G1092" s="29"/>
      <c r="H1092" s="29"/>
      <c r="I1092" s="29" t="s">
        <v>431</v>
      </c>
      <c r="J1092" s="47">
        <f t="shared" si="68"/>
        <v>18000</v>
      </c>
      <c r="K1092" s="29">
        <f>VLOOKUP($C1092,청소코드!$C$4:$J$188,8,FALSE)</f>
        <v>18000</v>
      </c>
      <c r="L1092" s="32"/>
      <c r="M1092" s="31"/>
      <c r="N1092" s="32"/>
      <c r="O1092" s="32"/>
    </row>
    <row r="1093" spans="1:15" customFormat="1" ht="12.75" customHeight="1">
      <c r="A1093" s="30">
        <v>46136</v>
      </c>
      <c r="B1093" s="29" t="str">
        <f t="shared" si="67"/>
        <v>금</v>
      </c>
      <c r="C1093" s="29" t="s">
        <v>1230</v>
      </c>
      <c r="D1093" s="29" t="str">
        <f>VLOOKUP($C1093,청소코드!$C$4:$J$188,3,FALSE)</f>
        <v>성우 304</v>
      </c>
      <c r="E1093" s="29">
        <f>VLOOKUP($C1093,청소코드!$C$4:$J$188,4,FALSE)</f>
        <v>2</v>
      </c>
      <c r="F1093" s="29" t="s">
        <v>1244</v>
      </c>
      <c r="G1093" s="29"/>
      <c r="H1093" s="29"/>
      <c r="I1093" s="29" t="s">
        <v>431</v>
      </c>
      <c r="J1093" s="47">
        <f t="shared" si="68"/>
        <v>23000</v>
      </c>
      <c r="K1093" s="29">
        <f>VLOOKUP($C1093,청소코드!$C$4:$J$188,8,FALSE)</f>
        <v>23000</v>
      </c>
      <c r="L1093" s="32"/>
      <c r="M1093" s="31"/>
      <c r="N1093" s="32"/>
      <c r="O1093" s="32"/>
    </row>
    <row r="1094" spans="1:15" customFormat="1" ht="12.75" customHeight="1">
      <c r="A1094" s="30">
        <v>46136</v>
      </c>
      <c r="B1094" s="29" t="str">
        <f t="shared" ref="B1094:B1125" si="69">TEXT(A1094,"aaa")</f>
        <v>금</v>
      </c>
      <c r="C1094" s="29" t="s">
        <v>1231</v>
      </c>
      <c r="D1094" s="29" t="str">
        <f>VLOOKUP($C1094,청소코드!$C$4:$J$188,3,FALSE)</f>
        <v>청광3차 806</v>
      </c>
      <c r="E1094" s="29">
        <f>VLOOKUP($C1094,청소코드!$C$4:$J$188,4,FALSE)</f>
        <v>1</v>
      </c>
      <c r="F1094" s="29" t="s">
        <v>1245</v>
      </c>
      <c r="G1094" s="29"/>
      <c r="H1094" s="29"/>
      <c r="I1094" s="29" t="s">
        <v>431</v>
      </c>
      <c r="J1094" s="47">
        <f t="shared" ref="J1094:J1125" si="70">SUM(K1094:O1094)</f>
        <v>18000</v>
      </c>
      <c r="K1094" s="29">
        <f>VLOOKUP($C1094,청소코드!$C$4:$J$188,8,FALSE)</f>
        <v>18000</v>
      </c>
      <c r="L1094" s="32"/>
      <c r="M1094" s="31"/>
      <c r="N1094" s="32"/>
      <c r="O1094" s="32"/>
    </row>
    <row r="1095" spans="1:15" customFormat="1" ht="12.75" customHeight="1">
      <c r="A1095" s="30">
        <v>46136</v>
      </c>
      <c r="B1095" s="29" t="str">
        <f t="shared" si="69"/>
        <v>금</v>
      </c>
      <c r="C1095" s="29" t="s">
        <v>1232</v>
      </c>
      <c r="D1095" s="29" t="str">
        <f>VLOOKUP($C1095,청소코드!$C$4:$J$188,3,FALSE)</f>
        <v>오금스타 205</v>
      </c>
      <c r="E1095" s="29">
        <f>VLOOKUP($C1095,청소코드!$C$4:$J$188,4,FALSE)</f>
        <v>1</v>
      </c>
      <c r="F1095" s="29" t="s">
        <v>1246</v>
      </c>
      <c r="G1095" s="29"/>
      <c r="H1095" s="29"/>
      <c r="I1095" s="29" t="s">
        <v>431</v>
      </c>
      <c r="J1095" s="47">
        <f t="shared" si="70"/>
        <v>18000</v>
      </c>
      <c r="K1095" s="29">
        <f>VLOOKUP($C1095,청소코드!$C$4:$J$188,8,FALSE)</f>
        <v>18000</v>
      </c>
      <c r="L1095" s="32"/>
      <c r="M1095" s="31"/>
      <c r="N1095" s="32"/>
      <c r="O1095" s="32"/>
    </row>
    <row r="1096" spans="1:15" customFormat="1" ht="12.75" customHeight="1">
      <c r="A1096" s="30">
        <v>46136</v>
      </c>
      <c r="B1096" s="29" t="str">
        <f t="shared" si="69"/>
        <v>금</v>
      </c>
      <c r="C1096" s="29" t="s">
        <v>1233</v>
      </c>
      <c r="D1096" s="29" t="str">
        <f>VLOOKUP($C1096,청소코드!$C$4:$J$188,3,FALSE)</f>
        <v>센텀 2차 406</v>
      </c>
      <c r="E1096" s="29">
        <f>VLOOKUP($C1096,청소코드!$C$4:$J$188,4,FALSE)</f>
        <v>1.5</v>
      </c>
      <c r="F1096" s="29" t="s">
        <v>1247</v>
      </c>
      <c r="G1096" s="29"/>
      <c r="H1096" s="29"/>
      <c r="I1096" s="29" t="s">
        <v>431</v>
      </c>
      <c r="J1096" s="47">
        <f t="shared" si="70"/>
        <v>20000</v>
      </c>
      <c r="K1096" s="29">
        <f>VLOOKUP($C1096,청소코드!$C$4:$J$188,8,FALSE)</f>
        <v>20000</v>
      </c>
      <c r="L1096" s="32"/>
      <c r="M1096" s="31"/>
      <c r="N1096" s="32"/>
      <c r="O1096" s="32"/>
    </row>
    <row r="1097" spans="1:15" customFormat="1" ht="12.75" customHeight="1">
      <c r="A1097" s="30">
        <v>46136</v>
      </c>
      <c r="B1097" s="29" t="str">
        <f t="shared" si="69"/>
        <v>금</v>
      </c>
      <c r="C1097" s="29" t="s">
        <v>1234</v>
      </c>
      <c r="D1097" s="29" t="str">
        <f>VLOOKUP($C1097,청소코드!$C$4:$J$188,3,FALSE)</f>
        <v>센텀 2차 501</v>
      </c>
      <c r="E1097" s="29">
        <f>VLOOKUP($C1097,청소코드!$C$4:$J$188,4,FALSE)</f>
        <v>1.5</v>
      </c>
      <c r="F1097" s="29" t="s">
        <v>1247</v>
      </c>
      <c r="G1097" s="29"/>
      <c r="H1097" s="29"/>
      <c r="I1097" s="29" t="s">
        <v>431</v>
      </c>
      <c r="J1097" s="47">
        <f t="shared" si="70"/>
        <v>20000</v>
      </c>
      <c r="K1097" s="29">
        <f>VLOOKUP($C1097,청소코드!$C$4:$J$188,8,FALSE)</f>
        <v>20000</v>
      </c>
      <c r="L1097" s="32"/>
      <c r="M1097" s="31"/>
      <c r="N1097" s="32"/>
      <c r="O1097" s="32"/>
    </row>
    <row r="1098" spans="1:15" customFormat="1" ht="12.75" customHeight="1">
      <c r="A1098" s="30">
        <v>46136</v>
      </c>
      <c r="B1098" s="29" t="str">
        <f t="shared" si="69"/>
        <v>금</v>
      </c>
      <c r="C1098" s="29" t="s">
        <v>1235</v>
      </c>
      <c r="D1098" s="29" t="str">
        <f>VLOOKUP($C1098,청소코드!$C$4:$J$188,3,FALSE)</f>
        <v>선일 101</v>
      </c>
      <c r="E1098" s="29">
        <f>VLOOKUP($C1098,청소코드!$C$4:$J$188,4,FALSE)</f>
        <v>2</v>
      </c>
      <c r="F1098" s="29" t="s">
        <v>1247</v>
      </c>
      <c r="G1098" s="29" t="s">
        <v>1262</v>
      </c>
      <c r="H1098" s="29"/>
      <c r="I1098" s="29" t="s">
        <v>431</v>
      </c>
      <c r="J1098" s="47">
        <f t="shared" si="70"/>
        <v>35000</v>
      </c>
      <c r="K1098" s="29">
        <f>VLOOKUP($C1098,청소코드!$C$4:$J$188,8,FALSE)</f>
        <v>23000</v>
      </c>
      <c r="L1098" s="32">
        <v>12000</v>
      </c>
      <c r="M1098" s="31"/>
      <c r="N1098" s="32"/>
      <c r="O1098" s="32"/>
    </row>
    <row r="1099" spans="1:15" customFormat="1" ht="12.75" customHeight="1">
      <c r="A1099" s="30">
        <v>46136</v>
      </c>
      <c r="B1099" s="29" t="str">
        <f t="shared" si="69"/>
        <v>금</v>
      </c>
      <c r="C1099" s="29" t="s">
        <v>1236</v>
      </c>
      <c r="D1099" s="29" t="str">
        <f>VLOOKUP($C1099,청소코드!$C$4:$J$188,3,FALSE)</f>
        <v>한양립스 503</v>
      </c>
      <c r="E1099" s="29">
        <f>VLOOKUP($C1099,청소코드!$C$4:$J$188,4,FALSE)</f>
        <v>1</v>
      </c>
      <c r="F1099" s="29" t="s">
        <v>401</v>
      </c>
      <c r="G1099" s="29"/>
      <c r="H1099" s="29"/>
      <c r="I1099" s="29" t="s">
        <v>431</v>
      </c>
      <c r="J1099" s="47">
        <f t="shared" si="70"/>
        <v>18000</v>
      </c>
      <c r="K1099" s="29">
        <f>VLOOKUP($C1099,청소코드!$C$4:$J$188,8,FALSE)</f>
        <v>18000</v>
      </c>
      <c r="L1099" s="32"/>
      <c r="M1099" s="31"/>
      <c r="N1099" s="32"/>
      <c r="O1099" s="32"/>
    </row>
    <row r="1100" spans="1:15" customFormat="1" ht="12.75" customHeight="1">
      <c r="A1100" s="30">
        <v>46136</v>
      </c>
      <c r="B1100" s="29" t="str">
        <f t="shared" si="69"/>
        <v>금</v>
      </c>
      <c r="C1100" s="29" t="s">
        <v>1237</v>
      </c>
      <c r="D1100" s="29" t="str">
        <f>VLOOKUP($C1100,청소코드!$C$4:$J$188,3,FALSE)</f>
        <v>오앤 401</v>
      </c>
      <c r="E1100" s="29">
        <f>VLOOKUP($C1100,청소코드!$C$4:$J$188,4,FALSE)</f>
        <v>1</v>
      </c>
      <c r="F1100" s="29" t="s">
        <v>401</v>
      </c>
      <c r="G1100" s="29"/>
      <c r="H1100" s="29"/>
      <c r="I1100" s="29" t="s">
        <v>431</v>
      </c>
      <c r="J1100" s="47">
        <f t="shared" si="70"/>
        <v>18000</v>
      </c>
      <c r="K1100" s="29">
        <f>VLOOKUP($C1100,청소코드!$C$4:$J$188,8,FALSE)</f>
        <v>18000</v>
      </c>
      <c r="L1100" s="32"/>
      <c r="M1100" s="31"/>
      <c r="N1100" s="32"/>
      <c r="O1100" s="32"/>
    </row>
    <row r="1101" spans="1:15" customFormat="1" ht="12.75" customHeight="1">
      <c r="A1101" s="30">
        <v>46136</v>
      </c>
      <c r="B1101" s="29" t="str">
        <f t="shared" si="69"/>
        <v>금</v>
      </c>
      <c r="C1101" s="29" t="s">
        <v>1238</v>
      </c>
      <c r="D1101" s="29" t="str">
        <f>VLOOKUP($C1101,청소코드!$C$4:$J$188,3,FALSE)</f>
        <v>성우 501</v>
      </c>
      <c r="E1101" s="29">
        <f>VLOOKUP($C1101,청소코드!$C$4:$J$188,4,FALSE)</f>
        <v>2</v>
      </c>
      <c r="F1101" s="29" t="s">
        <v>1248</v>
      </c>
      <c r="G1101" s="29"/>
      <c r="H1101" s="29"/>
      <c r="I1101" s="29" t="s">
        <v>431</v>
      </c>
      <c r="J1101" s="47">
        <f t="shared" si="70"/>
        <v>23000</v>
      </c>
      <c r="K1101" s="29">
        <f>VLOOKUP($C1101,청소코드!$C$4:$J$188,8,FALSE)</f>
        <v>23000</v>
      </c>
      <c r="L1101" s="32"/>
      <c r="M1101" s="31"/>
      <c r="N1101" s="32"/>
      <c r="O1101" s="32"/>
    </row>
    <row r="1102" spans="1:15" customFormat="1" ht="12.75" customHeight="1">
      <c r="A1102" s="30">
        <v>46136</v>
      </c>
      <c r="B1102" s="29" t="str">
        <f t="shared" si="69"/>
        <v>금</v>
      </c>
      <c r="C1102" s="29" t="s">
        <v>1239</v>
      </c>
      <c r="D1102" s="29" t="str">
        <f>VLOOKUP($C1102,청소코드!$C$4:$J$188,3,FALSE)</f>
        <v>성우 803</v>
      </c>
      <c r="E1102" s="29">
        <f>VLOOKUP($C1102,청소코드!$C$4:$J$188,4,FALSE)</f>
        <v>3</v>
      </c>
      <c r="F1102" s="29" t="s">
        <v>1248</v>
      </c>
      <c r="G1102" s="29"/>
      <c r="H1102" s="29"/>
      <c r="I1102" s="29" t="s">
        <v>431</v>
      </c>
      <c r="J1102" s="47">
        <f t="shared" si="70"/>
        <v>30000</v>
      </c>
      <c r="K1102" s="29">
        <f>VLOOKUP($C1102,청소코드!$C$4:$J$188,8,FALSE)</f>
        <v>30000</v>
      </c>
      <c r="L1102" s="32"/>
      <c r="M1102" s="31"/>
      <c r="N1102" s="32"/>
      <c r="O1102" s="32"/>
    </row>
    <row r="1103" spans="1:15" customFormat="1" ht="12.75" customHeight="1">
      <c r="A1103" s="30">
        <v>46136</v>
      </c>
      <c r="B1103" s="29" t="str">
        <f t="shared" si="69"/>
        <v>금</v>
      </c>
      <c r="C1103" s="29" t="s">
        <v>1240</v>
      </c>
      <c r="D1103" s="29" t="str">
        <f>VLOOKUP($C1103,청소코드!$C$4:$J$188,3,FALSE)</f>
        <v>대치동 103호</v>
      </c>
      <c r="E1103" s="29">
        <f>VLOOKUP($C1103,청소코드!$C$4:$J$188,4,FALSE)</f>
        <v>1.5</v>
      </c>
      <c r="F1103" s="29" t="s">
        <v>1249</v>
      </c>
      <c r="G1103" s="29"/>
      <c r="H1103" s="29"/>
      <c r="I1103" s="29" t="s">
        <v>431</v>
      </c>
      <c r="J1103" s="47">
        <f t="shared" si="70"/>
        <v>20000</v>
      </c>
      <c r="K1103" s="29">
        <f>VLOOKUP($C1103,청소코드!$C$4:$J$188,8,FALSE)</f>
        <v>20000</v>
      </c>
      <c r="L1103" s="32"/>
      <c r="M1103" s="31"/>
      <c r="N1103" s="32"/>
      <c r="O1103" s="32"/>
    </row>
    <row r="1104" spans="1:15" customFormat="1" ht="12.75" customHeight="1">
      <c r="A1104" s="30">
        <v>46136</v>
      </c>
      <c r="B1104" s="29" t="str">
        <f t="shared" si="69"/>
        <v>금</v>
      </c>
      <c r="C1104" s="29" t="s">
        <v>1251</v>
      </c>
      <c r="D1104" s="29" t="str">
        <f>VLOOKUP($C1104,청소코드!$C$4:$J$188,3,FALSE)</f>
        <v>더하임 304</v>
      </c>
      <c r="E1104" s="29">
        <f>VLOOKUP($C1104,청소코드!$C$4:$J$188,4,FALSE)</f>
        <v>1</v>
      </c>
      <c r="F1104" s="29" t="s">
        <v>1244</v>
      </c>
      <c r="G1104" s="29"/>
      <c r="H1104" s="29"/>
      <c r="I1104" s="29" t="s">
        <v>431</v>
      </c>
      <c r="J1104" s="47">
        <f t="shared" si="70"/>
        <v>18000</v>
      </c>
      <c r="K1104" s="29">
        <f>VLOOKUP($C1104,청소코드!$C$4:$J$188,8,FALSE)</f>
        <v>18000</v>
      </c>
      <c r="L1104" s="32"/>
      <c r="M1104" s="31"/>
      <c r="N1104" s="32"/>
      <c r="O1104" s="32"/>
    </row>
    <row r="1105" spans="1:15" customFormat="1" ht="12.75" customHeight="1">
      <c r="A1105" s="30">
        <v>46136</v>
      </c>
      <c r="B1105" s="29" t="str">
        <f t="shared" si="69"/>
        <v>금</v>
      </c>
      <c r="C1105" s="29" t="s">
        <v>1252</v>
      </c>
      <c r="D1105" s="29" t="str">
        <f>VLOOKUP($C1105,청소코드!$C$4:$J$188,3,FALSE)</f>
        <v>청광1차 207</v>
      </c>
      <c r="E1105" s="29">
        <f>VLOOKUP($C1105,청소코드!$C$4:$J$188,4,FALSE)</f>
        <v>0</v>
      </c>
      <c r="F1105" s="29" t="s">
        <v>1247</v>
      </c>
      <c r="G1105" s="29"/>
      <c r="H1105" s="29"/>
      <c r="I1105" s="29" t="s">
        <v>1263</v>
      </c>
      <c r="J1105" s="47">
        <f t="shared" si="70"/>
        <v>10000</v>
      </c>
      <c r="K1105" s="29">
        <f>VLOOKUP($C1105,청소코드!$C$4:$J$188,8,FALSE)</f>
        <v>10000</v>
      </c>
      <c r="L1105" s="32"/>
      <c r="M1105" s="31"/>
      <c r="N1105" s="32"/>
      <c r="O1105" s="32"/>
    </row>
    <row r="1106" spans="1:15" customFormat="1" ht="12.75" customHeight="1">
      <c r="A1106" s="49">
        <v>46137</v>
      </c>
      <c r="B1106" s="50" t="str">
        <f t="shared" si="69"/>
        <v>토</v>
      </c>
      <c r="C1106" s="29" t="s">
        <v>1233</v>
      </c>
      <c r="D1106" s="29" t="str">
        <f>VLOOKUP($C1106,청소코드!$C$4:$J$188,3,FALSE)</f>
        <v>센텀 2차 406</v>
      </c>
      <c r="E1106" s="29">
        <f>VLOOKUP($C1106,청소코드!$C$4:$J$188,4,FALSE)</f>
        <v>1.5</v>
      </c>
      <c r="F1106" s="29" t="s">
        <v>1244</v>
      </c>
      <c r="G1106" s="29"/>
      <c r="H1106" s="29"/>
      <c r="I1106" s="29" t="s">
        <v>1263</v>
      </c>
      <c r="J1106" s="47">
        <f t="shared" si="70"/>
        <v>20000</v>
      </c>
      <c r="K1106" s="29">
        <f>VLOOKUP($C1106,청소코드!$C$4:$J$188,8,FALSE)</f>
        <v>20000</v>
      </c>
      <c r="L1106" s="32"/>
      <c r="M1106" s="31"/>
      <c r="N1106" s="32"/>
      <c r="O1106" s="32"/>
    </row>
    <row r="1107" spans="1:15" customFormat="1" ht="12.75" customHeight="1">
      <c r="A1107" s="30">
        <v>46137</v>
      </c>
      <c r="B1107" s="29" t="str">
        <f t="shared" si="69"/>
        <v>토</v>
      </c>
      <c r="C1107" s="29" t="s">
        <v>1253</v>
      </c>
      <c r="D1107" s="29" t="str">
        <f>VLOOKUP($C1107,청소코드!$C$4:$J$188,3,FALSE)</f>
        <v>예건 204</v>
      </c>
      <c r="E1107" s="29">
        <f>VLOOKUP($C1107,청소코드!$C$4:$J$188,4,FALSE)</f>
        <v>1</v>
      </c>
      <c r="F1107" s="29" t="s">
        <v>1244</v>
      </c>
      <c r="G1107" s="29"/>
      <c r="H1107" s="29"/>
      <c r="I1107" s="29" t="s">
        <v>431</v>
      </c>
      <c r="J1107" s="47">
        <f t="shared" si="70"/>
        <v>18000</v>
      </c>
      <c r="K1107" s="29">
        <f>VLOOKUP($C1107,청소코드!$C$4:$J$188,8,FALSE)</f>
        <v>18000</v>
      </c>
      <c r="L1107" s="32"/>
      <c r="M1107" s="31"/>
      <c r="N1107" s="32"/>
      <c r="O1107" s="32"/>
    </row>
    <row r="1108" spans="1:15" customFormat="1" ht="12.75" customHeight="1">
      <c r="A1108" s="30">
        <v>46137</v>
      </c>
      <c r="B1108" s="29" t="str">
        <f t="shared" si="69"/>
        <v>토</v>
      </c>
      <c r="C1108" s="29" t="s">
        <v>1254</v>
      </c>
      <c r="D1108" s="29" t="str">
        <f>VLOOKUP($C1108,청소코드!$C$4:$J$188,3,FALSE)</f>
        <v>예건 205</v>
      </c>
      <c r="E1108" s="29">
        <f>VLOOKUP($C1108,청소코드!$C$4:$J$188,4,FALSE)</f>
        <v>1</v>
      </c>
      <c r="F1108" s="29" t="s">
        <v>1244</v>
      </c>
      <c r="G1108" s="29"/>
      <c r="H1108" s="29"/>
      <c r="I1108" s="29" t="s">
        <v>431</v>
      </c>
      <c r="J1108" s="47">
        <f t="shared" si="70"/>
        <v>18000</v>
      </c>
      <c r="K1108" s="29">
        <f>VLOOKUP($C1108,청소코드!$C$4:$J$188,8,FALSE)</f>
        <v>18000</v>
      </c>
      <c r="L1108" s="32"/>
      <c r="M1108" s="31"/>
      <c r="N1108" s="32"/>
      <c r="O1108" s="32"/>
    </row>
    <row r="1109" spans="1:15" customFormat="1" ht="12.75" customHeight="1">
      <c r="A1109" s="30">
        <v>46137</v>
      </c>
      <c r="B1109" s="29" t="str">
        <f t="shared" si="69"/>
        <v>토</v>
      </c>
      <c r="C1109" s="29" t="s">
        <v>1224</v>
      </c>
      <c r="D1109" s="29" t="str">
        <f>VLOOKUP($C1109,청소코드!$C$4:$J$188,3,FALSE)</f>
        <v>더하임 1003</v>
      </c>
      <c r="E1109" s="29">
        <f>VLOOKUP($C1109,청소코드!$C$4:$J$188,4,FALSE)</f>
        <v>1</v>
      </c>
      <c r="F1109" s="29" t="s">
        <v>1241</v>
      </c>
      <c r="G1109" s="29"/>
      <c r="H1109" s="29"/>
      <c r="I1109" s="29" t="s">
        <v>431</v>
      </c>
      <c r="J1109" s="47">
        <f t="shared" si="70"/>
        <v>18000</v>
      </c>
      <c r="K1109" s="29">
        <f>VLOOKUP($C1109,청소코드!$C$4:$J$188,8,FALSE)</f>
        <v>18000</v>
      </c>
      <c r="L1109" s="32"/>
      <c r="M1109" s="31"/>
      <c r="N1109" s="32"/>
      <c r="O1109" s="32"/>
    </row>
    <row r="1110" spans="1:15" customFormat="1" ht="12.75" customHeight="1">
      <c r="A1110" s="30">
        <v>46137</v>
      </c>
      <c r="B1110" s="29" t="str">
        <f t="shared" si="69"/>
        <v>토</v>
      </c>
      <c r="C1110" s="29" t="s">
        <v>1255</v>
      </c>
      <c r="D1110" s="29" t="str">
        <f>VLOOKUP($C1110,청소코드!$C$4:$J$188,3,FALSE)</f>
        <v>더하임 1005</v>
      </c>
      <c r="E1110" s="29">
        <f>VLOOKUP($C1110,청소코드!$C$4:$J$188,4,FALSE)</f>
        <v>1</v>
      </c>
      <c r="F1110" s="29" t="s">
        <v>1242</v>
      </c>
      <c r="G1110" s="29"/>
      <c r="H1110" s="29"/>
      <c r="I1110" s="29" t="s">
        <v>431</v>
      </c>
      <c r="J1110" s="47">
        <f t="shared" si="70"/>
        <v>18000</v>
      </c>
      <c r="K1110" s="29">
        <f>VLOOKUP($C1110,청소코드!$C$4:$J$188,8,FALSE)</f>
        <v>18000</v>
      </c>
      <c r="L1110" s="32"/>
      <c r="M1110" s="31"/>
      <c r="N1110" s="32"/>
      <c r="O1110" s="32"/>
    </row>
    <row r="1111" spans="1:15" customFormat="1" ht="12.75" customHeight="1">
      <c r="A1111" s="30">
        <v>46137</v>
      </c>
      <c r="B1111" s="29" t="str">
        <f t="shared" si="69"/>
        <v>토</v>
      </c>
      <c r="C1111" s="29" t="s">
        <v>1227</v>
      </c>
      <c r="D1111" s="29" t="str">
        <f>VLOOKUP($C1111,청소코드!$C$4:$J$188,3,FALSE)</f>
        <v>더하임 204</v>
      </c>
      <c r="E1111" s="29">
        <f>VLOOKUP($C1111,청소코드!$C$4:$J$188,4,FALSE)</f>
        <v>1</v>
      </c>
      <c r="F1111" s="29" t="s">
        <v>1245</v>
      </c>
      <c r="G1111" s="29"/>
      <c r="H1111" s="29"/>
      <c r="I1111" s="29" t="s">
        <v>431</v>
      </c>
      <c r="J1111" s="47">
        <f t="shared" si="70"/>
        <v>18000</v>
      </c>
      <c r="K1111" s="29">
        <f>VLOOKUP($C1111,청소코드!$C$4:$J$188,8,FALSE)</f>
        <v>18000</v>
      </c>
      <c r="L1111" s="32"/>
      <c r="M1111" s="31"/>
      <c r="N1111" s="32"/>
      <c r="O1111" s="32"/>
    </row>
    <row r="1112" spans="1:15" customFormat="1" ht="12.75" customHeight="1">
      <c r="A1112" s="30">
        <v>46137</v>
      </c>
      <c r="B1112" s="29" t="str">
        <f t="shared" si="69"/>
        <v>토</v>
      </c>
      <c r="C1112" s="29" t="s">
        <v>1251</v>
      </c>
      <c r="D1112" s="29" t="str">
        <f>VLOOKUP($C1112,청소코드!$C$4:$J$188,3,FALSE)</f>
        <v>더하임 304</v>
      </c>
      <c r="E1112" s="29">
        <f>VLOOKUP($C1112,청소코드!$C$4:$J$188,4,FALSE)</f>
        <v>1</v>
      </c>
      <c r="F1112" s="29" t="s">
        <v>1258</v>
      </c>
      <c r="G1112" s="29"/>
      <c r="H1112" s="29"/>
      <c r="I1112" s="29" t="s">
        <v>431</v>
      </c>
      <c r="J1112" s="47">
        <f t="shared" si="70"/>
        <v>18000</v>
      </c>
      <c r="K1112" s="29">
        <f>VLOOKUP($C1112,청소코드!$C$4:$J$188,8,FALSE)</f>
        <v>18000</v>
      </c>
      <c r="L1112" s="32"/>
      <c r="M1112" s="31"/>
      <c r="N1112" s="32"/>
      <c r="O1112" s="32"/>
    </row>
    <row r="1113" spans="1:15" customFormat="1" ht="12.75" customHeight="1">
      <c r="A1113" s="30">
        <v>46137</v>
      </c>
      <c r="B1113" s="29" t="str">
        <f t="shared" si="69"/>
        <v>토</v>
      </c>
      <c r="C1113" s="29" t="s">
        <v>1256</v>
      </c>
      <c r="D1113" s="29" t="str">
        <f>VLOOKUP($C1113,청소코드!$C$4:$J$188,3,FALSE)</f>
        <v>더하임 904</v>
      </c>
      <c r="E1113" s="29">
        <f>VLOOKUP($C1113,청소코드!$C$4:$J$188,4,FALSE)</f>
        <v>1</v>
      </c>
      <c r="F1113" s="29" t="s">
        <v>1258</v>
      </c>
      <c r="G1113" s="29"/>
      <c r="H1113" s="29"/>
      <c r="I1113" s="29" t="s">
        <v>431</v>
      </c>
      <c r="J1113" s="47">
        <f t="shared" si="70"/>
        <v>18000</v>
      </c>
      <c r="K1113" s="29">
        <f>VLOOKUP($C1113,청소코드!$C$4:$J$188,8,FALSE)</f>
        <v>18000</v>
      </c>
      <c r="L1113" s="32"/>
      <c r="M1113" s="31"/>
      <c r="N1113" s="32"/>
      <c r="O1113" s="32"/>
    </row>
    <row r="1114" spans="1:15" customFormat="1" ht="12.75" customHeight="1">
      <c r="A1114" s="30">
        <v>46137</v>
      </c>
      <c r="B1114" s="29" t="str">
        <f t="shared" si="69"/>
        <v>토</v>
      </c>
      <c r="C1114" s="29" t="s">
        <v>1231</v>
      </c>
      <c r="D1114" s="29" t="str">
        <f>VLOOKUP($C1114,청소코드!$C$4:$J$188,3,FALSE)</f>
        <v>청광3차 806</v>
      </c>
      <c r="E1114" s="29">
        <f>VLOOKUP($C1114,청소코드!$C$4:$J$188,4,FALSE)</f>
        <v>1</v>
      </c>
      <c r="F1114" s="29" t="s">
        <v>1258</v>
      </c>
      <c r="G1114" s="29"/>
      <c r="H1114" s="29"/>
      <c r="I1114" s="29" t="s">
        <v>431</v>
      </c>
      <c r="J1114" s="47">
        <f t="shared" si="70"/>
        <v>18000</v>
      </c>
      <c r="K1114" s="29">
        <f>VLOOKUP($C1114,청소코드!$C$4:$J$188,8,FALSE)</f>
        <v>18000</v>
      </c>
      <c r="L1114" s="32"/>
      <c r="M1114" s="31"/>
      <c r="N1114" s="32"/>
      <c r="O1114" s="32"/>
    </row>
    <row r="1115" spans="1:15" customFormat="1" ht="12.75" customHeight="1">
      <c r="A1115" s="30">
        <v>46137</v>
      </c>
      <c r="B1115" s="29" t="str">
        <f t="shared" si="69"/>
        <v>토</v>
      </c>
      <c r="C1115" s="29" t="s">
        <v>1229</v>
      </c>
      <c r="D1115" s="29" t="str">
        <f>VLOOKUP($C1115,청소코드!$C$4:$J$188,3,FALSE)</f>
        <v>동구햇살 1203</v>
      </c>
      <c r="E1115" s="29" t="str">
        <f>VLOOKUP($C1115,청소코드!$C$4:$J$188,4,FALSE)</f>
        <v>복</v>
      </c>
      <c r="F1115" s="29" t="s">
        <v>1247</v>
      </c>
      <c r="G1115" s="29"/>
      <c r="H1115" s="29"/>
      <c r="I1115" s="29" t="s">
        <v>431</v>
      </c>
      <c r="J1115" s="47">
        <f t="shared" si="70"/>
        <v>20000</v>
      </c>
      <c r="K1115" s="29">
        <f>VLOOKUP($C1115,청소코드!$C$4:$J$188,8,FALSE)</f>
        <v>20000</v>
      </c>
      <c r="L1115" s="32"/>
      <c r="M1115" s="31"/>
      <c r="N1115" s="32"/>
      <c r="O1115" s="32"/>
    </row>
    <row r="1116" spans="1:15" customFormat="1" ht="12.75" customHeight="1">
      <c r="A1116" s="30">
        <v>46137</v>
      </c>
      <c r="B1116" s="29" t="str">
        <f t="shared" si="69"/>
        <v>토</v>
      </c>
      <c r="C1116" s="29" t="s">
        <v>1236</v>
      </c>
      <c r="D1116" s="29" t="str">
        <f>VLOOKUP($C1116,청소코드!$C$4:$J$188,3,FALSE)</f>
        <v>한양립스 503</v>
      </c>
      <c r="E1116" s="29">
        <f>VLOOKUP($C1116,청소코드!$C$4:$J$188,4,FALSE)</f>
        <v>1</v>
      </c>
      <c r="F1116" s="29" t="s">
        <v>1247</v>
      </c>
      <c r="G1116" s="29"/>
      <c r="H1116" s="29"/>
      <c r="I1116" s="29" t="s">
        <v>431</v>
      </c>
      <c r="J1116" s="47">
        <f t="shared" si="70"/>
        <v>18000</v>
      </c>
      <c r="K1116" s="29">
        <f>VLOOKUP($C1116,청소코드!$C$4:$J$188,8,FALSE)</f>
        <v>18000</v>
      </c>
      <c r="L1116" s="32"/>
      <c r="M1116" s="31"/>
      <c r="N1116" s="32"/>
      <c r="O1116" s="32"/>
    </row>
    <row r="1117" spans="1:15" customFormat="1" ht="12.75" customHeight="1">
      <c r="A1117" s="30">
        <v>46137</v>
      </c>
      <c r="B1117" s="29" t="str">
        <f t="shared" si="69"/>
        <v>토</v>
      </c>
      <c r="C1117" s="29" t="s">
        <v>1237</v>
      </c>
      <c r="D1117" s="29" t="str">
        <f>VLOOKUP($C1117,청소코드!$C$4:$J$188,3,FALSE)</f>
        <v>오앤 401</v>
      </c>
      <c r="E1117" s="29">
        <f>VLOOKUP($C1117,청소코드!$C$4:$J$188,4,FALSE)</f>
        <v>1</v>
      </c>
      <c r="F1117" s="29" t="s">
        <v>1247</v>
      </c>
      <c r="G1117" s="29"/>
      <c r="H1117" s="29"/>
      <c r="I1117" s="29" t="s">
        <v>431</v>
      </c>
      <c r="J1117" s="47">
        <f t="shared" si="70"/>
        <v>18000</v>
      </c>
      <c r="K1117" s="29">
        <f>VLOOKUP($C1117,청소코드!$C$4:$J$188,8,FALSE)</f>
        <v>18000</v>
      </c>
      <c r="L1117" s="32"/>
      <c r="M1117" s="31"/>
      <c r="N1117" s="32"/>
      <c r="O1117" s="32"/>
    </row>
    <row r="1118" spans="1:15" customFormat="1" ht="12.75" customHeight="1">
      <c r="A1118" s="30">
        <v>46137</v>
      </c>
      <c r="B1118" s="29" t="str">
        <f t="shared" si="69"/>
        <v>토</v>
      </c>
      <c r="C1118" s="29" t="s">
        <v>1257</v>
      </c>
      <c r="D1118" s="29" t="str">
        <f>VLOOKUP($C1118,청소코드!$C$4:$J$188,3,FALSE)</f>
        <v>하람휴 1001</v>
      </c>
      <c r="E1118" s="29">
        <f>VLOOKUP($C1118,청소코드!$C$4:$J$188,4,FALSE)</f>
        <v>2</v>
      </c>
      <c r="F1118" s="29" t="s">
        <v>1259</v>
      </c>
      <c r="G1118" s="29"/>
      <c r="H1118" s="29"/>
      <c r="I1118" s="29" t="s">
        <v>431</v>
      </c>
      <c r="J1118" s="47">
        <f t="shared" si="70"/>
        <v>23000</v>
      </c>
      <c r="K1118" s="29">
        <f>VLOOKUP($C1118,청소코드!$C$4:$J$188,8,FALSE)</f>
        <v>23000</v>
      </c>
      <c r="L1118" s="32"/>
      <c r="M1118" s="31"/>
      <c r="N1118" s="32"/>
      <c r="O1118" s="32"/>
    </row>
    <row r="1119" spans="1:15" customFormat="1" ht="12.75" customHeight="1">
      <c r="A1119" s="30">
        <v>46137</v>
      </c>
      <c r="B1119" s="29" t="str">
        <f t="shared" si="69"/>
        <v>토</v>
      </c>
      <c r="C1119" s="29" t="s">
        <v>1243</v>
      </c>
      <c r="D1119" s="29" t="str">
        <f>VLOOKUP($C1119,청소코드!$C$4:$J$188,3,FALSE)</f>
        <v>은성 603</v>
      </c>
      <c r="E1119" s="29">
        <f>VLOOKUP($C1119,청소코드!$C$4:$J$188,4,FALSE)</f>
        <v>1</v>
      </c>
      <c r="F1119" s="29" t="s">
        <v>1248</v>
      </c>
      <c r="G1119" s="29"/>
      <c r="H1119" s="29"/>
      <c r="I1119" s="29" t="s">
        <v>431</v>
      </c>
      <c r="J1119" s="47">
        <f t="shared" si="70"/>
        <v>18000</v>
      </c>
      <c r="K1119" s="29">
        <f>VLOOKUP($C1119,청소코드!$C$4:$J$188,8,FALSE)</f>
        <v>18000</v>
      </c>
      <c r="L1119" s="32"/>
      <c r="M1119" s="31"/>
      <c r="N1119" s="32"/>
      <c r="O1119" s="32"/>
    </row>
    <row r="1120" spans="1:15" customFormat="1" ht="12.75" customHeight="1">
      <c r="A1120" s="30">
        <v>46137</v>
      </c>
      <c r="B1120" s="29" t="str">
        <f t="shared" si="69"/>
        <v>토</v>
      </c>
      <c r="C1120" s="29" t="s">
        <v>1239</v>
      </c>
      <c r="D1120" s="29" t="str">
        <f>VLOOKUP($C1120,청소코드!$C$4:$J$188,3,FALSE)</f>
        <v>성우 803</v>
      </c>
      <c r="E1120" s="29">
        <f>VLOOKUP($C1120,청소코드!$C$4:$J$188,4,FALSE)</f>
        <v>3</v>
      </c>
      <c r="F1120" s="29" t="s">
        <v>1248</v>
      </c>
      <c r="G1120" s="29"/>
      <c r="H1120" s="29"/>
      <c r="I1120" s="29" t="s">
        <v>431</v>
      </c>
      <c r="J1120" s="47">
        <f t="shared" si="70"/>
        <v>30000</v>
      </c>
      <c r="K1120" s="29">
        <f>VLOOKUP($C1120,청소코드!$C$4:$J$188,8,FALSE)</f>
        <v>30000</v>
      </c>
      <c r="L1120" s="32"/>
      <c r="M1120" s="31"/>
      <c r="N1120" s="32"/>
      <c r="O1120" s="32"/>
    </row>
    <row r="1121" spans="1:15" customFormat="1" ht="12.75" customHeight="1">
      <c r="A1121" s="30">
        <v>46137</v>
      </c>
      <c r="B1121" s="29" t="str">
        <f t="shared" si="69"/>
        <v>토</v>
      </c>
      <c r="C1121" s="29" t="s">
        <v>1240</v>
      </c>
      <c r="D1121" s="29" t="str">
        <f>VLOOKUP($C1121,청소코드!$C$4:$J$188,3,FALSE)</f>
        <v>대치동 103호</v>
      </c>
      <c r="E1121" s="29">
        <f>VLOOKUP($C1121,청소코드!$C$4:$J$188,4,FALSE)</f>
        <v>1.5</v>
      </c>
      <c r="F1121" s="29" t="s">
        <v>1249</v>
      </c>
      <c r="G1121" s="29"/>
      <c r="H1121" s="29"/>
      <c r="I1121" s="29" t="s">
        <v>431</v>
      </c>
      <c r="J1121" s="47">
        <f t="shared" si="70"/>
        <v>20000</v>
      </c>
      <c r="K1121" s="29">
        <f>VLOOKUP($C1121,청소코드!$C$4:$J$188,8,FALSE)</f>
        <v>20000</v>
      </c>
      <c r="L1121" s="32"/>
      <c r="M1121" s="31"/>
      <c r="N1121" s="32"/>
      <c r="O1121" s="32"/>
    </row>
    <row r="1122" spans="1:15" customFormat="1" ht="12.75" customHeight="1">
      <c r="A1122" s="30">
        <v>46137</v>
      </c>
      <c r="B1122" s="29" t="str">
        <f t="shared" si="69"/>
        <v>토</v>
      </c>
      <c r="C1122" s="29" t="s">
        <v>1260</v>
      </c>
      <c r="D1122" s="29" t="str">
        <f>VLOOKUP($C1122,청소코드!$C$4:$J$188,3,FALSE)</f>
        <v>예건 202</v>
      </c>
      <c r="E1122" s="29">
        <f>VLOOKUP($C1122,청소코드!$C$4:$J$188,4,FALSE)</f>
        <v>1</v>
      </c>
      <c r="F1122" s="29" t="s">
        <v>1247</v>
      </c>
      <c r="G1122" s="29"/>
      <c r="H1122" s="29"/>
      <c r="I1122" s="29" t="s">
        <v>431</v>
      </c>
      <c r="J1122" s="47">
        <f t="shared" si="70"/>
        <v>18000</v>
      </c>
      <c r="K1122" s="29">
        <f>VLOOKUP($C1122,청소코드!$C$4:$J$188,8,FALSE)</f>
        <v>18000</v>
      </c>
      <c r="L1122" s="32"/>
      <c r="M1122" s="31"/>
      <c r="N1122" s="32"/>
      <c r="O1122" s="32"/>
    </row>
    <row r="1123" spans="1:15" customFormat="1" ht="12.75" customHeight="1">
      <c r="A1123" s="30">
        <v>46137</v>
      </c>
      <c r="B1123" s="29" t="str">
        <f t="shared" si="69"/>
        <v>토</v>
      </c>
      <c r="C1123" s="29" t="s">
        <v>1252</v>
      </c>
      <c r="D1123" s="29" t="str">
        <f>VLOOKUP($C1123,청소코드!$C$4:$J$188,3,FALSE)</f>
        <v>청광1차 207</v>
      </c>
      <c r="E1123" s="29">
        <f>VLOOKUP($C1123,청소코드!$C$4:$J$188,4,FALSE)</f>
        <v>0</v>
      </c>
      <c r="F1123" s="29" t="s">
        <v>1247</v>
      </c>
      <c r="G1123" s="29"/>
      <c r="H1123" s="29"/>
      <c r="I1123" s="29" t="s">
        <v>431</v>
      </c>
      <c r="J1123" s="47">
        <f t="shared" si="70"/>
        <v>10000</v>
      </c>
      <c r="K1123" s="29">
        <f>VLOOKUP($C1123,청소코드!$C$4:$J$188,8,FALSE)</f>
        <v>10000</v>
      </c>
      <c r="L1123" s="32"/>
      <c r="M1123" s="31"/>
      <c r="N1123" s="32"/>
      <c r="O1123" s="32"/>
    </row>
    <row r="1124" spans="1:15" customFormat="1" ht="12.75" customHeight="1">
      <c r="A1124" s="49">
        <v>46138</v>
      </c>
      <c r="B1124" s="50" t="str">
        <f t="shared" si="69"/>
        <v>일</v>
      </c>
      <c r="C1124" s="29" t="s">
        <v>1264</v>
      </c>
      <c r="D1124" s="29" t="str">
        <f>VLOOKUP($C1124,청소코드!$C$4:$J$188,3,FALSE)</f>
        <v>예건 205</v>
      </c>
      <c r="E1124" s="29">
        <f>VLOOKUP($C1124,청소코드!$C$4:$J$188,4,FALSE)</f>
        <v>1</v>
      </c>
      <c r="F1124" s="29" t="s">
        <v>1286</v>
      </c>
      <c r="G1124" s="29"/>
      <c r="H1124" s="29"/>
      <c r="I1124" s="29" t="s">
        <v>1290</v>
      </c>
      <c r="J1124" s="47">
        <f t="shared" si="70"/>
        <v>18000</v>
      </c>
      <c r="K1124" s="29">
        <f>VLOOKUP($C1124,청소코드!$C$4:$J$188,8,FALSE)</f>
        <v>18000</v>
      </c>
      <c r="L1124" s="32"/>
      <c r="M1124" s="31"/>
      <c r="N1124" s="32"/>
      <c r="O1124" s="32"/>
    </row>
    <row r="1125" spans="1:15" customFormat="1" ht="12.75" customHeight="1">
      <c r="A1125" s="30">
        <v>46138</v>
      </c>
      <c r="B1125" s="29" t="str">
        <f t="shared" si="69"/>
        <v>일</v>
      </c>
      <c r="C1125" s="29" t="s">
        <v>1265</v>
      </c>
      <c r="D1125" s="29" t="str">
        <f>VLOOKUP($C1125,청소코드!$C$4:$J$188,3,FALSE)</f>
        <v>성우 204</v>
      </c>
      <c r="E1125" s="29">
        <f>VLOOKUP($C1125,청소코드!$C$4:$J$188,4,FALSE)</f>
        <v>2</v>
      </c>
      <c r="F1125" s="29" t="s">
        <v>438</v>
      </c>
      <c r="G1125" s="29"/>
      <c r="H1125" s="29"/>
      <c r="I1125" s="29" t="s">
        <v>431</v>
      </c>
      <c r="J1125" s="47">
        <f t="shared" si="70"/>
        <v>23000</v>
      </c>
      <c r="K1125" s="29">
        <f>VLOOKUP($C1125,청소코드!$C$4:$J$188,8,FALSE)</f>
        <v>23000</v>
      </c>
      <c r="L1125" s="32"/>
      <c r="M1125" s="31"/>
      <c r="N1125" s="32"/>
      <c r="O1125" s="32"/>
    </row>
    <row r="1126" spans="1:15" customFormat="1" ht="12.75" customHeight="1">
      <c r="A1126" s="30">
        <v>46138</v>
      </c>
      <c r="B1126" s="29" t="str">
        <f t="shared" ref="B1126:B1156" si="71">TEXT(A1126,"aaa")</f>
        <v>일</v>
      </c>
      <c r="C1126" s="29" t="s">
        <v>1266</v>
      </c>
      <c r="D1126" s="29" t="str">
        <f>VLOOKUP($C1126,청소코드!$C$4:$J$188,3,FALSE)</f>
        <v>성우 304</v>
      </c>
      <c r="E1126" s="29">
        <f>VLOOKUP($C1126,청소코드!$C$4:$J$188,4,FALSE)</f>
        <v>2</v>
      </c>
      <c r="F1126" s="29" t="s">
        <v>438</v>
      </c>
      <c r="G1126" s="29"/>
      <c r="H1126" s="29"/>
      <c r="I1126" s="29" t="s">
        <v>431</v>
      </c>
      <c r="J1126" s="47">
        <f t="shared" ref="J1126:J1156" si="72">SUM(K1126:O1126)</f>
        <v>23000</v>
      </c>
      <c r="K1126" s="29">
        <f>VLOOKUP($C1126,청소코드!$C$4:$J$188,8,FALSE)</f>
        <v>23000</v>
      </c>
      <c r="L1126" s="32"/>
      <c r="M1126" s="31"/>
      <c r="N1126" s="32"/>
      <c r="O1126" s="32"/>
    </row>
    <row r="1127" spans="1:15" customFormat="1" ht="12.75" customHeight="1">
      <c r="A1127" s="30">
        <v>46138</v>
      </c>
      <c r="B1127" s="29" t="str">
        <f t="shared" si="71"/>
        <v>일</v>
      </c>
      <c r="C1127" s="29" t="s">
        <v>1267</v>
      </c>
      <c r="D1127" s="29" t="str">
        <f>VLOOKUP($C1127,청소코드!$C$4:$J$188,3,FALSE)</f>
        <v>성우 501</v>
      </c>
      <c r="E1127" s="29">
        <f>VLOOKUP($C1127,청소코드!$C$4:$J$188,4,FALSE)</f>
        <v>2</v>
      </c>
      <c r="F1127" s="29" t="s">
        <v>438</v>
      </c>
      <c r="G1127" s="29"/>
      <c r="H1127" s="29"/>
      <c r="I1127" s="29" t="s">
        <v>431</v>
      </c>
      <c r="J1127" s="47">
        <f t="shared" si="72"/>
        <v>23000</v>
      </c>
      <c r="K1127" s="29">
        <f>VLOOKUP($C1127,청소코드!$C$4:$J$188,8,FALSE)</f>
        <v>23000</v>
      </c>
      <c r="L1127" s="32"/>
      <c r="M1127" s="31"/>
      <c r="N1127" s="32"/>
      <c r="O1127" s="32"/>
    </row>
    <row r="1128" spans="1:15" customFormat="1" ht="12.75" customHeight="1">
      <c r="A1128" s="30">
        <v>46138</v>
      </c>
      <c r="B1128" s="29" t="str">
        <f t="shared" si="71"/>
        <v>일</v>
      </c>
      <c r="C1128" s="29" t="s">
        <v>1268</v>
      </c>
      <c r="D1128" s="29" t="str">
        <f>VLOOKUP($C1128,청소코드!$C$4:$J$188,3,FALSE)</f>
        <v>더하임 1003</v>
      </c>
      <c r="E1128" s="29">
        <f>VLOOKUP($C1128,청소코드!$C$4:$J$188,4,FALSE)</f>
        <v>1</v>
      </c>
      <c r="F1128" s="29" t="s">
        <v>437</v>
      </c>
      <c r="G1128" s="29"/>
      <c r="H1128" s="29"/>
      <c r="I1128" s="29" t="s">
        <v>431</v>
      </c>
      <c r="J1128" s="47">
        <f t="shared" si="72"/>
        <v>18000</v>
      </c>
      <c r="K1128" s="29">
        <f>VLOOKUP($C1128,청소코드!$C$4:$J$188,8,FALSE)</f>
        <v>18000</v>
      </c>
      <c r="L1128" s="32"/>
      <c r="M1128" s="31"/>
      <c r="N1128" s="32"/>
      <c r="O1128" s="32"/>
    </row>
    <row r="1129" spans="1:15" customFormat="1" ht="12.75" customHeight="1">
      <c r="A1129" s="30">
        <v>46138</v>
      </c>
      <c r="B1129" s="29" t="str">
        <f t="shared" si="71"/>
        <v>일</v>
      </c>
      <c r="C1129" s="29" t="s">
        <v>1269</v>
      </c>
      <c r="D1129" s="29" t="str">
        <f>VLOOKUP($C1129,청소코드!$C$4:$J$188,3,FALSE)</f>
        <v>더하임 1004</v>
      </c>
      <c r="E1129" s="29">
        <f>VLOOKUP($C1129,청소코드!$C$4:$J$188,4,FALSE)</f>
        <v>1</v>
      </c>
      <c r="F1129" s="29" t="s">
        <v>437</v>
      </c>
      <c r="G1129" s="29"/>
      <c r="H1129" s="29"/>
      <c r="I1129" s="29" t="s">
        <v>431</v>
      </c>
      <c r="J1129" s="47">
        <f t="shared" si="72"/>
        <v>18000</v>
      </c>
      <c r="K1129" s="29">
        <f>VLOOKUP($C1129,청소코드!$C$4:$J$188,8,FALSE)</f>
        <v>18000</v>
      </c>
      <c r="L1129" s="32"/>
      <c r="M1129" s="31"/>
      <c r="N1129" s="32"/>
      <c r="O1129" s="32"/>
    </row>
    <row r="1130" spans="1:15" customFormat="1" ht="12.75" customHeight="1">
      <c r="A1130" s="30">
        <v>46138</v>
      </c>
      <c r="B1130" s="29" t="str">
        <f t="shared" si="71"/>
        <v>일</v>
      </c>
      <c r="C1130" s="29" t="s">
        <v>1270</v>
      </c>
      <c r="D1130" s="29" t="str">
        <f>VLOOKUP($C1130,청소코드!$C$4:$J$188,3,FALSE)</f>
        <v>더하임 204</v>
      </c>
      <c r="E1130" s="29">
        <f>VLOOKUP($C1130,청소코드!$C$4:$J$188,4,FALSE)</f>
        <v>1</v>
      </c>
      <c r="F1130" s="29" t="s">
        <v>437</v>
      </c>
      <c r="G1130" s="29"/>
      <c r="H1130" s="29"/>
      <c r="I1130" s="29" t="s">
        <v>431</v>
      </c>
      <c r="J1130" s="47">
        <f t="shared" si="72"/>
        <v>18000</v>
      </c>
      <c r="K1130" s="29">
        <f>VLOOKUP($C1130,청소코드!$C$4:$J$188,8,FALSE)</f>
        <v>18000</v>
      </c>
      <c r="L1130" s="32"/>
      <c r="M1130" s="31"/>
      <c r="N1130" s="32"/>
      <c r="O1130" s="32"/>
    </row>
    <row r="1131" spans="1:15" customFormat="1" ht="12.75" customHeight="1">
      <c r="A1131" s="30">
        <v>46138</v>
      </c>
      <c r="B1131" s="29" t="str">
        <f t="shared" si="71"/>
        <v>일</v>
      </c>
      <c r="C1131" s="29" t="s">
        <v>1271</v>
      </c>
      <c r="D1131" s="29" t="str">
        <f>VLOOKUP($C1131,청소코드!$C$4:$J$188,3,FALSE)</f>
        <v>더하임 304</v>
      </c>
      <c r="E1131" s="29">
        <f>VLOOKUP($C1131,청소코드!$C$4:$J$188,4,FALSE)</f>
        <v>1</v>
      </c>
      <c r="F1131" s="29" t="s">
        <v>437</v>
      </c>
      <c r="G1131" s="29"/>
      <c r="H1131" s="29"/>
      <c r="I1131" s="29" t="s">
        <v>431</v>
      </c>
      <c r="J1131" s="47">
        <f t="shared" si="72"/>
        <v>18000</v>
      </c>
      <c r="K1131" s="29">
        <f>VLOOKUP($C1131,청소코드!$C$4:$J$188,8,FALSE)</f>
        <v>18000</v>
      </c>
      <c r="L1131" s="32"/>
      <c r="M1131" s="31"/>
      <c r="N1131" s="32"/>
      <c r="O1131" s="32"/>
    </row>
    <row r="1132" spans="1:15" customFormat="1" ht="12.75" customHeight="1">
      <c r="A1132" s="30">
        <v>46138</v>
      </c>
      <c r="B1132" s="29" t="str">
        <f t="shared" si="71"/>
        <v>일</v>
      </c>
      <c r="C1132" s="29" t="s">
        <v>1272</v>
      </c>
      <c r="D1132" s="29" t="str">
        <f>VLOOKUP($C1132,청소코드!$C$4:$J$188,3,FALSE)</f>
        <v>더하임 305</v>
      </c>
      <c r="E1132" s="29">
        <f>VLOOKUP($C1132,청소코드!$C$4:$J$188,4,FALSE)</f>
        <v>1</v>
      </c>
      <c r="F1132" s="29" t="s">
        <v>437</v>
      </c>
      <c r="G1132" s="29"/>
      <c r="H1132" s="29"/>
      <c r="I1132" s="29" t="s">
        <v>431</v>
      </c>
      <c r="J1132" s="47">
        <f t="shared" si="72"/>
        <v>18000</v>
      </c>
      <c r="K1132" s="29">
        <f>VLOOKUP($C1132,청소코드!$C$4:$J$188,8,FALSE)</f>
        <v>18000</v>
      </c>
      <c r="L1132" s="32"/>
      <c r="M1132" s="31"/>
      <c r="N1132" s="32"/>
      <c r="O1132" s="32"/>
    </row>
    <row r="1133" spans="1:15" customFormat="1" ht="12.75" customHeight="1">
      <c r="A1133" s="30">
        <v>46138</v>
      </c>
      <c r="B1133" s="29" t="str">
        <f t="shared" si="71"/>
        <v>일</v>
      </c>
      <c r="C1133" s="29" t="s">
        <v>1273</v>
      </c>
      <c r="D1133" s="29" t="str">
        <f>VLOOKUP($C1133,청소코드!$C$4:$J$188,3,FALSE)</f>
        <v>은성 603</v>
      </c>
      <c r="E1133" s="29">
        <f>VLOOKUP($C1133,청소코드!$C$4:$J$188,4,FALSE)</f>
        <v>1</v>
      </c>
      <c r="F1133" s="29" t="s">
        <v>1287</v>
      </c>
      <c r="G1133" s="29"/>
      <c r="H1133" s="29"/>
      <c r="I1133" s="29" t="s">
        <v>431</v>
      </c>
      <c r="J1133" s="47">
        <f t="shared" si="72"/>
        <v>18000</v>
      </c>
      <c r="K1133" s="29">
        <f>VLOOKUP($C1133,청소코드!$C$4:$J$188,8,FALSE)</f>
        <v>18000</v>
      </c>
      <c r="L1133" s="32"/>
      <c r="M1133" s="31"/>
      <c r="N1133" s="32"/>
      <c r="O1133" s="32"/>
    </row>
    <row r="1134" spans="1:15" customFormat="1" ht="12.75" customHeight="1">
      <c r="A1134" s="30">
        <v>46138</v>
      </c>
      <c r="B1134" s="29" t="str">
        <f t="shared" si="71"/>
        <v>일</v>
      </c>
      <c r="C1134" s="29" t="s">
        <v>1274</v>
      </c>
      <c r="D1134" s="29" t="str">
        <f>VLOOKUP($C1134,청소코드!$C$4:$J$188,3,FALSE)</f>
        <v>청광3차 806</v>
      </c>
      <c r="E1134" s="29">
        <f>VLOOKUP($C1134,청소코드!$C$4:$J$188,4,FALSE)</f>
        <v>1</v>
      </c>
      <c r="F1134" s="29" t="s">
        <v>1287</v>
      </c>
      <c r="G1134" s="29"/>
      <c r="H1134" s="29"/>
      <c r="I1134" s="29" t="s">
        <v>431</v>
      </c>
      <c r="J1134" s="47">
        <f t="shared" si="72"/>
        <v>18000</v>
      </c>
      <c r="K1134" s="29">
        <f>VLOOKUP($C1134,청소코드!$C$4:$J$188,8,FALSE)</f>
        <v>18000</v>
      </c>
      <c r="L1134" s="32"/>
      <c r="M1134" s="31"/>
      <c r="N1134" s="32"/>
      <c r="O1134" s="32"/>
    </row>
    <row r="1135" spans="1:15" customFormat="1" ht="12.75" customHeight="1">
      <c r="A1135" s="30">
        <v>46138</v>
      </c>
      <c r="B1135" s="29" t="str">
        <f t="shared" si="71"/>
        <v>일</v>
      </c>
      <c r="C1135" s="29" t="s">
        <v>1275</v>
      </c>
      <c r="D1135" s="29" t="str">
        <f>VLOOKUP($C1135,청소코드!$C$4:$J$188,3,FALSE)</f>
        <v>렘브 204</v>
      </c>
      <c r="E1135" s="29">
        <f>VLOOKUP($C1135,청소코드!$C$4:$J$188,4,FALSE)</f>
        <v>1</v>
      </c>
      <c r="F1135" s="29" t="s">
        <v>1287</v>
      </c>
      <c r="G1135" s="29"/>
      <c r="H1135" s="29"/>
      <c r="I1135" s="29" t="s">
        <v>431</v>
      </c>
      <c r="J1135" s="47">
        <f t="shared" si="72"/>
        <v>18000</v>
      </c>
      <c r="K1135" s="29">
        <f>VLOOKUP($C1135,청소코드!$C$4:$J$188,8,FALSE)</f>
        <v>18000</v>
      </c>
      <c r="L1135" s="32"/>
      <c r="M1135" s="31"/>
      <c r="N1135" s="32"/>
      <c r="O1135" s="32"/>
    </row>
    <row r="1136" spans="1:15" customFormat="1" ht="12.75" customHeight="1">
      <c r="A1136" s="30">
        <v>46138</v>
      </c>
      <c r="B1136" s="29" t="str">
        <f t="shared" si="71"/>
        <v>일</v>
      </c>
      <c r="C1136" s="29" t="s">
        <v>1276</v>
      </c>
      <c r="D1136" s="29" t="str">
        <f>VLOOKUP($C1136,청소코드!$C$4:$J$188,3,FALSE)</f>
        <v>동구햇살 1203</v>
      </c>
      <c r="E1136" s="29" t="str">
        <f>VLOOKUP($C1136,청소코드!$C$4:$J$188,4,FALSE)</f>
        <v>복</v>
      </c>
      <c r="F1136" s="29" t="s">
        <v>1287</v>
      </c>
      <c r="G1136" s="29"/>
      <c r="H1136" s="29"/>
      <c r="I1136" s="29" t="s">
        <v>431</v>
      </c>
      <c r="J1136" s="47">
        <f t="shared" si="72"/>
        <v>20000</v>
      </c>
      <c r="K1136" s="29">
        <f>VLOOKUP($C1136,청소코드!$C$4:$J$188,8,FALSE)</f>
        <v>20000</v>
      </c>
      <c r="L1136" s="32"/>
      <c r="M1136" s="31"/>
      <c r="N1136" s="32"/>
      <c r="O1136" s="32"/>
    </row>
    <row r="1137" spans="1:15" customFormat="1" ht="12.75" customHeight="1">
      <c r="A1137" s="30">
        <v>46138</v>
      </c>
      <c r="B1137" s="29" t="str">
        <f t="shared" si="71"/>
        <v>일</v>
      </c>
      <c r="C1137" s="29" t="s">
        <v>1277</v>
      </c>
      <c r="D1137" s="29" t="str">
        <f>VLOOKUP($C1137,청소코드!$C$4:$J$188,3,FALSE)</f>
        <v>더하임 904</v>
      </c>
      <c r="E1137" s="29">
        <f>VLOOKUP($C1137,청소코드!$C$4:$J$188,4,FALSE)</f>
        <v>1</v>
      </c>
      <c r="F1137" s="29" t="s">
        <v>426</v>
      </c>
      <c r="G1137" s="29"/>
      <c r="H1137" s="29"/>
      <c r="I1137" s="29" t="s">
        <v>431</v>
      </c>
      <c r="J1137" s="47">
        <f t="shared" si="72"/>
        <v>18000</v>
      </c>
      <c r="K1137" s="29">
        <f>VLOOKUP($C1137,청소코드!$C$4:$J$188,8,FALSE)</f>
        <v>18000</v>
      </c>
      <c r="L1137" s="32"/>
      <c r="M1137" s="31"/>
      <c r="N1137" s="32"/>
      <c r="O1137" s="32"/>
    </row>
    <row r="1138" spans="1:15" customFormat="1" ht="12.75" customHeight="1">
      <c r="A1138" s="30">
        <v>46138</v>
      </c>
      <c r="B1138" s="29" t="str">
        <f t="shared" si="71"/>
        <v>일</v>
      </c>
      <c r="C1138" s="29" t="s">
        <v>1278</v>
      </c>
      <c r="D1138" s="29" t="str">
        <f>VLOOKUP($C1138,청소코드!$C$4:$J$188,3,FALSE)</f>
        <v>더하임 905</v>
      </c>
      <c r="E1138" s="29">
        <f>VLOOKUP($C1138,청소코드!$C$4:$J$188,4,FALSE)</f>
        <v>1</v>
      </c>
      <c r="F1138" s="29" t="s">
        <v>426</v>
      </c>
      <c r="G1138" s="29"/>
      <c r="H1138" s="29"/>
      <c r="I1138" s="29" t="s">
        <v>431</v>
      </c>
      <c r="J1138" s="47">
        <f t="shared" si="72"/>
        <v>18000</v>
      </c>
      <c r="K1138" s="29">
        <f>VLOOKUP($C1138,청소코드!$C$4:$J$188,8,FALSE)</f>
        <v>18000</v>
      </c>
      <c r="L1138" s="32"/>
      <c r="M1138" s="31"/>
      <c r="N1138" s="32"/>
      <c r="O1138" s="32"/>
    </row>
    <row r="1139" spans="1:15" customFormat="1" ht="12.75" customHeight="1">
      <c r="A1139" s="30">
        <v>46138</v>
      </c>
      <c r="B1139" s="29" t="str">
        <f t="shared" si="71"/>
        <v>일</v>
      </c>
      <c r="C1139" s="29" t="s">
        <v>1279</v>
      </c>
      <c r="D1139" s="29" t="str">
        <f>VLOOKUP($C1139,청소코드!$C$4:$J$188,3,FALSE)</f>
        <v>한양립스 503</v>
      </c>
      <c r="E1139" s="29">
        <f>VLOOKUP($C1139,청소코드!$C$4:$J$188,4,FALSE)</f>
        <v>1</v>
      </c>
      <c r="F1139" s="29" t="s">
        <v>426</v>
      </c>
      <c r="G1139" s="29"/>
      <c r="H1139" s="29"/>
      <c r="I1139" s="29" t="s">
        <v>431</v>
      </c>
      <c r="J1139" s="47">
        <f t="shared" si="72"/>
        <v>18000</v>
      </c>
      <c r="K1139" s="29">
        <f>VLOOKUP($C1139,청소코드!$C$4:$J$188,8,FALSE)</f>
        <v>18000</v>
      </c>
      <c r="L1139" s="32"/>
      <c r="M1139" s="31"/>
      <c r="N1139" s="32"/>
      <c r="O1139" s="32"/>
    </row>
    <row r="1140" spans="1:15" customFormat="1" ht="12.75" customHeight="1">
      <c r="A1140" s="30">
        <v>46138</v>
      </c>
      <c r="B1140" s="29" t="str">
        <f t="shared" si="71"/>
        <v>일</v>
      </c>
      <c r="C1140" s="29" t="s">
        <v>1280</v>
      </c>
      <c r="D1140" s="29" t="str">
        <f>VLOOKUP($C1140,청소코드!$C$4:$J$188,3,FALSE)</f>
        <v>오앤 401</v>
      </c>
      <c r="E1140" s="29">
        <f>VLOOKUP($C1140,청소코드!$C$4:$J$188,4,FALSE)</f>
        <v>1</v>
      </c>
      <c r="F1140" s="29" t="s">
        <v>426</v>
      </c>
      <c r="G1140" s="29"/>
      <c r="H1140" s="29"/>
      <c r="I1140" s="29" t="s">
        <v>431</v>
      </c>
      <c r="J1140" s="47">
        <f t="shared" si="72"/>
        <v>18000</v>
      </c>
      <c r="K1140" s="29">
        <f>VLOOKUP($C1140,청소코드!$C$4:$J$188,8,FALSE)</f>
        <v>18000</v>
      </c>
      <c r="L1140" s="32"/>
      <c r="M1140" s="31"/>
      <c r="N1140" s="32"/>
      <c r="O1140" s="32"/>
    </row>
    <row r="1141" spans="1:15" customFormat="1" ht="12.75" customHeight="1">
      <c r="A1141" s="30">
        <v>46138</v>
      </c>
      <c r="B1141" s="29" t="str">
        <f t="shared" si="71"/>
        <v>일</v>
      </c>
      <c r="C1141" s="29" t="s">
        <v>1281</v>
      </c>
      <c r="D1141" s="29" t="str">
        <f>VLOOKUP($C1141,청소코드!$C$4:$J$188,3,FALSE)</f>
        <v>센텀 2차 406</v>
      </c>
      <c r="E1141" s="29">
        <f>VLOOKUP($C1141,청소코드!$C$4:$J$188,4,FALSE)</f>
        <v>1.5</v>
      </c>
      <c r="F1141" s="29" t="s">
        <v>1289</v>
      </c>
      <c r="G1141" s="29"/>
      <c r="H1141" s="29"/>
      <c r="I1141" s="29" t="s">
        <v>431</v>
      </c>
      <c r="J1141" s="47">
        <f t="shared" si="72"/>
        <v>20000</v>
      </c>
      <c r="K1141" s="29">
        <f>VLOOKUP($C1141,청소코드!$C$4:$J$188,8,FALSE)</f>
        <v>20000</v>
      </c>
      <c r="L1141" s="32"/>
      <c r="M1141" s="31"/>
      <c r="N1141" s="32"/>
      <c r="O1141" s="32"/>
    </row>
    <row r="1142" spans="1:15" customFormat="1" ht="12.75" customHeight="1">
      <c r="A1142" s="30">
        <v>46138</v>
      </c>
      <c r="B1142" s="29" t="str">
        <f t="shared" si="71"/>
        <v>일</v>
      </c>
      <c r="C1142" s="29" t="s">
        <v>1282</v>
      </c>
      <c r="D1142" s="29" t="str">
        <f>VLOOKUP($C1142,청소코드!$C$4:$J$188,3,FALSE)</f>
        <v>센텀 2차 501</v>
      </c>
      <c r="E1142" s="29">
        <f>VLOOKUP($C1142,청소코드!$C$4:$J$188,4,FALSE)</f>
        <v>1.5</v>
      </c>
      <c r="F1142" s="29" t="s">
        <v>1286</v>
      </c>
      <c r="G1142" s="29"/>
      <c r="H1142" s="29"/>
      <c r="I1142" s="29" t="s">
        <v>431</v>
      </c>
      <c r="J1142" s="47">
        <f t="shared" si="72"/>
        <v>20000</v>
      </c>
      <c r="K1142" s="29">
        <f>VLOOKUP($C1142,청소코드!$C$4:$J$188,8,FALSE)</f>
        <v>20000</v>
      </c>
      <c r="L1142" s="32"/>
      <c r="M1142" s="31"/>
      <c r="N1142" s="32"/>
      <c r="O1142" s="32"/>
    </row>
    <row r="1143" spans="1:15" customFormat="1" ht="12.75" customHeight="1">
      <c r="A1143" s="30">
        <v>46138</v>
      </c>
      <c r="B1143" s="29" t="str">
        <f t="shared" si="71"/>
        <v>일</v>
      </c>
      <c r="C1143" s="29" t="s">
        <v>1283</v>
      </c>
      <c r="D1143" s="29" t="str">
        <f>VLOOKUP($C1143,청소코드!$C$4:$J$188,3,FALSE)</f>
        <v>대치동 101호</v>
      </c>
      <c r="E1143" s="29">
        <f>VLOOKUP($C1143,청소코드!$C$4:$J$188,4,FALSE)</f>
        <v>2</v>
      </c>
      <c r="F1143" s="29" t="s">
        <v>1288</v>
      </c>
      <c r="G1143" s="29"/>
      <c r="H1143" s="29"/>
      <c r="I1143" s="29" t="s">
        <v>431</v>
      </c>
      <c r="J1143" s="47">
        <f t="shared" si="72"/>
        <v>23000</v>
      </c>
      <c r="K1143" s="29">
        <f>VLOOKUP($C1143,청소코드!$C$4:$J$188,8,FALSE)</f>
        <v>23000</v>
      </c>
      <c r="L1143" s="32"/>
      <c r="M1143" s="31"/>
      <c r="N1143" s="32"/>
      <c r="O1143" s="32"/>
    </row>
    <row r="1144" spans="1:15" customFormat="1" ht="12.75" customHeight="1">
      <c r="A1144" s="30">
        <v>46138</v>
      </c>
      <c r="B1144" s="29" t="str">
        <f t="shared" si="71"/>
        <v>일</v>
      </c>
      <c r="C1144" s="29" t="s">
        <v>1284</v>
      </c>
      <c r="D1144" s="29" t="str">
        <f>VLOOKUP($C1144,청소코드!$C$4:$J$188,3,FALSE)</f>
        <v>대치동 103호</v>
      </c>
      <c r="E1144" s="29">
        <f>VLOOKUP($C1144,청소코드!$C$4:$J$188,4,FALSE)</f>
        <v>1.5</v>
      </c>
      <c r="F1144" s="29" t="s">
        <v>1288</v>
      </c>
      <c r="G1144" s="29"/>
      <c r="H1144" s="29"/>
      <c r="I1144" s="29" t="s">
        <v>431</v>
      </c>
      <c r="J1144" s="47">
        <f t="shared" si="72"/>
        <v>24000</v>
      </c>
      <c r="K1144" s="29">
        <f>VLOOKUP($C1144,청소코드!$C$4:$J$188,8,FALSE)</f>
        <v>20000</v>
      </c>
      <c r="L1144" s="32"/>
      <c r="M1144" s="31"/>
      <c r="N1144" s="32">
        <v>4000</v>
      </c>
      <c r="O1144" s="32"/>
    </row>
    <row r="1145" spans="1:15" customFormat="1" ht="12.75" customHeight="1">
      <c r="A1145" s="30">
        <v>46138</v>
      </c>
      <c r="B1145" s="29" t="str">
        <f t="shared" si="71"/>
        <v>일</v>
      </c>
      <c r="C1145" s="29" t="s">
        <v>1285</v>
      </c>
      <c r="D1145" s="29" t="str">
        <f>VLOOKUP($C1145,청소코드!$C$4:$J$188,3,FALSE)</f>
        <v>청광1차 207</v>
      </c>
      <c r="E1145" s="29">
        <f>VLOOKUP($C1145,청소코드!$C$4:$J$188,4,FALSE)</f>
        <v>0</v>
      </c>
      <c r="F1145" s="29" t="s">
        <v>426</v>
      </c>
      <c r="G1145" s="29"/>
      <c r="H1145" s="29"/>
      <c r="I1145" s="29" t="s">
        <v>431</v>
      </c>
      <c r="J1145" s="47">
        <f t="shared" si="72"/>
        <v>10000</v>
      </c>
      <c r="K1145" s="29">
        <f>VLOOKUP($C1145,청소코드!$C$4:$J$188,8,FALSE)</f>
        <v>10000</v>
      </c>
      <c r="L1145" s="32"/>
      <c r="M1145" s="31"/>
      <c r="N1145" s="32"/>
      <c r="O1145" s="32"/>
    </row>
    <row r="1146" spans="1:15" customFormat="1" ht="12.75" customHeight="1">
      <c r="A1146" s="49">
        <v>46139</v>
      </c>
      <c r="B1146" s="50" t="str">
        <f t="shared" si="71"/>
        <v>월</v>
      </c>
      <c r="C1146" s="29" t="s">
        <v>1291</v>
      </c>
      <c r="D1146" s="29" t="str">
        <f>VLOOKUP($C1146,청소코드!$C$4:$J$188,3,FALSE)</f>
        <v>예건 902</v>
      </c>
      <c r="E1146" s="29">
        <f>VLOOKUP($C1146,청소코드!$C$4:$J$188,4,FALSE)</f>
        <v>1</v>
      </c>
      <c r="F1146" s="29" t="s">
        <v>1302</v>
      </c>
      <c r="G1146" s="29"/>
      <c r="H1146" s="29"/>
      <c r="I1146" s="29" t="s">
        <v>1313</v>
      </c>
      <c r="J1146" s="47">
        <f t="shared" si="72"/>
        <v>18000</v>
      </c>
      <c r="K1146" s="29">
        <f>VLOOKUP($C1146,청소코드!$C$4:$J$188,8,FALSE)</f>
        <v>18000</v>
      </c>
      <c r="L1146" s="32"/>
      <c r="M1146" s="31"/>
      <c r="N1146" s="32"/>
      <c r="O1146" s="32"/>
    </row>
    <row r="1147" spans="1:15" customFormat="1" ht="12.75" customHeight="1">
      <c r="A1147" s="30">
        <v>46139</v>
      </c>
      <c r="B1147" s="29" t="str">
        <f t="shared" si="71"/>
        <v>월</v>
      </c>
      <c r="C1147" s="29" t="s">
        <v>1292</v>
      </c>
      <c r="D1147" s="29" t="str">
        <f>VLOOKUP($C1147,청소코드!$C$4:$J$188,3,FALSE)</f>
        <v>더하임 204</v>
      </c>
      <c r="E1147" s="29">
        <f>VLOOKUP($C1147,청소코드!$C$4:$J$188,4,FALSE)</f>
        <v>1</v>
      </c>
      <c r="F1147" s="29" t="s">
        <v>1303</v>
      </c>
      <c r="G1147" s="29"/>
      <c r="H1147" s="29"/>
      <c r="I1147" s="29" t="s">
        <v>431</v>
      </c>
      <c r="J1147" s="47">
        <f t="shared" si="72"/>
        <v>18000</v>
      </c>
      <c r="K1147" s="29">
        <f>VLOOKUP($C1147,청소코드!$C$4:$J$188,8,FALSE)</f>
        <v>18000</v>
      </c>
      <c r="L1147" s="32"/>
      <c r="M1147" s="31"/>
      <c r="N1147" s="32"/>
      <c r="O1147" s="32"/>
    </row>
    <row r="1148" spans="1:15" customFormat="1" ht="12.75" customHeight="1">
      <c r="A1148" s="30">
        <v>46139</v>
      </c>
      <c r="B1148" s="29" t="str">
        <f t="shared" si="71"/>
        <v>월</v>
      </c>
      <c r="C1148" s="29" t="s">
        <v>1293</v>
      </c>
      <c r="D1148" s="29" t="str">
        <f>VLOOKUP($C1148,청소코드!$C$4:$J$188,3,FALSE)</f>
        <v>더하임 305</v>
      </c>
      <c r="E1148" s="29">
        <f>VLOOKUP($C1148,청소코드!$C$4:$J$188,4,FALSE)</f>
        <v>1</v>
      </c>
      <c r="F1148" s="29" t="s">
        <v>1303</v>
      </c>
      <c r="G1148" s="29"/>
      <c r="H1148" s="29"/>
      <c r="I1148" s="29" t="s">
        <v>431</v>
      </c>
      <c r="J1148" s="47">
        <f t="shared" si="72"/>
        <v>18000</v>
      </c>
      <c r="K1148" s="29">
        <f>VLOOKUP($C1148,청소코드!$C$4:$J$188,8,FALSE)</f>
        <v>18000</v>
      </c>
      <c r="L1148" s="32"/>
      <c r="M1148" s="31"/>
      <c r="N1148" s="32"/>
      <c r="O1148" s="32"/>
    </row>
    <row r="1149" spans="1:15" customFormat="1" ht="12.75" customHeight="1">
      <c r="A1149" s="30">
        <v>46139</v>
      </c>
      <c r="B1149" s="29" t="str">
        <f t="shared" si="71"/>
        <v>월</v>
      </c>
      <c r="C1149" s="29" t="s">
        <v>1294</v>
      </c>
      <c r="D1149" s="29" t="str">
        <f>VLOOKUP($C1149,청소코드!$C$4:$J$188,3,FALSE)</f>
        <v>센텀 2차 501</v>
      </c>
      <c r="E1149" s="29">
        <f>VLOOKUP($C1149,청소코드!$C$4:$J$188,4,FALSE)</f>
        <v>1.5</v>
      </c>
      <c r="F1149" s="29" t="s">
        <v>1304</v>
      </c>
      <c r="G1149" s="29"/>
      <c r="H1149" s="29"/>
      <c r="I1149" s="29" t="s">
        <v>431</v>
      </c>
      <c r="J1149" s="47">
        <f t="shared" si="72"/>
        <v>20000</v>
      </c>
      <c r="K1149" s="29">
        <f>VLOOKUP($C1149,청소코드!$C$4:$J$188,8,FALSE)</f>
        <v>20000</v>
      </c>
      <c r="L1149" s="32"/>
      <c r="M1149" s="31"/>
      <c r="N1149" s="32"/>
      <c r="O1149" s="32"/>
    </row>
    <row r="1150" spans="1:15" customFormat="1" ht="12.75" customHeight="1">
      <c r="A1150" s="30">
        <v>46139</v>
      </c>
      <c r="B1150" s="29" t="str">
        <f t="shared" si="71"/>
        <v>월</v>
      </c>
      <c r="C1150" s="29" t="s">
        <v>1295</v>
      </c>
      <c r="D1150" s="29" t="str">
        <f>VLOOKUP($C1150,청소코드!$C$4:$J$188,3,FALSE)</f>
        <v>길동다성 506</v>
      </c>
      <c r="E1150" s="29">
        <f>VLOOKUP($C1150,청소코드!$C$4:$J$188,4,FALSE)</f>
        <v>1</v>
      </c>
      <c r="F1150" s="29" t="s">
        <v>1304</v>
      </c>
      <c r="G1150" s="29" t="s">
        <v>1310</v>
      </c>
      <c r="H1150" s="29"/>
      <c r="I1150" s="29" t="s">
        <v>431</v>
      </c>
      <c r="J1150" s="47">
        <f t="shared" si="72"/>
        <v>23000</v>
      </c>
      <c r="K1150" s="29">
        <f>VLOOKUP($C1150,청소코드!$C$4:$J$188,8,FALSE)</f>
        <v>18000</v>
      </c>
      <c r="L1150" s="32">
        <v>5000</v>
      </c>
      <c r="M1150" s="31"/>
      <c r="N1150" s="32"/>
      <c r="O1150" s="32"/>
    </row>
    <row r="1151" spans="1:15" customFormat="1" ht="12.75" customHeight="1">
      <c r="A1151" s="30">
        <v>46139</v>
      </c>
      <c r="B1151" s="29" t="str">
        <f t="shared" si="71"/>
        <v>월</v>
      </c>
      <c r="C1151" s="29" t="s">
        <v>1296</v>
      </c>
      <c r="D1151" s="29" t="str">
        <f>VLOOKUP($C1151,청소코드!$C$4:$J$188,3,FALSE)</f>
        <v>르센티 1801</v>
      </c>
      <c r="E1151" s="29" t="str">
        <f>VLOOKUP($C1151,청소코드!$C$4:$J$188,4,FALSE)</f>
        <v>복</v>
      </c>
      <c r="F1151" s="29" t="s">
        <v>1245</v>
      </c>
      <c r="G1151" s="29"/>
      <c r="H1151" s="29"/>
      <c r="I1151" s="29" t="s">
        <v>431</v>
      </c>
      <c r="J1151" s="47">
        <f t="shared" si="72"/>
        <v>20000</v>
      </c>
      <c r="K1151" s="29">
        <f>VLOOKUP($C1151,청소코드!$C$4:$J$188,8,FALSE)</f>
        <v>20000</v>
      </c>
      <c r="L1151" s="32"/>
      <c r="M1151" s="31"/>
      <c r="N1151" s="32"/>
      <c r="O1151" s="32"/>
    </row>
    <row r="1152" spans="1:15" customFormat="1" ht="12.75" customHeight="1">
      <c r="A1152" s="30">
        <v>46139</v>
      </c>
      <c r="B1152" s="29" t="str">
        <f t="shared" si="71"/>
        <v>월</v>
      </c>
      <c r="C1152" s="29" t="s">
        <v>1297</v>
      </c>
      <c r="D1152" s="29" t="str">
        <f>VLOOKUP($C1152,청소코드!$C$4:$J$188,3,FALSE)</f>
        <v>청광3차 806</v>
      </c>
      <c r="E1152" s="29">
        <f>VLOOKUP($C1152,청소코드!$C$4:$J$188,4,FALSE)</f>
        <v>1</v>
      </c>
      <c r="F1152" s="29" t="s">
        <v>1222</v>
      </c>
      <c r="G1152" s="29"/>
      <c r="H1152" s="29"/>
      <c r="I1152" s="29" t="s">
        <v>431</v>
      </c>
      <c r="J1152" s="47">
        <f t="shared" si="72"/>
        <v>18000</v>
      </c>
      <c r="K1152" s="29">
        <f>VLOOKUP($C1152,청소코드!$C$4:$J$188,8,FALSE)</f>
        <v>18000</v>
      </c>
      <c r="L1152" s="32"/>
      <c r="M1152" s="31"/>
      <c r="N1152" s="32"/>
      <c r="O1152" s="32"/>
    </row>
    <row r="1153" spans="1:15" customFormat="1" ht="12.75" customHeight="1">
      <c r="A1153" s="30">
        <v>46139</v>
      </c>
      <c r="B1153" s="29" t="str">
        <f t="shared" si="71"/>
        <v>월</v>
      </c>
      <c r="C1153" s="29" t="s">
        <v>1298</v>
      </c>
      <c r="D1153" s="29" t="str">
        <f>VLOOKUP($C1153,청소코드!$C$4:$J$188,3,FALSE)</f>
        <v>청광3차 1416</v>
      </c>
      <c r="E1153" s="29">
        <f>VLOOKUP($C1153,청소코드!$C$4:$J$188,4,FALSE)</f>
        <v>1</v>
      </c>
      <c r="F1153" s="29" t="s">
        <v>1307</v>
      </c>
      <c r="G1153" s="29"/>
      <c r="H1153" s="29"/>
      <c r="I1153" s="29" t="s">
        <v>431</v>
      </c>
      <c r="J1153" s="47">
        <f t="shared" si="72"/>
        <v>18000</v>
      </c>
      <c r="K1153" s="29">
        <f>VLOOKUP($C1153,청소코드!$C$4:$J$188,8,FALSE)</f>
        <v>18000</v>
      </c>
      <c r="L1153" s="32"/>
      <c r="M1153" s="31"/>
      <c r="N1153" s="32"/>
      <c r="O1153" s="32"/>
    </row>
    <row r="1154" spans="1:15" customFormat="1" ht="12.75" customHeight="1">
      <c r="A1154" s="30">
        <v>46139</v>
      </c>
      <c r="B1154" s="29" t="str">
        <f t="shared" si="71"/>
        <v>월</v>
      </c>
      <c r="C1154" s="29" t="s">
        <v>1299</v>
      </c>
      <c r="D1154" s="29" t="str">
        <f>VLOOKUP($C1154,청소코드!$C$4:$J$188,3,FALSE)</f>
        <v>오앤 401</v>
      </c>
      <c r="E1154" s="29">
        <f>VLOOKUP($C1154,청소코드!$C$4:$J$188,4,FALSE)</f>
        <v>1</v>
      </c>
      <c r="F1154" s="29" t="s">
        <v>401</v>
      </c>
      <c r="G1154" s="29"/>
      <c r="H1154" s="29"/>
      <c r="I1154" s="29" t="s">
        <v>431</v>
      </c>
      <c r="J1154" s="47">
        <f t="shared" si="72"/>
        <v>18000</v>
      </c>
      <c r="K1154" s="29">
        <f>VLOOKUP($C1154,청소코드!$C$4:$J$188,8,FALSE)</f>
        <v>18000</v>
      </c>
      <c r="L1154" s="32"/>
      <c r="M1154" s="31"/>
      <c r="N1154" s="32"/>
      <c r="O1154" s="32"/>
    </row>
    <row r="1155" spans="1:15" customFormat="1" ht="12.75" customHeight="1">
      <c r="A1155" s="30">
        <v>46139</v>
      </c>
      <c r="B1155" s="29" t="str">
        <f t="shared" si="71"/>
        <v>월</v>
      </c>
      <c r="C1155" s="29" t="s">
        <v>1300</v>
      </c>
      <c r="D1155" s="29" t="str">
        <f>VLOOKUP($C1155,청소코드!$C$4:$J$188,3,FALSE)</f>
        <v>오금스타 205</v>
      </c>
      <c r="E1155" s="29">
        <f>VLOOKUP($C1155,청소코드!$C$4:$J$188,4,FALSE)</f>
        <v>1</v>
      </c>
      <c r="F1155" s="29" t="s">
        <v>449</v>
      </c>
      <c r="G1155" s="29"/>
      <c r="H1155" s="29"/>
      <c r="I1155" s="29" t="s">
        <v>431</v>
      </c>
      <c r="J1155" s="47">
        <f t="shared" si="72"/>
        <v>18000</v>
      </c>
      <c r="K1155" s="29">
        <f>VLOOKUP($C1155,청소코드!$C$4:$J$188,8,FALSE)</f>
        <v>18000</v>
      </c>
      <c r="L1155" s="32"/>
      <c r="M1155" s="31"/>
      <c r="N1155" s="32"/>
      <c r="O1155" s="32"/>
    </row>
    <row r="1156" spans="1:15" customFormat="1" ht="12.75" customHeight="1">
      <c r="A1156" s="30">
        <v>46139</v>
      </c>
      <c r="B1156" s="29" t="str">
        <f t="shared" si="71"/>
        <v>월</v>
      </c>
      <c r="C1156" s="29" t="s">
        <v>1301</v>
      </c>
      <c r="D1156" s="29" t="str">
        <f>VLOOKUP($C1156,청소코드!$C$4:$J$188,3,FALSE)</f>
        <v>청광1차 207</v>
      </c>
      <c r="E1156" s="29">
        <f>VLOOKUP($C1156,청소코드!$C$4:$J$188,4,FALSE)</f>
        <v>0</v>
      </c>
      <c r="F1156" s="29" t="s">
        <v>1307</v>
      </c>
      <c r="G1156" s="29"/>
      <c r="H1156" s="29"/>
      <c r="I1156" s="29" t="s">
        <v>431</v>
      </c>
      <c r="J1156" s="47">
        <f t="shared" si="72"/>
        <v>10000</v>
      </c>
      <c r="K1156" s="29">
        <f>VLOOKUP($C1156,청소코드!$C$4:$J$188,8,FALSE)</f>
        <v>10000</v>
      </c>
      <c r="L1156" s="32"/>
      <c r="M1156" s="31"/>
      <c r="N1156" s="32"/>
      <c r="O1156" s="32"/>
    </row>
    <row r="1157" spans="1:15" customFormat="1" ht="12.75" customHeight="1">
      <c r="A1157" s="49">
        <v>46140</v>
      </c>
      <c r="B1157" s="50" t="str">
        <f t="shared" ref="B1157:B1188" si="73">TEXT(A1157,"aaa")</f>
        <v>화</v>
      </c>
      <c r="C1157" s="29" t="s">
        <v>498</v>
      </c>
      <c r="D1157" s="29" t="str">
        <f>VLOOKUP($C1157,청소코드!$C$4:$J$188,3,FALSE)</f>
        <v>더하임 1006</v>
      </c>
      <c r="E1157" s="29">
        <f>VLOOKUP($C1157,청소코드!$C$4:$J$188,4,FALSE)</f>
        <v>1.5</v>
      </c>
      <c r="F1157" s="29" t="s">
        <v>426</v>
      </c>
      <c r="G1157" s="29"/>
      <c r="H1157" s="29"/>
      <c r="I1157" s="29" t="s">
        <v>1352</v>
      </c>
      <c r="J1157" s="47">
        <f t="shared" ref="J1157:J1188" si="74">SUM(K1157:O1157)</f>
        <v>20000</v>
      </c>
      <c r="K1157" s="29">
        <f>VLOOKUP($C1157,청소코드!$C$4:$J$188,8,FALSE)</f>
        <v>20000</v>
      </c>
      <c r="L1157" s="32"/>
      <c r="M1157" s="31"/>
      <c r="N1157" s="32"/>
      <c r="O1157" s="32"/>
    </row>
    <row r="1158" spans="1:15" customFormat="1" ht="12.75" customHeight="1">
      <c r="A1158" s="49">
        <v>46141</v>
      </c>
      <c r="B1158" s="50" t="str">
        <f t="shared" si="73"/>
        <v>수</v>
      </c>
      <c r="C1158" s="29" t="s">
        <v>1318</v>
      </c>
      <c r="D1158" s="29" t="str">
        <f>VLOOKUP($C1158,청소코드!$C$4:$J$188,3,FALSE)</f>
        <v>더하임 1004</v>
      </c>
      <c r="E1158" s="29">
        <f>VLOOKUP($C1158,청소코드!$C$4:$J$188,4,FALSE)</f>
        <v>1</v>
      </c>
      <c r="F1158" s="29" t="s">
        <v>426</v>
      </c>
      <c r="G1158" s="29"/>
      <c r="H1158" s="29"/>
      <c r="I1158" s="29" t="s">
        <v>431</v>
      </c>
      <c r="J1158" s="47">
        <f t="shared" si="74"/>
        <v>18000</v>
      </c>
      <c r="K1158" s="29">
        <f>VLOOKUP($C1158,청소코드!$C$4:$J$188,8,FALSE)</f>
        <v>18000</v>
      </c>
      <c r="L1158" s="32"/>
      <c r="M1158" s="31"/>
      <c r="N1158" s="32"/>
      <c r="O1158" s="32"/>
    </row>
    <row r="1159" spans="1:15" customFormat="1" ht="12.75" customHeight="1">
      <c r="A1159" s="30">
        <v>46141</v>
      </c>
      <c r="B1159" s="29" t="str">
        <f t="shared" si="73"/>
        <v>수</v>
      </c>
      <c r="C1159" s="29" t="s">
        <v>1319</v>
      </c>
      <c r="D1159" s="29" t="str">
        <f>VLOOKUP($C1159,청소코드!$C$4:$J$188,3,FALSE)</f>
        <v>더하임 1005</v>
      </c>
      <c r="E1159" s="29">
        <f>VLOOKUP($C1159,청소코드!$C$4:$J$188,4,FALSE)</f>
        <v>1</v>
      </c>
      <c r="F1159" s="29" t="s">
        <v>426</v>
      </c>
      <c r="G1159" s="29"/>
      <c r="H1159" s="29"/>
      <c r="I1159" s="29" t="s">
        <v>431</v>
      </c>
      <c r="J1159" s="47">
        <f t="shared" si="74"/>
        <v>18000</v>
      </c>
      <c r="K1159" s="29">
        <f>VLOOKUP($C1159,청소코드!$C$4:$J$188,8,FALSE)</f>
        <v>18000</v>
      </c>
      <c r="L1159" s="32"/>
      <c r="M1159" s="31"/>
      <c r="N1159" s="32"/>
      <c r="O1159" s="32"/>
    </row>
    <row r="1160" spans="1:15" customFormat="1" ht="12.75" customHeight="1">
      <c r="A1160" s="30">
        <v>46141</v>
      </c>
      <c r="B1160" s="29" t="str">
        <f t="shared" si="73"/>
        <v>수</v>
      </c>
      <c r="C1160" s="29" t="s">
        <v>1320</v>
      </c>
      <c r="D1160" s="29" t="str">
        <f>VLOOKUP($C1160,청소코드!$C$4:$J$188,3,FALSE)</f>
        <v>미사아름채 1310호</v>
      </c>
      <c r="E1160" s="29">
        <f>VLOOKUP($C1160,청소코드!$C$4:$J$188,4,FALSE)</f>
        <v>1.5</v>
      </c>
      <c r="F1160" s="29" t="s">
        <v>426</v>
      </c>
      <c r="G1160" s="29"/>
      <c r="H1160" s="29"/>
      <c r="I1160" s="29" t="s">
        <v>431</v>
      </c>
      <c r="J1160" s="47">
        <f t="shared" si="74"/>
        <v>20000</v>
      </c>
      <c r="K1160" s="29">
        <f>VLOOKUP($C1160,청소코드!$C$4:$J$188,8,FALSE)</f>
        <v>20000</v>
      </c>
      <c r="L1160" s="32"/>
      <c r="M1160" s="31"/>
      <c r="N1160" s="32"/>
      <c r="O1160" s="32"/>
    </row>
    <row r="1161" spans="1:15" customFormat="1" ht="12.75" customHeight="1">
      <c r="A1161" s="30">
        <v>46141</v>
      </c>
      <c r="B1161" s="29" t="str">
        <f t="shared" si="73"/>
        <v>수</v>
      </c>
      <c r="C1161" s="29" t="s">
        <v>1321</v>
      </c>
      <c r="D1161" s="29" t="str">
        <f>VLOOKUP($C1161,청소코드!$C$4:$J$188,3,FALSE)</f>
        <v>더하임 901</v>
      </c>
      <c r="E1161" s="29">
        <f>VLOOKUP($C1161,청소코드!$C$4:$J$188,4,FALSE)</f>
        <v>1</v>
      </c>
      <c r="F1161" s="29" t="s">
        <v>1330</v>
      </c>
      <c r="G1161" s="29"/>
      <c r="H1161" s="29"/>
      <c r="I1161" s="29" t="s">
        <v>431</v>
      </c>
      <c r="J1161" s="47">
        <f t="shared" si="74"/>
        <v>18000</v>
      </c>
      <c r="K1161" s="29">
        <f>VLOOKUP($C1161,청소코드!$C$4:$J$188,8,FALSE)</f>
        <v>18000</v>
      </c>
      <c r="L1161" s="32"/>
      <c r="M1161" s="31"/>
      <c r="N1161" s="32"/>
      <c r="O1161" s="32"/>
    </row>
    <row r="1162" spans="1:15" customFormat="1" ht="12.75" customHeight="1">
      <c r="A1162" s="30">
        <v>46141</v>
      </c>
      <c r="B1162" s="29" t="str">
        <f t="shared" si="73"/>
        <v>수</v>
      </c>
      <c r="C1162" s="29" t="s">
        <v>1322</v>
      </c>
      <c r="D1162" s="29" t="str">
        <f>VLOOKUP($C1162,청소코드!$C$4:$J$188,3,FALSE)</f>
        <v>더하임 905</v>
      </c>
      <c r="E1162" s="29">
        <f>VLOOKUP($C1162,청소코드!$C$4:$J$188,4,FALSE)</f>
        <v>1</v>
      </c>
      <c r="F1162" s="29" t="s">
        <v>1331</v>
      </c>
      <c r="G1162" s="29"/>
      <c r="H1162" s="29"/>
      <c r="I1162" s="29" t="s">
        <v>431</v>
      </c>
      <c r="J1162" s="47">
        <f t="shared" si="74"/>
        <v>18000</v>
      </c>
      <c r="K1162" s="29">
        <f>VLOOKUP($C1162,청소코드!$C$4:$J$188,8,FALSE)</f>
        <v>18000</v>
      </c>
      <c r="L1162" s="32"/>
      <c r="M1162" s="31"/>
      <c r="N1162" s="32"/>
      <c r="O1162" s="32"/>
    </row>
    <row r="1163" spans="1:15" customFormat="1" ht="12.75" customHeight="1">
      <c r="A1163" s="30">
        <v>46141</v>
      </c>
      <c r="B1163" s="29" t="str">
        <f t="shared" si="73"/>
        <v>수</v>
      </c>
      <c r="C1163" s="29" t="s">
        <v>1323</v>
      </c>
      <c r="D1163" s="29" t="str">
        <f>VLOOKUP($C1163,청소코드!$C$4:$J$188,3,FALSE)</f>
        <v>청광3차 1416</v>
      </c>
      <c r="E1163" s="29">
        <f>VLOOKUP($C1163,청소코드!$C$4:$J$188,4,FALSE)</f>
        <v>1</v>
      </c>
      <c r="F1163" s="29" t="s">
        <v>1332</v>
      </c>
      <c r="G1163" s="29"/>
      <c r="H1163" s="29"/>
      <c r="I1163" s="29" t="s">
        <v>431</v>
      </c>
      <c r="J1163" s="47">
        <f t="shared" si="74"/>
        <v>18000</v>
      </c>
      <c r="K1163" s="29">
        <f>VLOOKUP($C1163,청소코드!$C$4:$J$188,8,FALSE)</f>
        <v>18000</v>
      </c>
      <c r="L1163" s="32"/>
      <c r="M1163" s="31"/>
      <c r="N1163" s="32"/>
      <c r="O1163" s="32"/>
    </row>
    <row r="1164" spans="1:15" customFormat="1" ht="12.75" customHeight="1">
      <c r="A1164" s="30">
        <v>46141</v>
      </c>
      <c r="B1164" s="29" t="str">
        <f t="shared" si="73"/>
        <v>수</v>
      </c>
      <c r="C1164" s="29" t="s">
        <v>1324</v>
      </c>
      <c r="D1164" s="29" t="str">
        <f>VLOOKUP($C1164,청소코드!$C$4:$J$188,3,FALSE)</f>
        <v>si 502</v>
      </c>
      <c r="E1164" s="29">
        <f>VLOOKUP($C1164,청소코드!$C$4:$J$188,4,FALSE)</f>
        <v>1</v>
      </c>
      <c r="F1164" s="29" t="s">
        <v>1333</v>
      </c>
      <c r="G1164" s="29"/>
      <c r="H1164" s="29"/>
      <c r="I1164" s="29" t="s">
        <v>431</v>
      </c>
      <c r="J1164" s="47">
        <f t="shared" si="74"/>
        <v>25000</v>
      </c>
      <c r="K1164" s="29">
        <f>VLOOKUP($C1164,청소코드!$C$4:$J$188,8,FALSE)</f>
        <v>20000</v>
      </c>
      <c r="L1164" s="32">
        <v>5000</v>
      </c>
      <c r="M1164" s="31"/>
      <c r="N1164" s="32"/>
      <c r="O1164" s="32"/>
    </row>
    <row r="1165" spans="1:15" customFormat="1" ht="12.75" customHeight="1">
      <c r="A1165" s="30">
        <v>46141</v>
      </c>
      <c r="B1165" s="29" t="str">
        <f t="shared" si="73"/>
        <v>수</v>
      </c>
      <c r="C1165" s="29" t="s">
        <v>1325</v>
      </c>
      <c r="D1165" s="29" t="str">
        <f>VLOOKUP($C1165,청소코드!$C$4:$J$188,3,FALSE)</f>
        <v>오앤 401</v>
      </c>
      <c r="E1165" s="29">
        <f>VLOOKUP($C1165,청소코드!$C$4:$J$188,4,FALSE)</f>
        <v>1</v>
      </c>
      <c r="F1165" s="29" t="s">
        <v>1333</v>
      </c>
      <c r="G1165" s="29"/>
      <c r="H1165" s="29"/>
      <c r="I1165" s="29" t="s">
        <v>431</v>
      </c>
      <c r="J1165" s="47">
        <f t="shared" si="74"/>
        <v>18000</v>
      </c>
      <c r="K1165" s="29">
        <f>VLOOKUP($C1165,청소코드!$C$4:$J$188,8,FALSE)</f>
        <v>18000</v>
      </c>
      <c r="L1165" s="32"/>
      <c r="M1165" s="31"/>
      <c r="N1165" s="32"/>
      <c r="O1165" s="32"/>
    </row>
    <row r="1166" spans="1:15" customFormat="1" ht="12.75" customHeight="1">
      <c r="A1166" s="30">
        <v>46141</v>
      </c>
      <c r="B1166" s="29" t="str">
        <f t="shared" si="73"/>
        <v>수</v>
      </c>
      <c r="C1166" s="29" t="s">
        <v>1326</v>
      </c>
      <c r="D1166" s="29" t="str">
        <f>VLOOKUP($C1166,청소코드!$C$4:$J$188,3,FALSE)</f>
        <v>은성 603</v>
      </c>
      <c r="E1166" s="29">
        <f>VLOOKUP($C1166,청소코드!$C$4:$J$188,4,FALSE)</f>
        <v>1</v>
      </c>
      <c r="F1166" s="29" t="s">
        <v>1334</v>
      </c>
      <c r="G1166" s="29"/>
      <c r="H1166" s="29"/>
      <c r="I1166" s="29" t="s">
        <v>431</v>
      </c>
      <c r="J1166" s="47">
        <f t="shared" si="74"/>
        <v>18000</v>
      </c>
      <c r="K1166" s="29">
        <f>VLOOKUP($C1166,청소코드!$C$4:$J$188,8,FALSE)</f>
        <v>18000</v>
      </c>
      <c r="L1166" s="32"/>
      <c r="M1166" s="31"/>
      <c r="N1166" s="32"/>
      <c r="O1166" s="32"/>
    </row>
    <row r="1167" spans="1:15" customFormat="1" ht="12.75" customHeight="1">
      <c r="A1167" s="30">
        <v>46141</v>
      </c>
      <c r="B1167" s="29" t="str">
        <f t="shared" si="73"/>
        <v>수</v>
      </c>
      <c r="C1167" s="29" t="s">
        <v>1327</v>
      </c>
      <c r="D1167" s="29" t="str">
        <f>VLOOKUP($C1167,청소코드!$C$4:$J$188,3,FALSE)</f>
        <v>하람휴 1102</v>
      </c>
      <c r="E1167" s="29">
        <f>VLOOKUP($C1167,청소코드!$C$4:$J$188,4,FALSE)</f>
        <v>2</v>
      </c>
      <c r="F1167" s="29" t="s">
        <v>1335</v>
      </c>
      <c r="G1167" s="29"/>
      <c r="H1167" s="29"/>
      <c r="I1167" s="29" t="s">
        <v>431</v>
      </c>
      <c r="J1167" s="47">
        <f t="shared" si="74"/>
        <v>23000</v>
      </c>
      <c r="K1167" s="29">
        <f>VLOOKUP($C1167,청소코드!$C$4:$J$188,8,FALSE)</f>
        <v>23000</v>
      </c>
      <c r="L1167" s="32"/>
      <c r="M1167" s="31"/>
      <c r="N1167" s="32"/>
      <c r="O1167" s="32"/>
    </row>
    <row r="1168" spans="1:15" customFormat="1" ht="12.75" customHeight="1">
      <c r="A1168" s="30">
        <v>46141</v>
      </c>
      <c r="B1168" s="29" t="str">
        <f t="shared" si="73"/>
        <v>수</v>
      </c>
      <c r="C1168" s="29" t="s">
        <v>1328</v>
      </c>
      <c r="D1168" s="29" t="str">
        <f>VLOOKUP($C1168,청소코드!$C$4:$J$188,3,FALSE)</f>
        <v>대치동 103호</v>
      </c>
      <c r="E1168" s="29">
        <f>VLOOKUP($C1168,청소코드!$C$4:$J$188,4,FALSE)</f>
        <v>1.5</v>
      </c>
      <c r="F1168" s="29" t="s">
        <v>1336</v>
      </c>
      <c r="G1168" s="29"/>
      <c r="H1168" s="29"/>
      <c r="I1168" s="29" t="s">
        <v>431</v>
      </c>
      <c r="J1168" s="47">
        <f t="shared" si="74"/>
        <v>20000</v>
      </c>
      <c r="K1168" s="29">
        <f>VLOOKUP($C1168,청소코드!$C$4:$J$188,8,FALSE)</f>
        <v>20000</v>
      </c>
      <c r="L1168" s="32"/>
      <c r="M1168" s="31"/>
      <c r="N1168" s="32"/>
      <c r="O1168" s="32"/>
    </row>
    <row r="1169" spans="1:15" customFormat="1" ht="12.75" customHeight="1">
      <c r="A1169" s="30">
        <v>46141</v>
      </c>
      <c r="B1169" s="29" t="str">
        <f t="shared" si="73"/>
        <v>수</v>
      </c>
      <c r="C1169" s="29" t="s">
        <v>1329</v>
      </c>
      <c r="D1169" s="29" t="str">
        <f>VLOOKUP($C1169,청소코드!$C$4:$J$188,3,FALSE)</f>
        <v>청광1차 207</v>
      </c>
      <c r="E1169" s="29">
        <f>VLOOKUP($C1169,청소코드!$C$4:$J$188,4,FALSE)</f>
        <v>0</v>
      </c>
      <c r="F1169" s="29" t="s">
        <v>426</v>
      </c>
      <c r="G1169" s="29"/>
      <c r="H1169" s="29"/>
      <c r="I1169" s="29" t="s">
        <v>431</v>
      </c>
      <c r="J1169" s="47">
        <f t="shared" si="74"/>
        <v>10000</v>
      </c>
      <c r="K1169" s="29">
        <f>VLOOKUP($C1169,청소코드!$C$4:$J$188,8,FALSE)</f>
        <v>10000</v>
      </c>
      <c r="L1169" s="32"/>
      <c r="M1169" s="31"/>
      <c r="N1169" s="32"/>
      <c r="O1169" s="32"/>
    </row>
    <row r="1170" spans="1:15" customFormat="1" ht="12.75" customHeight="1">
      <c r="A1170" s="49">
        <v>46142</v>
      </c>
      <c r="B1170" s="50" t="str">
        <f t="shared" si="73"/>
        <v>목</v>
      </c>
      <c r="C1170" s="29" t="s">
        <v>1337</v>
      </c>
      <c r="D1170" s="29" t="str">
        <f>VLOOKUP($C1170,청소코드!$C$4:$J$188,3,FALSE)</f>
        <v>예건 202</v>
      </c>
      <c r="E1170" s="29">
        <f>VLOOKUP($C1170,청소코드!$C$4:$J$188,4,FALSE)</f>
        <v>1</v>
      </c>
      <c r="F1170" s="29" t="s">
        <v>1330</v>
      </c>
      <c r="G1170" s="29"/>
      <c r="H1170" s="29"/>
      <c r="I1170" s="29" t="s">
        <v>431</v>
      </c>
      <c r="J1170" s="47">
        <f t="shared" si="74"/>
        <v>18000</v>
      </c>
      <c r="K1170" s="29">
        <f>VLOOKUP($C1170,청소코드!$C$4:$J$188,8,FALSE)</f>
        <v>18000</v>
      </c>
      <c r="L1170" s="32"/>
      <c r="M1170" s="31"/>
      <c r="N1170" s="32"/>
      <c r="O1170" s="32"/>
    </row>
    <row r="1171" spans="1:15" customFormat="1" ht="12.75" customHeight="1">
      <c r="A1171" s="30">
        <v>46142</v>
      </c>
      <c r="B1171" s="29" t="str">
        <f t="shared" si="73"/>
        <v>목</v>
      </c>
      <c r="C1171" s="29" t="s">
        <v>1338</v>
      </c>
      <c r="D1171" s="29" t="str">
        <f>VLOOKUP($C1171,청소코드!$C$4:$J$188,3,FALSE)</f>
        <v>더하임 1003</v>
      </c>
      <c r="E1171" s="29">
        <f>VLOOKUP($C1171,청소코드!$C$4:$J$188,4,FALSE)</f>
        <v>1</v>
      </c>
      <c r="F1171" s="29" t="s">
        <v>426</v>
      </c>
      <c r="G1171" s="29"/>
      <c r="H1171" s="29"/>
      <c r="I1171" s="29" t="s">
        <v>431</v>
      </c>
      <c r="J1171" s="47">
        <f t="shared" si="74"/>
        <v>18000</v>
      </c>
      <c r="K1171" s="29">
        <f>VLOOKUP($C1171,청소코드!$C$4:$J$188,8,FALSE)</f>
        <v>18000</v>
      </c>
      <c r="L1171" s="32"/>
      <c r="M1171" s="31"/>
      <c r="N1171" s="32"/>
      <c r="O1171" s="32"/>
    </row>
    <row r="1172" spans="1:15" customFormat="1" ht="12.75" customHeight="1">
      <c r="A1172" s="30">
        <v>46142</v>
      </c>
      <c r="B1172" s="29" t="str">
        <f t="shared" si="73"/>
        <v>목</v>
      </c>
      <c r="C1172" s="29" t="s">
        <v>1339</v>
      </c>
      <c r="D1172" s="29" t="str">
        <f>VLOOKUP($C1172,청소코드!$C$4:$J$188,3,FALSE)</f>
        <v>더하임 203</v>
      </c>
      <c r="E1172" s="29">
        <f>VLOOKUP($C1172,청소코드!$C$4:$J$188,4,FALSE)</f>
        <v>1</v>
      </c>
      <c r="F1172" s="29" t="s">
        <v>426</v>
      </c>
      <c r="G1172" s="29"/>
      <c r="H1172" s="29"/>
      <c r="I1172" s="29" t="s">
        <v>431</v>
      </c>
      <c r="J1172" s="47">
        <f t="shared" si="74"/>
        <v>18000</v>
      </c>
      <c r="K1172" s="29">
        <f>VLOOKUP($C1172,청소코드!$C$4:$J$188,8,FALSE)</f>
        <v>18000</v>
      </c>
      <c r="L1172" s="32"/>
      <c r="M1172" s="31"/>
      <c r="N1172" s="32"/>
      <c r="O1172" s="32"/>
    </row>
    <row r="1173" spans="1:15" customFormat="1" ht="12.75" customHeight="1">
      <c r="A1173" s="30">
        <v>46142</v>
      </c>
      <c r="B1173" s="29" t="str">
        <f t="shared" si="73"/>
        <v>목</v>
      </c>
      <c r="C1173" s="29" t="s">
        <v>1340</v>
      </c>
      <c r="D1173" s="29" t="str">
        <f>VLOOKUP($C1173,청소코드!$C$4:$J$188,3,FALSE)</f>
        <v>더하임 204</v>
      </c>
      <c r="E1173" s="29">
        <f>VLOOKUP($C1173,청소코드!$C$4:$J$188,4,FALSE)</f>
        <v>1</v>
      </c>
      <c r="F1173" s="29" t="s">
        <v>426</v>
      </c>
      <c r="G1173" s="29"/>
      <c r="H1173" s="29"/>
      <c r="I1173" s="29" t="s">
        <v>431</v>
      </c>
      <c r="J1173" s="47">
        <f t="shared" si="74"/>
        <v>18000</v>
      </c>
      <c r="K1173" s="29">
        <f>VLOOKUP($C1173,청소코드!$C$4:$J$188,8,FALSE)</f>
        <v>18000</v>
      </c>
      <c r="L1173" s="32"/>
      <c r="M1173" s="31"/>
      <c r="N1173" s="32"/>
      <c r="O1173" s="32"/>
    </row>
    <row r="1174" spans="1:15" customFormat="1" ht="12.75" customHeight="1">
      <c r="A1174" s="30">
        <v>46142</v>
      </c>
      <c r="B1174" s="29" t="str">
        <f t="shared" si="73"/>
        <v>목</v>
      </c>
      <c r="C1174" s="29" t="s">
        <v>1325</v>
      </c>
      <c r="D1174" s="29" t="str">
        <f>VLOOKUP($C1174,청소코드!$C$4:$J$188,3,FALSE)</f>
        <v>오앤 401</v>
      </c>
      <c r="E1174" s="29">
        <f>VLOOKUP($C1174,청소코드!$C$4:$J$188,4,FALSE)</f>
        <v>1</v>
      </c>
      <c r="F1174" s="29" t="s">
        <v>426</v>
      </c>
      <c r="G1174" s="29"/>
      <c r="H1174" s="29"/>
      <c r="I1174" s="29" t="s">
        <v>431</v>
      </c>
      <c r="J1174" s="47">
        <f t="shared" si="74"/>
        <v>18000</v>
      </c>
      <c r="K1174" s="29">
        <f>VLOOKUP($C1174,청소코드!$C$4:$J$188,8,FALSE)</f>
        <v>18000</v>
      </c>
      <c r="L1174" s="32"/>
      <c r="M1174" s="31"/>
      <c r="N1174" s="32"/>
      <c r="O1174" s="32"/>
    </row>
    <row r="1175" spans="1:15" customFormat="1" ht="12.75" customHeight="1">
      <c r="A1175" s="30">
        <v>46142</v>
      </c>
      <c r="B1175" s="29" t="str">
        <f t="shared" si="73"/>
        <v>목</v>
      </c>
      <c r="C1175" s="29" t="s">
        <v>1341</v>
      </c>
      <c r="D1175" s="29" t="str">
        <f>VLOOKUP($C1175,청소코드!$C$4:$J$188,3,FALSE)</f>
        <v>센텀 2차 406</v>
      </c>
      <c r="E1175" s="29">
        <f>VLOOKUP($C1175,청소코드!$C$4:$J$188,4,FALSE)</f>
        <v>1.5</v>
      </c>
      <c r="F1175" s="29" t="s">
        <v>1332</v>
      </c>
      <c r="G1175" s="29"/>
      <c r="H1175" s="29"/>
      <c r="I1175" s="29" t="s">
        <v>431</v>
      </c>
      <c r="J1175" s="47">
        <f t="shared" si="74"/>
        <v>20000</v>
      </c>
      <c r="K1175" s="29">
        <f>VLOOKUP($C1175,청소코드!$C$4:$J$188,8,FALSE)</f>
        <v>20000</v>
      </c>
      <c r="L1175" s="32"/>
      <c r="M1175" s="31"/>
      <c r="N1175" s="32"/>
      <c r="O1175" s="32"/>
    </row>
    <row r="1176" spans="1:15" customFormat="1" ht="12.75" customHeight="1">
      <c r="A1176" s="30">
        <v>46142</v>
      </c>
      <c r="B1176" s="29" t="str">
        <f t="shared" si="73"/>
        <v>목</v>
      </c>
      <c r="C1176" s="29" t="s">
        <v>1342</v>
      </c>
      <c r="D1176" s="29" t="str">
        <f>VLOOKUP($C1176,청소코드!$C$4:$J$188,3,FALSE)</f>
        <v>청광3차 1412</v>
      </c>
      <c r="E1176" s="29">
        <f>VLOOKUP($C1176,청소코드!$C$4:$J$188,4,FALSE)</f>
        <v>1</v>
      </c>
      <c r="F1176" s="29" t="s">
        <v>1330</v>
      </c>
      <c r="G1176" s="29"/>
      <c r="H1176" s="29"/>
      <c r="I1176" s="29" t="s">
        <v>431</v>
      </c>
      <c r="J1176" s="47">
        <f t="shared" si="74"/>
        <v>28000</v>
      </c>
      <c r="K1176" s="29">
        <f>VLOOKUP($C1176,청소코드!$C$4:$J$188,8,FALSE)</f>
        <v>18000</v>
      </c>
      <c r="L1176" s="32">
        <v>10000</v>
      </c>
      <c r="M1176" s="31"/>
      <c r="N1176" s="32"/>
      <c r="O1176" s="32"/>
    </row>
    <row r="1177" spans="1:15" customFormat="1" ht="12.75" customHeight="1">
      <c r="A1177" s="30">
        <v>46142</v>
      </c>
      <c r="B1177" s="29" t="str">
        <f t="shared" si="73"/>
        <v>목</v>
      </c>
      <c r="C1177" s="29" t="s">
        <v>1324</v>
      </c>
      <c r="D1177" s="29" t="str">
        <f>VLOOKUP($C1177,청소코드!$C$4:$J$188,3,FALSE)</f>
        <v>si 502</v>
      </c>
      <c r="E1177" s="29">
        <f>VLOOKUP($C1177,청소코드!$C$4:$J$188,4,FALSE)</f>
        <v>1</v>
      </c>
      <c r="F1177" s="29" t="s">
        <v>1331</v>
      </c>
      <c r="G1177" s="29"/>
      <c r="H1177" s="29"/>
      <c r="I1177" s="29" t="s">
        <v>431</v>
      </c>
      <c r="J1177" s="47">
        <f t="shared" si="74"/>
        <v>20000</v>
      </c>
      <c r="K1177" s="29">
        <f>VLOOKUP($C1177,청소코드!$C$4:$J$188,8,FALSE)</f>
        <v>20000</v>
      </c>
      <c r="L1177" s="32"/>
      <c r="M1177" s="31"/>
      <c r="N1177" s="32"/>
      <c r="O1177" s="32"/>
    </row>
    <row r="1178" spans="1:15" customFormat="1" ht="12.75" customHeight="1">
      <c r="A1178" s="30">
        <v>46142</v>
      </c>
      <c r="B1178" s="29" t="str">
        <f t="shared" si="73"/>
        <v>목</v>
      </c>
      <c r="C1178" s="29" t="s">
        <v>1343</v>
      </c>
      <c r="D1178" s="29" t="str">
        <f>VLOOKUP($C1178,청소코드!$C$4:$J$188,3,FALSE)</f>
        <v>대치동 102호</v>
      </c>
      <c r="E1178" s="29">
        <f>VLOOKUP($C1178,청소코드!$C$4:$J$188,4,FALSE)</f>
        <v>1</v>
      </c>
      <c r="F1178" s="29" t="s">
        <v>1336</v>
      </c>
      <c r="G1178" s="29"/>
      <c r="H1178" s="29"/>
      <c r="I1178" s="29" t="s">
        <v>431</v>
      </c>
      <c r="J1178" s="47">
        <f t="shared" si="74"/>
        <v>26500</v>
      </c>
      <c r="K1178" s="29">
        <f>VLOOKUP($C1178,청소코드!$C$4:$J$188,8,FALSE)</f>
        <v>18000</v>
      </c>
      <c r="L1178" s="32"/>
      <c r="M1178" s="31"/>
      <c r="N1178" s="32">
        <v>8500</v>
      </c>
      <c r="O1178" s="32"/>
    </row>
    <row r="1179" spans="1:15" customFormat="1" ht="12.75" customHeight="1">
      <c r="A1179" s="30">
        <v>46142</v>
      </c>
      <c r="B1179" s="29" t="str">
        <f t="shared" si="73"/>
        <v>목</v>
      </c>
      <c r="C1179" s="29" t="s">
        <v>1329</v>
      </c>
      <c r="D1179" s="29" t="str">
        <f>VLOOKUP($C1179,청소코드!$C$4:$J$188,3,FALSE)</f>
        <v>청광1차 207</v>
      </c>
      <c r="E1179" s="29">
        <f>VLOOKUP($C1179,청소코드!$C$4:$J$188,4,FALSE)</f>
        <v>0</v>
      </c>
      <c r="F1179" s="29" t="s">
        <v>426</v>
      </c>
      <c r="G1179" s="29"/>
      <c r="H1179" s="29"/>
      <c r="I1179" s="29" t="s">
        <v>431</v>
      </c>
      <c r="J1179" s="47">
        <f t="shared" si="74"/>
        <v>10000</v>
      </c>
      <c r="K1179" s="29">
        <f>VLOOKUP($C1179,청소코드!$C$4:$J$188,8,FALSE)</f>
        <v>10000</v>
      </c>
      <c r="L1179" s="32"/>
      <c r="M1179" s="31"/>
      <c r="N1179" s="32"/>
      <c r="O1179" s="32"/>
    </row>
    <row r="1180" spans="1:15" customFormat="1" ht="12.75" customHeight="1">
      <c r="A1180" s="49">
        <v>46143</v>
      </c>
      <c r="B1180" s="50" t="str">
        <f t="shared" si="73"/>
        <v>금</v>
      </c>
      <c r="C1180" s="29" t="s">
        <v>1321</v>
      </c>
      <c r="D1180" s="29" t="str">
        <f>VLOOKUP($C1180,청소코드!$C$4:$J$188,3,FALSE)</f>
        <v>더하임 901</v>
      </c>
      <c r="E1180" s="29">
        <f>VLOOKUP($C1180,청소코드!$C$4:$J$188,4,FALSE)</f>
        <v>1</v>
      </c>
      <c r="F1180" s="29" t="s">
        <v>1331</v>
      </c>
      <c r="G1180" s="29"/>
      <c r="H1180" s="29"/>
      <c r="I1180" s="29" t="s">
        <v>1352</v>
      </c>
      <c r="J1180" s="47">
        <f t="shared" si="74"/>
        <v>18000</v>
      </c>
      <c r="K1180" s="29">
        <f>VLOOKUP($C1180,청소코드!$C$4:$J$188,8,FALSE)</f>
        <v>18000</v>
      </c>
      <c r="L1180" s="32"/>
      <c r="M1180" s="31"/>
      <c r="N1180" s="32"/>
      <c r="O1180" s="32"/>
    </row>
    <row r="1181" spans="1:15" customFormat="1" ht="12.75" customHeight="1">
      <c r="A1181" s="30">
        <v>46143</v>
      </c>
      <c r="B1181" s="29" t="str">
        <f t="shared" si="73"/>
        <v>금</v>
      </c>
      <c r="C1181" s="29" t="s">
        <v>1338</v>
      </c>
      <c r="D1181" s="29" t="str">
        <f>VLOOKUP($C1181,청소코드!$C$4:$J$188,3,FALSE)</f>
        <v>더하임 1003</v>
      </c>
      <c r="E1181" s="29">
        <f>VLOOKUP($C1181,청소코드!$C$4:$J$188,4,FALSE)</f>
        <v>1</v>
      </c>
      <c r="F1181" s="29" t="s">
        <v>1351</v>
      </c>
      <c r="G1181" s="29"/>
      <c r="H1181" s="29"/>
      <c r="I1181" s="29" t="s">
        <v>431</v>
      </c>
      <c r="J1181" s="47">
        <f t="shared" si="74"/>
        <v>18000</v>
      </c>
      <c r="K1181" s="29">
        <f>VLOOKUP($C1181,청소코드!$C$4:$J$188,8,FALSE)</f>
        <v>18000</v>
      </c>
      <c r="L1181" s="32"/>
      <c r="M1181" s="31"/>
      <c r="N1181" s="32"/>
      <c r="O1181" s="32"/>
    </row>
    <row r="1182" spans="1:15" customFormat="1" ht="12.75" customHeight="1">
      <c r="A1182" s="30">
        <v>46143</v>
      </c>
      <c r="B1182" s="29" t="str">
        <f t="shared" si="73"/>
        <v>금</v>
      </c>
      <c r="C1182" s="29" t="s">
        <v>1318</v>
      </c>
      <c r="D1182" s="29" t="str">
        <f>VLOOKUP($C1182,청소코드!$C$4:$J$188,3,FALSE)</f>
        <v>더하임 1004</v>
      </c>
      <c r="E1182" s="29">
        <f>VLOOKUP($C1182,청소코드!$C$4:$J$188,4,FALSE)</f>
        <v>1</v>
      </c>
      <c r="F1182" s="29" t="s">
        <v>1351</v>
      </c>
      <c r="G1182" s="29"/>
      <c r="H1182" s="29"/>
      <c r="I1182" s="29" t="s">
        <v>431</v>
      </c>
      <c r="J1182" s="47">
        <f t="shared" si="74"/>
        <v>18000</v>
      </c>
      <c r="K1182" s="29">
        <f>VLOOKUP($C1182,청소코드!$C$4:$J$188,8,FALSE)</f>
        <v>18000</v>
      </c>
      <c r="L1182" s="32"/>
      <c r="M1182" s="31"/>
      <c r="N1182" s="32"/>
      <c r="O1182" s="32"/>
    </row>
    <row r="1183" spans="1:15" customFormat="1" ht="12.75" customHeight="1">
      <c r="A1183" s="30">
        <v>46143</v>
      </c>
      <c r="B1183" s="29" t="str">
        <f t="shared" si="73"/>
        <v>금</v>
      </c>
      <c r="C1183" s="29" t="s">
        <v>1319</v>
      </c>
      <c r="D1183" s="29" t="str">
        <f>VLOOKUP($C1183,청소코드!$C$4:$J$188,3,FALSE)</f>
        <v>더하임 1005</v>
      </c>
      <c r="E1183" s="29">
        <f>VLOOKUP($C1183,청소코드!$C$4:$J$188,4,FALSE)</f>
        <v>1</v>
      </c>
      <c r="F1183" s="29" t="s">
        <v>1330</v>
      </c>
      <c r="G1183" s="29"/>
      <c r="H1183" s="29"/>
      <c r="I1183" s="29" t="s">
        <v>431</v>
      </c>
      <c r="J1183" s="47">
        <f t="shared" si="74"/>
        <v>18000</v>
      </c>
      <c r="K1183" s="29">
        <f>VLOOKUP($C1183,청소코드!$C$4:$J$188,8,FALSE)</f>
        <v>18000</v>
      </c>
      <c r="L1183" s="32"/>
      <c r="M1183" s="31"/>
      <c r="N1183" s="32"/>
      <c r="O1183" s="32"/>
    </row>
    <row r="1184" spans="1:15" customFormat="1" ht="12.75" customHeight="1">
      <c r="A1184" s="30">
        <v>46143</v>
      </c>
      <c r="B1184" s="29" t="str">
        <f t="shared" si="73"/>
        <v>금</v>
      </c>
      <c r="C1184" s="29" t="s">
        <v>1339</v>
      </c>
      <c r="D1184" s="29" t="str">
        <f>VLOOKUP($C1184,청소코드!$C$4:$J$188,3,FALSE)</f>
        <v>더하임 203</v>
      </c>
      <c r="E1184" s="29">
        <f>VLOOKUP($C1184,청소코드!$C$4:$J$188,4,FALSE)</f>
        <v>1</v>
      </c>
      <c r="F1184" s="29" t="s">
        <v>1330</v>
      </c>
      <c r="G1184" s="29"/>
      <c r="H1184" s="29"/>
      <c r="I1184" s="29" t="s">
        <v>431</v>
      </c>
      <c r="J1184" s="47">
        <f t="shared" si="74"/>
        <v>18000</v>
      </c>
      <c r="K1184" s="29">
        <f>VLOOKUP($C1184,청소코드!$C$4:$J$188,8,FALSE)</f>
        <v>18000</v>
      </c>
      <c r="L1184" s="32"/>
      <c r="M1184" s="31"/>
      <c r="N1184" s="32"/>
      <c r="O1184" s="32"/>
    </row>
    <row r="1185" spans="1:15" customFormat="1" ht="12.75" customHeight="1">
      <c r="A1185" s="30">
        <v>46143</v>
      </c>
      <c r="B1185" s="29" t="str">
        <f t="shared" si="73"/>
        <v>금</v>
      </c>
      <c r="C1185" s="29" t="s">
        <v>1340</v>
      </c>
      <c r="D1185" s="29" t="str">
        <f>VLOOKUP($C1185,청소코드!$C$4:$J$188,3,FALSE)</f>
        <v>더하임 204</v>
      </c>
      <c r="E1185" s="29">
        <f>VLOOKUP($C1185,청소코드!$C$4:$J$188,4,FALSE)</f>
        <v>1</v>
      </c>
      <c r="F1185" s="29" t="s">
        <v>1330</v>
      </c>
      <c r="G1185" s="29"/>
      <c r="H1185" s="29"/>
      <c r="I1185" s="29" t="s">
        <v>431</v>
      </c>
      <c r="J1185" s="47">
        <f t="shared" si="74"/>
        <v>18000</v>
      </c>
      <c r="K1185" s="29">
        <f>VLOOKUP($C1185,청소코드!$C$4:$J$188,8,FALSE)</f>
        <v>18000</v>
      </c>
      <c r="L1185" s="32"/>
      <c r="M1185" s="31"/>
      <c r="N1185" s="32"/>
      <c r="O1185" s="32"/>
    </row>
    <row r="1186" spans="1:15" customFormat="1" ht="12.75" customHeight="1">
      <c r="A1186" s="30">
        <v>46143</v>
      </c>
      <c r="B1186" s="29" t="str">
        <f t="shared" si="73"/>
        <v>금</v>
      </c>
      <c r="C1186" s="29" t="s">
        <v>1345</v>
      </c>
      <c r="D1186" s="29" t="str">
        <f>VLOOKUP($C1186,청소코드!$C$4:$J$188,3,FALSE)</f>
        <v>청광3차 806</v>
      </c>
      <c r="E1186" s="29">
        <f>VLOOKUP($C1186,청소코드!$C$4:$J$188,4,FALSE)</f>
        <v>1</v>
      </c>
      <c r="F1186" s="29" t="s">
        <v>1332</v>
      </c>
      <c r="G1186" s="29"/>
      <c r="H1186" s="29"/>
      <c r="I1186" s="29" t="s">
        <v>431</v>
      </c>
      <c r="J1186" s="47">
        <f t="shared" si="74"/>
        <v>18000</v>
      </c>
      <c r="K1186" s="29">
        <f>VLOOKUP($C1186,청소코드!$C$4:$J$188,8,FALSE)</f>
        <v>18000</v>
      </c>
      <c r="L1186" s="32"/>
      <c r="M1186" s="31"/>
      <c r="N1186" s="32"/>
      <c r="O1186" s="32"/>
    </row>
    <row r="1187" spans="1:15" customFormat="1" ht="12.75" customHeight="1">
      <c r="A1187" s="30">
        <v>46143</v>
      </c>
      <c r="B1187" s="29" t="str">
        <f t="shared" si="73"/>
        <v>금</v>
      </c>
      <c r="C1187" s="29" t="s">
        <v>1346</v>
      </c>
      <c r="D1187" s="29" t="str">
        <f>VLOOKUP($C1187,청소코드!$C$4:$J$188,3,FALSE)</f>
        <v>르센티 1801</v>
      </c>
      <c r="E1187" s="29" t="str">
        <f>VLOOKUP($C1187,청소코드!$C$4:$J$188,4,FALSE)</f>
        <v>복</v>
      </c>
      <c r="F1187" s="29" t="s">
        <v>1332</v>
      </c>
      <c r="G1187" s="29"/>
      <c r="H1187" s="29"/>
      <c r="I1187" s="29" t="s">
        <v>431</v>
      </c>
      <c r="J1187" s="47">
        <f t="shared" si="74"/>
        <v>20000</v>
      </c>
      <c r="K1187" s="29">
        <f>VLOOKUP($C1187,청소코드!$C$4:$J$188,8,FALSE)</f>
        <v>20000</v>
      </c>
      <c r="L1187" s="32"/>
      <c r="M1187" s="31"/>
      <c r="N1187" s="32"/>
      <c r="O1187" s="32"/>
    </row>
    <row r="1188" spans="1:15" customFormat="1" ht="12.75" customHeight="1">
      <c r="A1188" s="30">
        <v>46143</v>
      </c>
      <c r="B1188" s="29" t="str">
        <f t="shared" si="73"/>
        <v>금</v>
      </c>
      <c r="C1188" s="29" t="s">
        <v>1325</v>
      </c>
      <c r="D1188" s="29" t="str">
        <f>VLOOKUP($C1188,청소코드!$C$4:$J$188,3,FALSE)</f>
        <v>오앤 401</v>
      </c>
      <c r="E1188" s="29">
        <f>VLOOKUP($C1188,청소코드!$C$4:$J$188,4,FALSE)</f>
        <v>1</v>
      </c>
      <c r="F1188" s="29" t="s">
        <v>1332</v>
      </c>
      <c r="G1188" s="29"/>
      <c r="H1188" s="29"/>
      <c r="I1188" s="29" t="s">
        <v>431</v>
      </c>
      <c r="J1188" s="47">
        <f t="shared" si="74"/>
        <v>18000</v>
      </c>
      <c r="K1188" s="29">
        <f>VLOOKUP($C1188,청소코드!$C$4:$J$188,8,FALSE)</f>
        <v>18000</v>
      </c>
      <c r="L1188" s="32"/>
      <c r="M1188" s="31"/>
      <c r="N1188" s="32"/>
      <c r="O1188" s="32"/>
    </row>
    <row r="1189" spans="1:15" customFormat="1" ht="12.75" customHeight="1">
      <c r="A1189" s="30">
        <v>46143</v>
      </c>
      <c r="B1189" s="29" t="str">
        <f t="shared" ref="B1189:B1220" si="75">TEXT(A1189,"aaa")</f>
        <v>금</v>
      </c>
      <c r="C1189" s="29" t="s">
        <v>1347</v>
      </c>
      <c r="D1189" s="29" t="str">
        <f>VLOOKUP($C1189,청소코드!$C$4:$J$188,3,FALSE)</f>
        <v>오금스타 205</v>
      </c>
      <c r="E1189" s="29">
        <f>VLOOKUP($C1189,청소코드!$C$4:$J$188,4,FALSE)</f>
        <v>1</v>
      </c>
      <c r="F1189" s="29" t="s">
        <v>1333</v>
      </c>
      <c r="G1189" s="29"/>
      <c r="H1189" s="29"/>
      <c r="I1189" s="29" t="s">
        <v>431</v>
      </c>
      <c r="J1189" s="47">
        <f t="shared" ref="J1189:J1220" si="76">SUM(K1189:O1189)</f>
        <v>30000</v>
      </c>
      <c r="K1189" s="29">
        <f>VLOOKUP($C1189,청소코드!$C$4:$J$188,8,FALSE)</f>
        <v>18000</v>
      </c>
      <c r="L1189" s="32">
        <v>12000</v>
      </c>
      <c r="M1189" s="31"/>
      <c r="N1189" s="32"/>
      <c r="O1189" s="32"/>
    </row>
    <row r="1190" spans="1:15" customFormat="1" ht="12.75" customHeight="1">
      <c r="A1190" s="30">
        <v>46143</v>
      </c>
      <c r="B1190" s="29" t="str">
        <f t="shared" si="75"/>
        <v>금</v>
      </c>
      <c r="C1190" s="29" t="s">
        <v>1348</v>
      </c>
      <c r="D1190" s="29" t="str">
        <f>VLOOKUP($C1190,청소코드!$C$4:$J$188,3,FALSE)</f>
        <v>오금스타 303</v>
      </c>
      <c r="E1190" s="29">
        <f>VLOOKUP($C1190,청소코드!$C$4:$J$188,4,FALSE)</f>
        <v>1</v>
      </c>
      <c r="F1190" s="29" t="s">
        <v>1333</v>
      </c>
      <c r="G1190" s="29"/>
      <c r="H1190" s="29"/>
      <c r="I1190" s="29" t="s">
        <v>431</v>
      </c>
      <c r="J1190" s="47">
        <f t="shared" si="76"/>
        <v>30000</v>
      </c>
      <c r="K1190" s="29">
        <f>VLOOKUP($C1190,청소코드!$C$4:$J$188,8,FALSE)</f>
        <v>18000</v>
      </c>
      <c r="L1190" s="32">
        <v>12000</v>
      </c>
      <c r="M1190" s="31"/>
      <c r="N1190" s="32"/>
      <c r="O1190" s="32"/>
    </row>
    <row r="1191" spans="1:15" customFormat="1" ht="12.75" customHeight="1">
      <c r="A1191" s="30">
        <v>46143</v>
      </c>
      <c r="B1191" s="29" t="str">
        <f t="shared" si="75"/>
        <v>금</v>
      </c>
      <c r="C1191" s="29" t="s">
        <v>1326</v>
      </c>
      <c r="D1191" s="29" t="str">
        <f>VLOOKUP($C1191,청소코드!$C$4:$J$188,3,FALSE)</f>
        <v>은성 603</v>
      </c>
      <c r="E1191" s="29">
        <f>VLOOKUP($C1191,청소코드!$C$4:$J$188,4,FALSE)</f>
        <v>1</v>
      </c>
      <c r="F1191" s="29" t="s">
        <v>1334</v>
      </c>
      <c r="G1191" s="29"/>
      <c r="H1191" s="29"/>
      <c r="I1191" s="29" t="s">
        <v>431</v>
      </c>
      <c r="J1191" s="47">
        <f t="shared" si="76"/>
        <v>18000</v>
      </c>
      <c r="K1191" s="29">
        <f>VLOOKUP($C1191,청소코드!$C$4:$J$188,8,FALSE)</f>
        <v>18000</v>
      </c>
      <c r="L1191" s="32"/>
      <c r="M1191" s="31"/>
      <c r="N1191" s="32"/>
      <c r="O1191" s="32"/>
    </row>
    <row r="1192" spans="1:15" customFormat="1" ht="12.75" customHeight="1">
      <c r="A1192" s="30">
        <v>46143</v>
      </c>
      <c r="B1192" s="29" t="str">
        <f t="shared" si="75"/>
        <v>금</v>
      </c>
      <c r="C1192" s="29" t="s">
        <v>1349</v>
      </c>
      <c r="D1192" s="29" t="str">
        <f>VLOOKUP($C1192,청소코드!$C$4:$J$188,3,FALSE)</f>
        <v>성우 204</v>
      </c>
      <c r="E1192" s="29">
        <f>VLOOKUP($C1192,청소코드!$C$4:$J$188,4,FALSE)</f>
        <v>2</v>
      </c>
      <c r="F1192" s="29" t="s">
        <v>1334</v>
      </c>
      <c r="G1192" s="29"/>
      <c r="H1192" s="29"/>
      <c r="I1192" s="29" t="s">
        <v>431</v>
      </c>
      <c r="J1192" s="47">
        <f t="shared" si="76"/>
        <v>23000</v>
      </c>
      <c r="K1192" s="29">
        <f>VLOOKUP($C1192,청소코드!$C$4:$J$188,8,FALSE)</f>
        <v>23000</v>
      </c>
      <c r="L1192" s="32"/>
      <c r="M1192" s="31"/>
      <c r="N1192" s="32"/>
      <c r="O1192" s="32"/>
    </row>
    <row r="1193" spans="1:15" customFormat="1" ht="12.75" customHeight="1">
      <c r="A1193" s="30">
        <v>46143</v>
      </c>
      <c r="B1193" s="29" t="str">
        <f t="shared" si="75"/>
        <v>금</v>
      </c>
      <c r="C1193" s="29" t="s">
        <v>1350</v>
      </c>
      <c r="D1193" s="29" t="str">
        <f>VLOOKUP($C1193,청소코드!$C$4:$J$188,3,FALSE)</f>
        <v>성우 501</v>
      </c>
      <c r="E1193" s="29">
        <f>VLOOKUP($C1193,청소코드!$C$4:$J$188,4,FALSE)</f>
        <v>2</v>
      </c>
      <c r="F1193" s="29" t="s">
        <v>1334</v>
      </c>
      <c r="G1193" s="29"/>
      <c r="H1193" s="29"/>
      <c r="I1193" s="29" t="s">
        <v>431</v>
      </c>
      <c r="J1193" s="47">
        <f t="shared" si="76"/>
        <v>23000</v>
      </c>
      <c r="K1193" s="29">
        <f>VLOOKUP($C1193,청소코드!$C$4:$J$188,8,FALSE)</f>
        <v>23000</v>
      </c>
      <c r="L1193" s="32"/>
      <c r="M1193" s="31"/>
      <c r="N1193" s="32"/>
      <c r="O1193" s="32"/>
    </row>
    <row r="1194" spans="1:15" customFormat="1" ht="12.75" customHeight="1">
      <c r="A1194" s="30">
        <v>46143</v>
      </c>
      <c r="B1194" s="29" t="str">
        <f t="shared" si="75"/>
        <v>금</v>
      </c>
      <c r="C1194" s="29" t="s">
        <v>1320</v>
      </c>
      <c r="D1194" s="29" t="str">
        <f>VLOOKUP($C1194,청소코드!$C$4:$J$188,3,FALSE)</f>
        <v>미사아름채 1310호</v>
      </c>
      <c r="E1194" s="29">
        <f>VLOOKUP($C1194,청소코드!$C$4:$J$188,4,FALSE)</f>
        <v>1.5</v>
      </c>
      <c r="F1194" s="29" t="s">
        <v>438</v>
      </c>
      <c r="G1194" s="29"/>
      <c r="H1194" s="29"/>
      <c r="I1194" s="29" t="s">
        <v>431</v>
      </c>
      <c r="J1194" s="47">
        <f t="shared" si="76"/>
        <v>20000</v>
      </c>
      <c r="K1194" s="29">
        <f>VLOOKUP($C1194,청소코드!$C$4:$J$188,8,FALSE)</f>
        <v>20000</v>
      </c>
      <c r="L1194" s="32"/>
      <c r="M1194" s="31"/>
      <c r="N1194" s="32"/>
      <c r="O1194" s="32"/>
    </row>
    <row r="1195" spans="1:15" customFormat="1" ht="12.75" customHeight="1">
      <c r="A1195" s="30">
        <v>46143</v>
      </c>
      <c r="B1195" s="29" t="str">
        <f t="shared" si="75"/>
        <v>금</v>
      </c>
      <c r="C1195" s="29" t="s">
        <v>1328</v>
      </c>
      <c r="D1195" s="29" t="str">
        <f>VLOOKUP($C1195,청소코드!$C$4:$J$188,3,FALSE)</f>
        <v>대치동 103호</v>
      </c>
      <c r="E1195" s="29">
        <f>VLOOKUP($C1195,청소코드!$C$4:$J$188,4,FALSE)</f>
        <v>1.5</v>
      </c>
      <c r="F1195" s="29" t="s">
        <v>1336</v>
      </c>
      <c r="G1195" s="29"/>
      <c r="H1195" s="29"/>
      <c r="I1195" s="29" t="s">
        <v>431</v>
      </c>
      <c r="J1195" s="47">
        <f t="shared" si="76"/>
        <v>20000</v>
      </c>
      <c r="K1195" s="29">
        <f>VLOOKUP($C1195,청소코드!$C$4:$J$188,8,FALSE)</f>
        <v>20000</v>
      </c>
      <c r="L1195" s="32"/>
      <c r="M1195" s="31"/>
      <c r="N1195" s="32"/>
      <c r="O1195" s="32"/>
    </row>
    <row r="1196" spans="1:15" customFormat="1" ht="12.75" customHeight="1">
      <c r="A1196" s="30">
        <v>46143</v>
      </c>
      <c r="B1196" s="29" t="str">
        <f t="shared" si="75"/>
        <v>금</v>
      </c>
      <c r="C1196" s="29" t="s">
        <v>1329</v>
      </c>
      <c r="D1196" s="29" t="str">
        <f>VLOOKUP($C1196,청소코드!$C$4:$J$188,3,FALSE)</f>
        <v>청광1차 207</v>
      </c>
      <c r="E1196" s="29">
        <f>VLOOKUP($C1196,청소코드!$C$4:$J$188,4,FALSE)</f>
        <v>0</v>
      </c>
      <c r="F1196" s="29" t="s">
        <v>1333</v>
      </c>
      <c r="G1196" s="29"/>
      <c r="H1196" s="29"/>
      <c r="I1196" s="29" t="s">
        <v>431</v>
      </c>
      <c r="J1196" s="47">
        <f t="shared" si="76"/>
        <v>5000</v>
      </c>
      <c r="K1196" s="29">
        <f>VLOOKUP($C1196,청소코드!$C$4:$J$188,8,FALSE)</f>
        <v>10000</v>
      </c>
      <c r="L1196" s="32">
        <v>-5000</v>
      </c>
      <c r="M1196" s="31"/>
      <c r="N1196" s="32"/>
      <c r="O1196" s="32"/>
    </row>
    <row r="1197" spans="1:15" customFormat="1" ht="12.75" customHeight="1">
      <c r="A1197" s="30">
        <v>46143</v>
      </c>
      <c r="B1197" s="29" t="str">
        <f t="shared" si="75"/>
        <v>금</v>
      </c>
      <c r="C1197" s="29" t="s">
        <v>1329</v>
      </c>
      <c r="D1197" s="29" t="str">
        <f>VLOOKUP($C1197,청소코드!$C$4:$J$188,3,FALSE)</f>
        <v>청광1차 207</v>
      </c>
      <c r="E1197" s="29">
        <f>VLOOKUP($C1197,청소코드!$C$4:$J$188,4,FALSE)</f>
        <v>0</v>
      </c>
      <c r="F1197" s="29" t="s">
        <v>1332</v>
      </c>
      <c r="G1197" s="29"/>
      <c r="H1197" s="29"/>
      <c r="I1197" s="29" t="s">
        <v>431</v>
      </c>
      <c r="J1197" s="47">
        <f t="shared" si="76"/>
        <v>5000</v>
      </c>
      <c r="K1197" s="29">
        <f>VLOOKUP($C1197,청소코드!$C$4:$J$188,8,FALSE)</f>
        <v>10000</v>
      </c>
      <c r="L1197" s="32">
        <v>-5000</v>
      </c>
      <c r="M1197" s="31"/>
      <c r="N1197" s="32"/>
      <c r="O1197" s="32"/>
    </row>
    <row r="1198" spans="1:15" customFormat="1" ht="12.75" customHeight="1">
      <c r="A1198" s="30">
        <v>46143</v>
      </c>
      <c r="B1198" s="29" t="str">
        <f t="shared" si="75"/>
        <v>금</v>
      </c>
      <c r="C1198" s="29" t="s">
        <v>1344</v>
      </c>
      <c r="D1198" s="29" t="str">
        <f>VLOOKUP($C1198,청소코드!$C$4:$J$188,3,FALSE)</f>
        <v>더하임 706</v>
      </c>
      <c r="E1198" s="29">
        <f>VLOOKUP($C1198,청소코드!$C$4:$J$188,4,FALSE)</f>
        <v>1.5</v>
      </c>
      <c r="F1198" s="29" t="s">
        <v>1331</v>
      </c>
      <c r="G1198" s="29"/>
      <c r="H1198" s="29"/>
      <c r="I1198" s="29" t="s">
        <v>431</v>
      </c>
      <c r="J1198" s="47">
        <f t="shared" si="76"/>
        <v>20000</v>
      </c>
      <c r="K1198" s="29">
        <f>VLOOKUP($C1198,청소코드!$C$4:$J$188,8,FALSE)</f>
        <v>20000</v>
      </c>
      <c r="L1198" s="32"/>
      <c r="M1198" s="31"/>
      <c r="N1198" s="32"/>
      <c r="O1198" s="32"/>
    </row>
    <row r="1199" spans="1:15" customFormat="1" ht="12.75" customHeight="1">
      <c r="A1199" s="49">
        <v>46144</v>
      </c>
      <c r="B1199" s="50" t="str">
        <f t="shared" si="75"/>
        <v>토</v>
      </c>
      <c r="C1199" s="29" t="s">
        <v>1355</v>
      </c>
      <c r="D1199" s="29" t="str">
        <f>VLOOKUP($C1199,청소코드!$C$4:$J$188,3,FALSE)</f>
        <v>예건 204</v>
      </c>
      <c r="E1199" s="29">
        <f>VLOOKUP($C1199,청소코드!$C$4:$J$188,4,FALSE)</f>
        <v>1</v>
      </c>
      <c r="F1199" s="29" t="s">
        <v>1367</v>
      </c>
      <c r="G1199" s="29"/>
      <c r="H1199" s="29"/>
      <c r="I1199" s="29" t="s">
        <v>1370</v>
      </c>
      <c r="J1199" s="47">
        <f t="shared" si="76"/>
        <v>18000</v>
      </c>
      <c r="K1199" s="29">
        <f>VLOOKUP($C1199,청소코드!$C$4:$J$188,8,FALSE)</f>
        <v>18000</v>
      </c>
      <c r="L1199" s="32"/>
      <c r="M1199" s="31"/>
      <c r="N1199" s="32"/>
      <c r="O1199" s="32"/>
    </row>
    <row r="1200" spans="1:15" customFormat="1" ht="12.75" customHeight="1">
      <c r="A1200" s="30">
        <v>46144</v>
      </c>
      <c r="B1200" s="29" t="str">
        <f t="shared" si="75"/>
        <v>토</v>
      </c>
      <c r="C1200" s="29" t="s">
        <v>1356</v>
      </c>
      <c r="D1200" s="29" t="str">
        <f>VLOOKUP($C1200,청소코드!$C$4:$J$188,3,FALSE)</f>
        <v>성우 501</v>
      </c>
      <c r="E1200" s="29">
        <f>VLOOKUP($C1200,청소코드!$C$4:$J$188,4,FALSE)</f>
        <v>2</v>
      </c>
      <c r="F1200" s="29" t="s">
        <v>1367</v>
      </c>
      <c r="G1200" s="29"/>
      <c r="H1200" s="29"/>
      <c r="I1200" s="29" t="s">
        <v>431</v>
      </c>
      <c r="J1200" s="47">
        <f t="shared" si="76"/>
        <v>23000</v>
      </c>
      <c r="K1200" s="29">
        <f>VLOOKUP($C1200,청소코드!$C$4:$J$188,8,FALSE)</f>
        <v>23000</v>
      </c>
      <c r="L1200" s="32"/>
      <c r="M1200" s="31"/>
      <c r="N1200" s="32"/>
      <c r="O1200" s="32"/>
    </row>
    <row r="1201" spans="1:15" customFormat="1" ht="12.75" customHeight="1">
      <c r="A1201" s="30">
        <v>46144</v>
      </c>
      <c r="B1201" s="29" t="str">
        <f t="shared" si="75"/>
        <v>토</v>
      </c>
      <c r="C1201" s="29" t="s">
        <v>1357</v>
      </c>
      <c r="D1201" s="29" t="str">
        <f>VLOOKUP($C1201,청소코드!$C$4:$J$188,3,FALSE)</f>
        <v>청광3차 1412</v>
      </c>
      <c r="E1201" s="29">
        <f>VLOOKUP($C1201,청소코드!$C$4:$J$188,4,FALSE)</f>
        <v>1</v>
      </c>
      <c r="F1201" s="29" t="s">
        <v>1367</v>
      </c>
      <c r="G1201" s="29"/>
      <c r="H1201" s="29"/>
      <c r="I1201" s="29" t="s">
        <v>431</v>
      </c>
      <c r="J1201" s="47">
        <f t="shared" si="76"/>
        <v>18000</v>
      </c>
      <c r="K1201" s="29">
        <f>VLOOKUP($C1201,청소코드!$C$4:$J$188,8,FALSE)</f>
        <v>18000</v>
      </c>
      <c r="L1201" s="32"/>
      <c r="M1201" s="31"/>
      <c r="N1201" s="32"/>
      <c r="O1201" s="32"/>
    </row>
    <row r="1202" spans="1:15" customFormat="1" ht="12.75" customHeight="1">
      <c r="A1202" s="30">
        <v>46144</v>
      </c>
      <c r="B1202" s="29" t="str">
        <f t="shared" si="75"/>
        <v>토</v>
      </c>
      <c r="C1202" s="29" t="s">
        <v>1358</v>
      </c>
      <c r="D1202" s="29" t="str">
        <f>VLOOKUP($C1202,청소코드!$C$4:$J$188,3,FALSE)</f>
        <v>더하임 1005</v>
      </c>
      <c r="E1202" s="29">
        <f>VLOOKUP($C1202,청소코드!$C$4:$J$188,4,FALSE)</f>
        <v>1</v>
      </c>
      <c r="F1202" s="29" t="s">
        <v>429</v>
      </c>
      <c r="G1202" s="29"/>
      <c r="H1202" s="29"/>
      <c r="I1202" s="29" t="s">
        <v>431</v>
      </c>
      <c r="J1202" s="47">
        <f t="shared" si="76"/>
        <v>18000</v>
      </c>
      <c r="K1202" s="29">
        <f>VLOOKUP($C1202,청소코드!$C$4:$J$188,8,FALSE)</f>
        <v>18000</v>
      </c>
      <c r="L1202" s="32"/>
      <c r="M1202" s="31"/>
      <c r="N1202" s="32"/>
      <c r="O1202" s="32"/>
    </row>
    <row r="1203" spans="1:15" customFormat="1" ht="12.75" customHeight="1">
      <c r="A1203" s="30">
        <v>46144</v>
      </c>
      <c r="B1203" s="29" t="str">
        <f t="shared" si="75"/>
        <v>토</v>
      </c>
      <c r="C1203" s="29" t="s">
        <v>1359</v>
      </c>
      <c r="D1203" s="29" t="str">
        <f>VLOOKUP($C1203,청소코드!$C$4:$J$188,3,FALSE)</f>
        <v>더하임 203</v>
      </c>
      <c r="E1203" s="29">
        <f>VLOOKUP($C1203,청소코드!$C$4:$J$188,4,FALSE)</f>
        <v>1</v>
      </c>
      <c r="F1203" s="29" t="s">
        <v>401</v>
      </c>
      <c r="G1203" s="29"/>
      <c r="H1203" s="29"/>
      <c r="I1203" s="29" t="s">
        <v>431</v>
      </c>
      <c r="J1203" s="47">
        <f t="shared" si="76"/>
        <v>18000</v>
      </c>
      <c r="K1203" s="29">
        <f>VLOOKUP($C1203,청소코드!$C$4:$J$188,8,FALSE)</f>
        <v>18000</v>
      </c>
      <c r="L1203" s="32"/>
      <c r="M1203" s="31"/>
      <c r="N1203" s="32"/>
      <c r="O1203" s="32"/>
    </row>
    <row r="1204" spans="1:15" customFormat="1" ht="12.75" customHeight="1">
      <c r="A1204" s="30">
        <v>46144</v>
      </c>
      <c r="B1204" s="29" t="str">
        <f t="shared" si="75"/>
        <v>토</v>
      </c>
      <c r="C1204" s="29" t="s">
        <v>1360</v>
      </c>
      <c r="D1204" s="29" t="str">
        <f>VLOOKUP($C1204,청소코드!$C$4:$J$188,3,FALSE)</f>
        <v>더하임 204</v>
      </c>
      <c r="E1204" s="29">
        <f>VLOOKUP($C1204,청소코드!$C$4:$J$188,4,FALSE)</f>
        <v>1</v>
      </c>
      <c r="F1204" s="29" t="s">
        <v>1368</v>
      </c>
      <c r="G1204" s="29"/>
      <c r="H1204" s="29"/>
      <c r="I1204" s="29" t="s">
        <v>431</v>
      </c>
      <c r="J1204" s="47">
        <f t="shared" si="76"/>
        <v>18000</v>
      </c>
      <c r="K1204" s="29">
        <f>VLOOKUP($C1204,청소코드!$C$4:$J$188,8,FALSE)</f>
        <v>18000</v>
      </c>
      <c r="L1204" s="32"/>
      <c r="M1204" s="31"/>
      <c r="N1204" s="32"/>
      <c r="O1204" s="32"/>
    </row>
    <row r="1205" spans="1:15" customFormat="1" ht="12.75" customHeight="1">
      <c r="A1205" s="30">
        <v>46144</v>
      </c>
      <c r="B1205" s="29" t="str">
        <f t="shared" si="75"/>
        <v>토</v>
      </c>
      <c r="C1205" s="29" t="s">
        <v>1361</v>
      </c>
      <c r="D1205" s="29" t="str">
        <f>VLOOKUP($C1205,청소코드!$C$4:$J$188,3,FALSE)</f>
        <v>더하임 904</v>
      </c>
      <c r="E1205" s="29">
        <f>VLOOKUP($C1205,청소코드!$C$4:$J$188,4,FALSE)</f>
        <v>1</v>
      </c>
      <c r="F1205" s="29" t="s">
        <v>1368</v>
      </c>
      <c r="G1205" s="29"/>
      <c r="H1205" s="29"/>
      <c r="I1205" s="29" t="s">
        <v>431</v>
      </c>
      <c r="J1205" s="47">
        <f t="shared" si="76"/>
        <v>18000</v>
      </c>
      <c r="K1205" s="29">
        <f>VLOOKUP($C1205,청소코드!$C$4:$J$188,8,FALSE)</f>
        <v>18000</v>
      </c>
      <c r="L1205" s="32"/>
      <c r="M1205" s="31"/>
      <c r="N1205" s="32"/>
      <c r="O1205" s="32"/>
    </row>
    <row r="1206" spans="1:15" customFormat="1" ht="12.75" customHeight="1">
      <c r="A1206" s="30">
        <v>46144</v>
      </c>
      <c r="B1206" s="29" t="str">
        <f t="shared" si="75"/>
        <v>토</v>
      </c>
      <c r="C1206" s="29" t="s">
        <v>1362</v>
      </c>
      <c r="D1206" s="29" t="str">
        <f>VLOOKUP($C1206,청소코드!$C$4:$J$188,3,FALSE)</f>
        <v>오앤 401</v>
      </c>
      <c r="E1206" s="29">
        <f>VLOOKUP($C1206,청소코드!$C$4:$J$188,4,FALSE)</f>
        <v>1</v>
      </c>
      <c r="F1206" s="29" t="s">
        <v>426</v>
      </c>
      <c r="G1206" s="29"/>
      <c r="H1206" s="29"/>
      <c r="I1206" s="29" t="s">
        <v>431</v>
      </c>
      <c r="J1206" s="47">
        <f t="shared" si="76"/>
        <v>18000</v>
      </c>
      <c r="K1206" s="29">
        <f>VLOOKUP($C1206,청소코드!$C$4:$J$188,8,FALSE)</f>
        <v>18000</v>
      </c>
      <c r="L1206" s="32"/>
      <c r="M1206" s="31"/>
      <c r="N1206" s="32"/>
      <c r="O1206" s="32"/>
    </row>
    <row r="1207" spans="1:15" customFormat="1" ht="12.75" customHeight="1">
      <c r="A1207" s="30">
        <v>46144</v>
      </c>
      <c r="B1207" s="29" t="str">
        <f t="shared" si="75"/>
        <v>토</v>
      </c>
      <c r="C1207" s="29" t="s">
        <v>1363</v>
      </c>
      <c r="D1207" s="29" t="str">
        <f>VLOOKUP($C1207,청소코드!$C$4:$J$188,3,FALSE)</f>
        <v>태상 501</v>
      </c>
      <c r="E1207" s="29">
        <f>VLOOKUP($C1207,청소코드!$C$4:$J$188,4,FALSE)</f>
        <v>2</v>
      </c>
      <c r="F1207" s="29" t="s">
        <v>426</v>
      </c>
      <c r="G1207" s="29"/>
      <c r="H1207" s="29"/>
      <c r="I1207" s="29" t="s">
        <v>431</v>
      </c>
      <c r="J1207" s="47">
        <f t="shared" si="76"/>
        <v>23000</v>
      </c>
      <c r="K1207" s="29">
        <f>VLOOKUP($C1207,청소코드!$C$4:$J$188,8,FALSE)</f>
        <v>23000</v>
      </c>
      <c r="L1207" s="32"/>
      <c r="M1207" s="31"/>
      <c r="N1207" s="32"/>
      <c r="O1207" s="32"/>
    </row>
    <row r="1208" spans="1:15" customFormat="1" ht="12.75" customHeight="1">
      <c r="A1208" s="30">
        <v>46144</v>
      </c>
      <c r="B1208" s="29" t="str">
        <f t="shared" si="75"/>
        <v>토</v>
      </c>
      <c r="C1208" s="29" t="s">
        <v>1364</v>
      </c>
      <c r="D1208" s="29" t="str">
        <f>VLOOKUP($C1208,청소코드!$C$4:$J$188,3,FALSE)</f>
        <v>성우 204</v>
      </c>
      <c r="E1208" s="29">
        <f>VLOOKUP($C1208,청소코드!$C$4:$J$188,4,FALSE)</f>
        <v>2</v>
      </c>
      <c r="F1208" s="29" t="s">
        <v>1245</v>
      </c>
      <c r="G1208" s="29"/>
      <c r="H1208" s="29"/>
      <c r="I1208" s="29" t="s">
        <v>431</v>
      </c>
      <c r="J1208" s="47">
        <f t="shared" si="76"/>
        <v>23000</v>
      </c>
      <c r="K1208" s="29">
        <f>VLOOKUP($C1208,청소코드!$C$4:$J$188,8,FALSE)</f>
        <v>23000</v>
      </c>
      <c r="L1208" s="32"/>
      <c r="M1208" s="31"/>
      <c r="N1208" s="32"/>
      <c r="O1208" s="32"/>
    </row>
    <row r="1209" spans="1:15" customFormat="1" ht="12.75" customHeight="1">
      <c r="A1209" s="30">
        <v>46144</v>
      </c>
      <c r="B1209" s="29" t="str">
        <f t="shared" si="75"/>
        <v>토</v>
      </c>
      <c r="C1209" s="29" t="s">
        <v>1365</v>
      </c>
      <c r="D1209" s="29" t="str">
        <f>VLOOKUP($C1209,청소코드!$C$4:$J$188,3,FALSE)</f>
        <v>성우 402</v>
      </c>
      <c r="E1209" s="29">
        <f>VLOOKUP($C1209,청소코드!$C$4:$J$188,4,FALSE)</f>
        <v>3</v>
      </c>
      <c r="F1209" s="29" t="s">
        <v>1245</v>
      </c>
      <c r="G1209" s="29"/>
      <c r="H1209" s="29"/>
      <c r="I1209" s="29" t="s">
        <v>431</v>
      </c>
      <c r="J1209" s="47">
        <f t="shared" si="76"/>
        <v>30000</v>
      </c>
      <c r="K1209" s="29">
        <f>VLOOKUP($C1209,청소코드!$C$4:$J$188,8,FALSE)</f>
        <v>30000</v>
      </c>
      <c r="L1209" s="32"/>
      <c r="M1209" s="31"/>
      <c r="N1209" s="32"/>
      <c r="O1209" s="32"/>
    </row>
    <row r="1210" spans="1:15" customFormat="1" ht="12.75" customHeight="1">
      <c r="A1210" s="30">
        <v>46144</v>
      </c>
      <c r="B1210" s="29" t="str">
        <f t="shared" si="75"/>
        <v>토</v>
      </c>
      <c r="C1210" s="29" t="s">
        <v>1366</v>
      </c>
      <c r="D1210" s="29" t="str">
        <f>VLOOKUP($C1210,청소코드!$C$4:$J$188,3,FALSE)</f>
        <v>청광1차 207</v>
      </c>
      <c r="E1210" s="29">
        <f>VLOOKUP($C1210,청소코드!$C$4:$J$188,4,FALSE)</f>
        <v>0</v>
      </c>
      <c r="F1210" s="29" t="s">
        <v>426</v>
      </c>
      <c r="G1210" s="29"/>
      <c r="H1210" s="29"/>
      <c r="I1210" s="29" t="s">
        <v>431</v>
      </c>
      <c r="J1210" s="47">
        <f t="shared" si="76"/>
        <v>10000</v>
      </c>
      <c r="K1210" s="29">
        <f>VLOOKUP($C1210,청소코드!$C$4:$J$188,8,FALSE)</f>
        <v>10000</v>
      </c>
      <c r="L1210" s="32"/>
      <c r="M1210" s="31"/>
      <c r="N1210" s="32"/>
      <c r="O1210" s="32"/>
    </row>
    <row r="1211" spans="1:15" customFormat="1" ht="12.75" customHeight="1">
      <c r="A1211" s="49">
        <v>46145</v>
      </c>
      <c r="B1211" s="50" t="str">
        <f t="shared" si="75"/>
        <v>일</v>
      </c>
      <c r="C1211" s="29" t="s">
        <v>1371</v>
      </c>
      <c r="D1211" s="29" t="str">
        <f>VLOOKUP($C1211,청소코드!$C$4:$J$188,3,FALSE)</f>
        <v>더하임 1003</v>
      </c>
      <c r="E1211" s="29">
        <f>VLOOKUP($C1211,청소코드!$C$4:$J$188,4,FALSE)</f>
        <v>1</v>
      </c>
      <c r="F1211" s="29" t="s">
        <v>1222</v>
      </c>
      <c r="G1211" s="29"/>
      <c r="H1211" s="29"/>
      <c r="I1211" s="29" t="s">
        <v>1393</v>
      </c>
      <c r="J1211" s="47">
        <f t="shared" si="76"/>
        <v>18000</v>
      </c>
      <c r="K1211" s="29">
        <f>VLOOKUP($C1211,청소코드!$C$4:$J$188,8,FALSE)</f>
        <v>18000</v>
      </c>
      <c r="L1211" s="32"/>
      <c r="M1211" s="31"/>
      <c r="N1211" s="32"/>
      <c r="O1211" s="32"/>
    </row>
    <row r="1212" spans="1:15" customFormat="1" ht="12.75" customHeight="1">
      <c r="A1212" s="30">
        <v>46145</v>
      </c>
      <c r="B1212" s="29" t="str">
        <f t="shared" si="75"/>
        <v>일</v>
      </c>
      <c r="C1212" s="29" t="s">
        <v>1372</v>
      </c>
      <c r="D1212" s="29" t="str">
        <f>VLOOKUP($C1212,청소코드!$C$4:$J$188,3,FALSE)</f>
        <v>더하임 1005</v>
      </c>
      <c r="E1212" s="29">
        <f>VLOOKUP($C1212,청소코드!$C$4:$J$188,4,FALSE)</f>
        <v>1</v>
      </c>
      <c r="F1212" s="29" t="s">
        <v>1222</v>
      </c>
      <c r="G1212" s="29"/>
      <c r="H1212" s="29"/>
      <c r="I1212" s="29" t="s">
        <v>431</v>
      </c>
      <c r="J1212" s="47">
        <f t="shared" si="76"/>
        <v>18000</v>
      </c>
      <c r="K1212" s="29">
        <f>VLOOKUP($C1212,청소코드!$C$4:$J$188,8,FALSE)</f>
        <v>18000</v>
      </c>
      <c r="L1212" s="32"/>
      <c r="M1212" s="31"/>
      <c r="N1212" s="32"/>
      <c r="O1212" s="32"/>
    </row>
    <row r="1213" spans="1:15" customFormat="1" ht="12.75" customHeight="1">
      <c r="A1213" s="30">
        <v>46145</v>
      </c>
      <c r="B1213" s="29" t="str">
        <f t="shared" si="75"/>
        <v>일</v>
      </c>
      <c r="C1213" s="29" t="s">
        <v>1373</v>
      </c>
      <c r="D1213" s="29" t="str">
        <f>VLOOKUP($C1213,청소코드!$C$4:$J$188,3,FALSE)</f>
        <v>더하임 203</v>
      </c>
      <c r="E1213" s="29">
        <f>VLOOKUP($C1213,청소코드!$C$4:$J$188,4,FALSE)</f>
        <v>1</v>
      </c>
      <c r="F1213" s="29" t="s">
        <v>426</v>
      </c>
      <c r="G1213" s="29"/>
      <c r="H1213" s="29"/>
      <c r="I1213" s="29" t="s">
        <v>431</v>
      </c>
      <c r="J1213" s="47">
        <f t="shared" si="76"/>
        <v>18000</v>
      </c>
      <c r="K1213" s="29">
        <f>VLOOKUP($C1213,청소코드!$C$4:$J$188,8,FALSE)</f>
        <v>18000</v>
      </c>
      <c r="L1213" s="32"/>
      <c r="M1213" s="31"/>
      <c r="N1213" s="32"/>
      <c r="O1213" s="32"/>
    </row>
    <row r="1214" spans="1:15" customFormat="1" ht="12.75" customHeight="1">
      <c r="A1214" s="30">
        <v>46145</v>
      </c>
      <c r="B1214" s="29" t="str">
        <f t="shared" si="75"/>
        <v>일</v>
      </c>
      <c r="C1214" s="29" t="s">
        <v>1374</v>
      </c>
      <c r="D1214" s="29" t="str">
        <f>VLOOKUP($C1214,청소코드!$C$4:$J$188,3,FALSE)</f>
        <v>더하임 706</v>
      </c>
      <c r="E1214" s="29">
        <f>VLOOKUP($C1214,청소코드!$C$4:$J$188,4,FALSE)</f>
        <v>1.5</v>
      </c>
      <c r="F1214" s="29" t="s">
        <v>426</v>
      </c>
      <c r="G1214" s="29"/>
      <c r="H1214" s="29"/>
      <c r="I1214" s="29" t="s">
        <v>1393</v>
      </c>
      <c r="J1214" s="47">
        <f t="shared" si="76"/>
        <v>20000</v>
      </c>
      <c r="K1214" s="29">
        <f>VLOOKUP($C1214,청소코드!$C$4:$J$188,8,FALSE)</f>
        <v>20000</v>
      </c>
      <c r="L1214" s="32"/>
      <c r="M1214" s="31"/>
      <c r="N1214" s="32"/>
      <c r="O1214" s="32"/>
    </row>
    <row r="1215" spans="1:15" customFormat="1" ht="12.75" customHeight="1">
      <c r="A1215" s="30">
        <v>46145</v>
      </c>
      <c r="B1215" s="29" t="str">
        <f t="shared" si="75"/>
        <v>일</v>
      </c>
      <c r="C1215" s="29" t="s">
        <v>1375</v>
      </c>
      <c r="D1215" s="29" t="str">
        <f>VLOOKUP($C1215,청소코드!$C$4:$J$188,3,FALSE)</f>
        <v>청광1차 1303</v>
      </c>
      <c r="E1215" s="29">
        <f>VLOOKUP($C1215,청소코드!$C$4:$J$188,4,FALSE)</f>
        <v>1</v>
      </c>
      <c r="F1215" s="29" t="s">
        <v>426</v>
      </c>
      <c r="G1215" s="29"/>
      <c r="H1215" s="29"/>
      <c r="I1215" s="87" t="s">
        <v>431</v>
      </c>
      <c r="J1215" s="47">
        <f t="shared" si="76"/>
        <v>18000</v>
      </c>
      <c r="K1215" s="29">
        <f>VLOOKUP($C1215,청소코드!$C$4:$J$188,8,FALSE)</f>
        <v>18000</v>
      </c>
      <c r="L1215" s="32"/>
      <c r="M1215" s="31"/>
      <c r="N1215" s="32"/>
      <c r="O1215" s="32"/>
    </row>
    <row r="1216" spans="1:15" customFormat="1" ht="12.75" customHeight="1">
      <c r="A1216" s="30">
        <v>46145</v>
      </c>
      <c r="B1216" s="29" t="str">
        <f t="shared" si="75"/>
        <v>일</v>
      </c>
      <c r="C1216" s="29" t="s">
        <v>1376</v>
      </c>
      <c r="D1216" s="29" t="str">
        <f>VLOOKUP($C1216,청소코드!$C$4:$J$188,3,FALSE)</f>
        <v>르센티 1801</v>
      </c>
      <c r="E1216" s="29" t="str">
        <f>VLOOKUP($C1216,청소코드!$C$4:$J$188,4,FALSE)</f>
        <v>복</v>
      </c>
      <c r="F1216" s="29" t="s">
        <v>426</v>
      </c>
      <c r="G1216" s="29"/>
      <c r="H1216" s="29"/>
      <c r="I1216" s="29" t="s">
        <v>431</v>
      </c>
      <c r="J1216" s="47">
        <f t="shared" si="76"/>
        <v>20000</v>
      </c>
      <c r="K1216" s="29">
        <f>VLOOKUP($C1216,청소코드!$C$4:$J$188,8,FALSE)</f>
        <v>20000</v>
      </c>
      <c r="L1216" s="32"/>
      <c r="M1216" s="31"/>
      <c r="N1216" s="32"/>
      <c r="O1216" s="32"/>
    </row>
    <row r="1217" spans="1:15" customFormat="1" ht="12.75" customHeight="1">
      <c r="A1217" s="30">
        <v>46145</v>
      </c>
      <c r="B1217" s="29" t="str">
        <f t="shared" si="75"/>
        <v>일</v>
      </c>
      <c r="C1217" s="29" t="s">
        <v>1377</v>
      </c>
      <c r="D1217" s="29" t="str">
        <f>VLOOKUP($C1217,청소코드!$C$4:$J$188,3,FALSE)</f>
        <v>청광3차 1416</v>
      </c>
      <c r="E1217" s="29">
        <f>VLOOKUP($C1217,청소코드!$C$4:$J$188,4,FALSE)</f>
        <v>1</v>
      </c>
      <c r="F1217" s="29" t="s">
        <v>1392</v>
      </c>
      <c r="G1217" s="29"/>
      <c r="H1217" s="29"/>
      <c r="I1217" s="29" t="s">
        <v>431</v>
      </c>
      <c r="J1217" s="47">
        <f t="shared" si="76"/>
        <v>18000</v>
      </c>
      <c r="K1217" s="29">
        <f>VLOOKUP($C1217,청소코드!$C$4:$J$188,8,FALSE)</f>
        <v>18000</v>
      </c>
      <c r="L1217" s="32"/>
      <c r="M1217" s="31"/>
      <c r="N1217" s="32"/>
      <c r="O1217" s="32"/>
    </row>
    <row r="1218" spans="1:15" customFormat="1" ht="12.75" customHeight="1">
      <c r="A1218" s="30">
        <v>46145</v>
      </c>
      <c r="B1218" s="29" t="str">
        <f t="shared" si="75"/>
        <v>일</v>
      </c>
      <c r="C1218" s="29" t="s">
        <v>1378</v>
      </c>
      <c r="D1218" s="29" t="str">
        <f>VLOOKUP($C1218,청소코드!$C$4:$J$188,3,FALSE)</f>
        <v>청광3차 806</v>
      </c>
      <c r="E1218" s="29">
        <f>VLOOKUP($C1218,청소코드!$C$4:$J$188,4,FALSE)</f>
        <v>1</v>
      </c>
      <c r="F1218" s="29" t="s">
        <v>1392</v>
      </c>
      <c r="G1218" s="29"/>
      <c r="H1218" s="29"/>
      <c r="I1218" s="29" t="s">
        <v>431</v>
      </c>
      <c r="J1218" s="47">
        <f t="shared" si="76"/>
        <v>18000</v>
      </c>
      <c r="K1218" s="29">
        <f>VLOOKUP($C1218,청소코드!$C$4:$J$188,8,FALSE)</f>
        <v>18000</v>
      </c>
      <c r="L1218" s="32"/>
      <c r="M1218" s="31"/>
      <c r="N1218" s="32"/>
      <c r="O1218" s="32"/>
    </row>
    <row r="1219" spans="1:15" customFormat="1" ht="12.75" customHeight="1">
      <c r="A1219" s="30">
        <v>46145</v>
      </c>
      <c r="B1219" s="29" t="str">
        <f t="shared" si="75"/>
        <v>일</v>
      </c>
      <c r="C1219" s="29" t="s">
        <v>1379</v>
      </c>
      <c r="D1219" s="29" t="str">
        <f>VLOOKUP($C1219,청소코드!$C$4:$J$188,3,FALSE)</f>
        <v>렘브 204</v>
      </c>
      <c r="E1219" s="29">
        <f>VLOOKUP($C1219,청소코드!$C$4:$J$188,4,FALSE)</f>
        <v>1</v>
      </c>
      <c r="F1219" s="29" t="s">
        <v>1392</v>
      </c>
      <c r="G1219" s="29"/>
      <c r="H1219" s="29"/>
      <c r="I1219" s="29" t="s">
        <v>431</v>
      </c>
      <c r="J1219" s="47">
        <f t="shared" si="76"/>
        <v>18000</v>
      </c>
      <c r="K1219" s="29">
        <f>VLOOKUP($C1219,청소코드!$C$4:$J$188,8,FALSE)</f>
        <v>18000</v>
      </c>
      <c r="L1219" s="32"/>
      <c r="M1219" s="31"/>
      <c r="N1219" s="32"/>
      <c r="O1219" s="32"/>
    </row>
    <row r="1220" spans="1:15" customFormat="1" ht="12.75" customHeight="1">
      <c r="A1220" s="30">
        <v>46145</v>
      </c>
      <c r="B1220" s="29" t="str">
        <f t="shared" si="75"/>
        <v>일</v>
      </c>
      <c r="C1220" s="29" t="s">
        <v>1380</v>
      </c>
      <c r="D1220" s="29" t="str">
        <f>VLOOKUP($C1220,청소코드!$C$4:$J$188,3,FALSE)</f>
        <v>오앤 401</v>
      </c>
      <c r="E1220" s="29">
        <f>VLOOKUP($C1220,청소코드!$C$4:$J$188,4,FALSE)</f>
        <v>1</v>
      </c>
      <c r="F1220" s="29" t="s">
        <v>401</v>
      </c>
      <c r="G1220" s="29"/>
      <c r="H1220" s="29"/>
      <c r="I1220" s="29" t="s">
        <v>431</v>
      </c>
      <c r="J1220" s="47">
        <f t="shared" si="76"/>
        <v>18000</v>
      </c>
      <c r="K1220" s="29">
        <f>VLOOKUP($C1220,청소코드!$C$4:$J$188,8,FALSE)</f>
        <v>18000</v>
      </c>
      <c r="L1220" s="32"/>
      <c r="M1220" s="31"/>
      <c r="N1220" s="32"/>
      <c r="O1220" s="32"/>
    </row>
    <row r="1221" spans="1:15" customFormat="1" ht="12.75" customHeight="1">
      <c r="A1221" s="30">
        <v>46145</v>
      </c>
      <c r="B1221" s="29" t="str">
        <f t="shared" ref="B1221:B1252" si="77">TEXT(A1221,"aaa")</f>
        <v>일</v>
      </c>
      <c r="C1221" s="29" t="s">
        <v>1381</v>
      </c>
      <c r="D1221" s="29" t="str">
        <f>VLOOKUP($C1221,청소코드!$C$4:$J$188,3,FALSE)</f>
        <v>오금스타 205</v>
      </c>
      <c r="E1221" s="29">
        <f>VLOOKUP($C1221,청소코드!$C$4:$J$188,4,FALSE)</f>
        <v>1</v>
      </c>
      <c r="F1221" s="29" t="s">
        <v>1388</v>
      </c>
      <c r="G1221" s="29"/>
      <c r="H1221" s="29"/>
      <c r="I1221" s="29" t="s">
        <v>431</v>
      </c>
      <c r="J1221" s="47">
        <f t="shared" ref="J1221:J1252" si="78">SUM(K1221:O1221)</f>
        <v>30000</v>
      </c>
      <c r="K1221" s="29">
        <f>VLOOKUP($C1221,청소코드!$C$4:$J$188,8,FALSE)</f>
        <v>18000</v>
      </c>
      <c r="L1221" s="32">
        <v>12000</v>
      </c>
      <c r="M1221" s="31"/>
      <c r="N1221" s="32"/>
      <c r="O1221" s="32"/>
    </row>
    <row r="1222" spans="1:15" customFormat="1" ht="12.75" customHeight="1">
      <c r="A1222" s="30">
        <v>46145</v>
      </c>
      <c r="B1222" s="29" t="str">
        <f t="shared" si="77"/>
        <v>일</v>
      </c>
      <c r="C1222" s="29" t="s">
        <v>1382</v>
      </c>
      <c r="D1222" s="29" t="str">
        <f>VLOOKUP($C1222,청소코드!$C$4:$J$188,3,FALSE)</f>
        <v>오금스타 402</v>
      </c>
      <c r="E1222" s="29">
        <f>VLOOKUP($C1222,청소코드!$C$4:$J$188,4,FALSE)</f>
        <v>1</v>
      </c>
      <c r="F1222" s="29" t="s">
        <v>1388</v>
      </c>
      <c r="G1222" s="29"/>
      <c r="H1222" s="29"/>
      <c r="I1222" s="29" t="s">
        <v>431</v>
      </c>
      <c r="J1222" s="47">
        <f t="shared" si="78"/>
        <v>30000</v>
      </c>
      <c r="K1222" s="29">
        <f>VLOOKUP($C1222,청소코드!$C$4:$J$188,8,FALSE)</f>
        <v>18000</v>
      </c>
      <c r="L1222" s="32">
        <v>12000</v>
      </c>
      <c r="M1222" s="31"/>
      <c r="N1222" s="32"/>
      <c r="O1222" s="32"/>
    </row>
    <row r="1223" spans="1:15" customFormat="1" ht="12.75" customHeight="1">
      <c r="A1223" s="30">
        <v>46145</v>
      </c>
      <c r="B1223" s="29" t="str">
        <f t="shared" si="77"/>
        <v>일</v>
      </c>
      <c r="C1223" s="29" t="s">
        <v>1383</v>
      </c>
      <c r="D1223" s="29" t="str">
        <f>VLOOKUP($C1223,청소코드!$C$4:$J$188,3,FALSE)</f>
        <v>하람휴 901</v>
      </c>
      <c r="E1223" s="29">
        <f>VLOOKUP($C1223,청소코드!$C$4:$J$188,4,FALSE)</f>
        <v>2</v>
      </c>
      <c r="F1223" s="29" t="s">
        <v>408</v>
      </c>
      <c r="G1223" s="29"/>
      <c r="H1223" s="29"/>
      <c r="I1223" s="29" t="s">
        <v>431</v>
      </c>
      <c r="J1223" s="47">
        <f t="shared" si="78"/>
        <v>23000</v>
      </c>
      <c r="K1223" s="29">
        <f>VLOOKUP($C1223,청소코드!$C$4:$J$188,8,FALSE)</f>
        <v>23000</v>
      </c>
      <c r="L1223" s="32"/>
      <c r="M1223" s="31"/>
      <c r="N1223" s="32"/>
      <c r="O1223" s="32"/>
    </row>
    <row r="1224" spans="1:15" customFormat="1" ht="12.75" customHeight="1">
      <c r="A1224" s="30">
        <v>46145</v>
      </c>
      <c r="B1224" s="29" t="str">
        <f t="shared" si="77"/>
        <v>일</v>
      </c>
      <c r="C1224" s="29" t="s">
        <v>1384</v>
      </c>
      <c r="D1224" s="29" t="str">
        <f>VLOOKUP($C1224,청소코드!$C$4:$J$188,3,FALSE)</f>
        <v>성우 204</v>
      </c>
      <c r="E1224" s="29">
        <f>VLOOKUP($C1224,청소코드!$C$4:$J$188,4,FALSE)</f>
        <v>2</v>
      </c>
      <c r="F1224" s="29" t="s">
        <v>1389</v>
      </c>
      <c r="G1224" s="29"/>
      <c r="H1224" s="29"/>
      <c r="I1224" s="29" t="s">
        <v>431</v>
      </c>
      <c r="J1224" s="47">
        <f t="shared" si="78"/>
        <v>23000</v>
      </c>
      <c r="K1224" s="29">
        <f>VLOOKUP($C1224,청소코드!$C$4:$J$188,8,FALSE)</f>
        <v>23000</v>
      </c>
      <c r="L1224" s="32"/>
      <c r="M1224" s="31"/>
      <c r="N1224" s="32"/>
      <c r="O1224" s="32"/>
    </row>
    <row r="1225" spans="1:15" customFormat="1" ht="12.75" customHeight="1">
      <c r="A1225" s="30">
        <v>46145</v>
      </c>
      <c r="B1225" s="29" t="str">
        <f t="shared" si="77"/>
        <v>일</v>
      </c>
      <c r="C1225" s="29" t="s">
        <v>1385</v>
      </c>
      <c r="D1225" s="29" t="str">
        <f>VLOOKUP($C1225,청소코드!$C$4:$J$188,3,FALSE)</f>
        <v>성우 402</v>
      </c>
      <c r="E1225" s="29">
        <f>VLOOKUP($C1225,청소코드!$C$4:$J$188,4,FALSE)</f>
        <v>3</v>
      </c>
      <c r="F1225" s="29" t="s">
        <v>1389</v>
      </c>
      <c r="G1225" s="29"/>
      <c r="H1225" s="29"/>
      <c r="I1225" s="29" t="s">
        <v>431</v>
      </c>
      <c r="J1225" s="47">
        <f t="shared" si="78"/>
        <v>30000</v>
      </c>
      <c r="K1225" s="29">
        <f>VLOOKUP($C1225,청소코드!$C$4:$J$188,8,FALSE)</f>
        <v>30000</v>
      </c>
      <c r="L1225" s="32"/>
      <c r="M1225" s="31"/>
      <c r="N1225" s="32"/>
      <c r="O1225" s="32"/>
    </row>
    <row r="1226" spans="1:15" customFormat="1" ht="12.75" customHeight="1">
      <c r="A1226" s="30">
        <v>46145</v>
      </c>
      <c r="B1226" s="29" t="str">
        <f t="shared" si="77"/>
        <v>일</v>
      </c>
      <c r="C1226" s="29" t="s">
        <v>1386</v>
      </c>
      <c r="D1226" s="29" t="str">
        <f>VLOOKUP($C1226,청소코드!$C$4:$J$188,3,FALSE)</f>
        <v>성우 501</v>
      </c>
      <c r="E1226" s="29">
        <f>VLOOKUP($C1226,청소코드!$C$4:$J$188,4,FALSE)</f>
        <v>2</v>
      </c>
      <c r="F1226" s="29" t="s">
        <v>1389</v>
      </c>
      <c r="G1226" s="29"/>
      <c r="H1226" s="29"/>
      <c r="I1226" s="29" t="s">
        <v>431</v>
      </c>
      <c r="J1226" s="47">
        <f t="shared" si="78"/>
        <v>23000</v>
      </c>
      <c r="K1226" s="29">
        <f>VLOOKUP($C1226,청소코드!$C$4:$J$188,8,FALSE)</f>
        <v>23000</v>
      </c>
      <c r="L1226" s="32"/>
      <c r="M1226" s="31"/>
      <c r="N1226" s="32"/>
      <c r="O1226" s="32"/>
    </row>
    <row r="1227" spans="1:15" customFormat="1" ht="12.75" customHeight="1">
      <c r="A1227" s="30">
        <v>46145</v>
      </c>
      <c r="B1227" s="29" t="str">
        <f t="shared" si="77"/>
        <v>일</v>
      </c>
      <c r="C1227" s="29" t="s">
        <v>1387</v>
      </c>
      <c r="D1227" s="29" t="str">
        <f>VLOOKUP($C1227,청소코드!$C$4:$J$188,3,FALSE)</f>
        <v>대치동 103호</v>
      </c>
      <c r="E1227" s="29">
        <f>VLOOKUP($C1227,청소코드!$C$4:$J$188,4,FALSE)</f>
        <v>1.5</v>
      </c>
      <c r="F1227" s="29" t="s">
        <v>1390</v>
      </c>
      <c r="G1227" s="29"/>
      <c r="H1227" s="29"/>
      <c r="I1227" s="29" t="s">
        <v>431</v>
      </c>
      <c r="J1227" s="47">
        <f t="shared" si="78"/>
        <v>20000</v>
      </c>
      <c r="K1227" s="29">
        <f>VLOOKUP($C1227,청소코드!$C$4:$J$188,8,FALSE)</f>
        <v>20000</v>
      </c>
      <c r="L1227" s="32"/>
      <c r="M1227" s="31"/>
      <c r="N1227" s="32"/>
      <c r="O1227" s="32"/>
    </row>
    <row r="1228" spans="1:15" customFormat="1" ht="12.75" customHeight="1">
      <c r="A1228" s="30">
        <v>46145</v>
      </c>
      <c r="B1228" s="29" t="str">
        <f t="shared" si="77"/>
        <v>일</v>
      </c>
      <c r="C1228" s="29" t="s">
        <v>1391</v>
      </c>
      <c r="D1228" s="29" t="str">
        <f>VLOOKUP($C1228,청소코드!$C$4:$J$188,3,FALSE)</f>
        <v>청광1차 207</v>
      </c>
      <c r="E1228" s="29">
        <f>VLOOKUP($C1228,청소코드!$C$4:$J$188,4,FALSE)</f>
        <v>0</v>
      </c>
      <c r="F1228" s="29" t="s">
        <v>426</v>
      </c>
      <c r="G1228" s="29"/>
      <c r="H1228" s="29"/>
      <c r="I1228" s="29" t="s">
        <v>431</v>
      </c>
      <c r="J1228" s="47">
        <f t="shared" si="78"/>
        <v>10000</v>
      </c>
      <c r="K1228" s="29">
        <f>VLOOKUP($C1228,청소코드!$C$4:$J$188,8,FALSE)</f>
        <v>10000</v>
      </c>
      <c r="L1228" s="32"/>
      <c r="M1228" s="31"/>
      <c r="N1228" s="32"/>
      <c r="O1228" s="32"/>
    </row>
    <row r="1229" spans="1:15" customFormat="1" ht="12.75" customHeight="1">
      <c r="A1229" s="49">
        <v>46146</v>
      </c>
      <c r="B1229" s="50" t="str">
        <f t="shared" si="77"/>
        <v>월</v>
      </c>
      <c r="C1229" s="29" t="s">
        <v>284</v>
      </c>
      <c r="D1229" s="29" t="str">
        <f>VLOOKUP($C1229,청소코드!$C$4:$J$188,3,FALSE)</f>
        <v>청광1차 1303</v>
      </c>
      <c r="E1229" s="29">
        <f>VLOOKUP($C1229,청소코드!$C$4:$J$188,4,FALSE)</f>
        <v>1</v>
      </c>
      <c r="F1229" s="29" t="s">
        <v>429</v>
      </c>
      <c r="G1229" s="29"/>
      <c r="H1229" s="29"/>
      <c r="I1229" s="29" t="s">
        <v>1395</v>
      </c>
      <c r="J1229" s="47">
        <f t="shared" si="78"/>
        <v>18000</v>
      </c>
      <c r="K1229" s="29">
        <f>VLOOKUP($C1229,청소코드!$C$4:$J$188,8,FALSE)</f>
        <v>18000</v>
      </c>
      <c r="L1229" s="32"/>
      <c r="M1229" s="31"/>
      <c r="N1229" s="32"/>
      <c r="O1229" s="32"/>
    </row>
    <row r="1230" spans="1:15" customFormat="1" ht="12.75" customHeight="1">
      <c r="A1230" s="30">
        <v>46146</v>
      </c>
      <c r="B1230" s="29" t="str">
        <f t="shared" si="77"/>
        <v>월</v>
      </c>
      <c r="C1230" s="29" t="s">
        <v>285</v>
      </c>
      <c r="D1230" s="29" t="str">
        <f>VLOOKUP($C1230,청소코드!$C$4:$J$188,3,FALSE)</f>
        <v>길동다성 506</v>
      </c>
      <c r="E1230" s="29">
        <f>VLOOKUP($C1230,청소코드!$C$4:$J$188,4,FALSE)</f>
        <v>1</v>
      </c>
      <c r="F1230" s="29" t="s">
        <v>426</v>
      </c>
      <c r="G1230" s="29"/>
      <c r="H1230" s="29"/>
      <c r="I1230" s="29" t="s">
        <v>431</v>
      </c>
      <c r="J1230" s="47">
        <f t="shared" si="78"/>
        <v>18000</v>
      </c>
      <c r="K1230" s="29">
        <f>VLOOKUP($C1230,청소코드!$C$4:$J$188,8,FALSE)</f>
        <v>18000</v>
      </c>
      <c r="L1230" s="32"/>
      <c r="M1230" s="31"/>
      <c r="N1230" s="32"/>
      <c r="O1230" s="32"/>
    </row>
    <row r="1231" spans="1:15" customFormat="1" ht="12.75" customHeight="1">
      <c r="A1231" s="30">
        <v>46146</v>
      </c>
      <c r="B1231" s="29" t="str">
        <f t="shared" si="77"/>
        <v>월</v>
      </c>
      <c r="C1231" s="29" t="s">
        <v>336</v>
      </c>
      <c r="D1231" s="29" t="str">
        <f>VLOOKUP($C1231,청소코드!$C$4:$J$188,3,FALSE)</f>
        <v>예건 205</v>
      </c>
      <c r="E1231" s="29">
        <f>VLOOKUP($C1231,청소코드!$C$4:$J$188,4,FALSE)</f>
        <v>1</v>
      </c>
      <c r="F1231" s="29" t="s">
        <v>429</v>
      </c>
      <c r="G1231" s="29"/>
      <c r="H1231" s="29"/>
      <c r="I1231" s="29" t="s">
        <v>431</v>
      </c>
      <c r="J1231" s="47">
        <f t="shared" si="78"/>
        <v>18000</v>
      </c>
      <c r="K1231" s="29">
        <f>VLOOKUP($C1231,청소코드!$C$4:$J$188,8,FALSE)</f>
        <v>18000</v>
      </c>
      <c r="L1231" s="32"/>
      <c r="M1231" s="31"/>
      <c r="N1231" s="32"/>
      <c r="O1231" s="32"/>
    </row>
    <row r="1232" spans="1:15" customFormat="1" ht="12.75" customHeight="1">
      <c r="A1232" s="30">
        <v>46146</v>
      </c>
      <c r="B1232" s="29" t="str">
        <f t="shared" si="77"/>
        <v>월</v>
      </c>
      <c r="C1232" s="29" t="s">
        <v>342</v>
      </c>
      <c r="D1232" s="29" t="str">
        <f>VLOOKUP($C1232,청소코드!$C$4:$J$188,3,FALSE)</f>
        <v>예건 902</v>
      </c>
      <c r="E1232" s="29">
        <f>VLOOKUP($C1232,청소코드!$C$4:$J$188,4,FALSE)</f>
        <v>1</v>
      </c>
      <c r="F1232" s="29" t="s">
        <v>429</v>
      </c>
      <c r="G1232" s="29"/>
      <c r="H1232" s="29"/>
      <c r="I1232" s="29" t="s">
        <v>431</v>
      </c>
      <c r="J1232" s="47">
        <f t="shared" si="78"/>
        <v>18000</v>
      </c>
      <c r="K1232" s="29">
        <f>VLOOKUP($C1232,청소코드!$C$4:$J$188,8,FALSE)</f>
        <v>18000</v>
      </c>
      <c r="L1232" s="32"/>
      <c r="M1232" s="31"/>
      <c r="N1232" s="32"/>
      <c r="O1232" s="32"/>
    </row>
    <row r="1233" spans="1:15" customFormat="1" ht="12.75" customHeight="1">
      <c r="A1233" s="30">
        <v>46146</v>
      </c>
      <c r="B1233" s="29" t="str">
        <f t="shared" si="77"/>
        <v>월</v>
      </c>
      <c r="C1233" s="29" t="s">
        <v>373</v>
      </c>
      <c r="D1233" s="29" t="str">
        <f>VLOOKUP($C1233,청소코드!$C$4:$J$188,3,FALSE)</f>
        <v>더하임 204</v>
      </c>
      <c r="E1233" s="29">
        <f>VLOOKUP($C1233,청소코드!$C$4:$J$188,4,FALSE)</f>
        <v>1</v>
      </c>
      <c r="F1233" s="29" t="s">
        <v>1245</v>
      </c>
      <c r="G1233" s="29"/>
      <c r="H1233" s="29"/>
      <c r="I1233" s="29" t="s">
        <v>431</v>
      </c>
      <c r="J1233" s="47">
        <f t="shared" si="78"/>
        <v>18000</v>
      </c>
      <c r="K1233" s="29">
        <f>VLOOKUP($C1233,청소코드!$C$4:$J$188,8,FALSE)</f>
        <v>18000</v>
      </c>
      <c r="L1233" s="32"/>
      <c r="M1233" s="31"/>
      <c r="N1233" s="32"/>
      <c r="O1233" s="32"/>
    </row>
    <row r="1234" spans="1:15" customFormat="1" ht="12.75" customHeight="1">
      <c r="A1234" s="30">
        <v>46146</v>
      </c>
      <c r="B1234" s="29" t="str">
        <f t="shared" si="77"/>
        <v>월</v>
      </c>
      <c r="C1234" s="29" t="s">
        <v>1344</v>
      </c>
      <c r="D1234" s="29" t="str">
        <f>VLOOKUP($C1234,청소코드!$C$4:$J$188,3,FALSE)</f>
        <v>더하임 706</v>
      </c>
      <c r="E1234" s="29">
        <f>VLOOKUP($C1234,청소코드!$C$4:$J$188,4,FALSE)</f>
        <v>1.5</v>
      </c>
      <c r="F1234" s="29" t="s">
        <v>1245</v>
      </c>
      <c r="G1234" s="29"/>
      <c r="H1234" s="29"/>
      <c r="I1234" s="29" t="s">
        <v>431</v>
      </c>
      <c r="J1234" s="47">
        <f t="shared" si="78"/>
        <v>20000</v>
      </c>
      <c r="K1234" s="29">
        <f>VLOOKUP($C1234,청소코드!$C$4:$J$188,8,FALSE)</f>
        <v>20000</v>
      </c>
      <c r="L1234" s="32"/>
      <c r="M1234" s="31"/>
      <c r="N1234" s="32"/>
      <c r="O1234" s="32"/>
    </row>
    <row r="1235" spans="1:15" customFormat="1" ht="12.75" customHeight="1">
      <c r="A1235" s="30">
        <v>46146</v>
      </c>
      <c r="B1235" s="29" t="str">
        <f t="shared" si="77"/>
        <v>월</v>
      </c>
      <c r="C1235" s="29" t="s">
        <v>870</v>
      </c>
      <c r="D1235" s="29" t="str">
        <f>VLOOKUP($C1235,청소코드!$C$4:$J$188,3,FALSE)</f>
        <v>더하임 901</v>
      </c>
      <c r="E1235" s="29">
        <f>VLOOKUP($C1235,청소코드!$C$4:$J$188,4,FALSE)</f>
        <v>1</v>
      </c>
      <c r="F1235" s="29" t="s">
        <v>1222</v>
      </c>
      <c r="G1235" s="29"/>
      <c r="H1235" s="29"/>
      <c r="I1235" s="29" t="s">
        <v>431</v>
      </c>
      <c r="J1235" s="47">
        <f t="shared" si="78"/>
        <v>18000</v>
      </c>
      <c r="K1235" s="29">
        <f>VLOOKUP($C1235,청소코드!$C$4:$J$188,8,FALSE)</f>
        <v>18000</v>
      </c>
      <c r="L1235" s="32"/>
      <c r="M1235" s="31"/>
      <c r="N1235" s="32"/>
      <c r="O1235" s="32"/>
    </row>
    <row r="1236" spans="1:15" customFormat="1" ht="12.75" customHeight="1">
      <c r="A1236" s="30">
        <v>46146</v>
      </c>
      <c r="B1236" s="29" t="str">
        <f t="shared" si="77"/>
        <v>월</v>
      </c>
      <c r="C1236" s="29" t="s">
        <v>869</v>
      </c>
      <c r="D1236" s="29" t="str">
        <f>VLOOKUP($C1236,청소코드!$C$4:$J$188,3,FALSE)</f>
        <v>더하임 904</v>
      </c>
      <c r="E1236" s="29">
        <f>VLOOKUP($C1236,청소코드!$C$4:$J$188,4,FALSE)</f>
        <v>1</v>
      </c>
      <c r="F1236" s="29" t="s">
        <v>1222</v>
      </c>
      <c r="G1236" s="29"/>
      <c r="H1236" s="29"/>
      <c r="I1236" s="29" t="s">
        <v>431</v>
      </c>
      <c r="J1236" s="47">
        <f t="shared" si="78"/>
        <v>18000</v>
      </c>
      <c r="K1236" s="29">
        <f>VLOOKUP($C1236,청소코드!$C$4:$J$188,8,FALSE)</f>
        <v>18000</v>
      </c>
      <c r="L1236" s="32"/>
      <c r="M1236" s="31"/>
      <c r="N1236" s="32"/>
      <c r="O1236" s="32"/>
    </row>
    <row r="1237" spans="1:15" customFormat="1" ht="12.75" customHeight="1">
      <c r="A1237" s="30">
        <v>46146</v>
      </c>
      <c r="B1237" s="29" t="str">
        <f t="shared" si="77"/>
        <v>월</v>
      </c>
      <c r="C1237" s="29" t="s">
        <v>1315</v>
      </c>
      <c r="D1237" s="29" t="str">
        <f>VLOOKUP($C1237,청소코드!$C$4:$J$188,3,FALSE)</f>
        <v>미사아름채 1310호</v>
      </c>
      <c r="E1237" s="29">
        <f>VLOOKUP($C1237,청소코드!$C$4:$J$188,4,FALSE)</f>
        <v>1.5</v>
      </c>
      <c r="F1237" s="29" t="s">
        <v>1222</v>
      </c>
      <c r="G1237" s="29"/>
      <c r="H1237" s="29"/>
      <c r="I1237" s="29" t="s">
        <v>431</v>
      </c>
      <c r="J1237" s="47">
        <f t="shared" si="78"/>
        <v>20000</v>
      </c>
      <c r="K1237" s="29">
        <f>VLOOKUP($C1237,청소코드!$C$4:$J$188,8,FALSE)</f>
        <v>20000</v>
      </c>
      <c r="L1237" s="32"/>
      <c r="M1237" s="31"/>
      <c r="N1237" s="32"/>
      <c r="O1237" s="32"/>
    </row>
    <row r="1238" spans="1:15" customFormat="1" ht="12.75" customHeight="1">
      <c r="A1238" s="30">
        <v>46146</v>
      </c>
      <c r="B1238" s="29" t="str">
        <f t="shared" si="77"/>
        <v>월</v>
      </c>
      <c r="C1238" s="29" t="s">
        <v>310</v>
      </c>
      <c r="D1238" s="29" t="str">
        <f>VLOOKUP($C1238,청소코드!$C$4:$J$188,3,FALSE)</f>
        <v>청광3차 806</v>
      </c>
      <c r="E1238" s="29">
        <f>VLOOKUP($C1238,청소코드!$C$4:$J$188,4,FALSE)</f>
        <v>1</v>
      </c>
      <c r="F1238" s="29" t="s">
        <v>426</v>
      </c>
      <c r="G1238" s="29"/>
      <c r="H1238" s="29"/>
      <c r="I1238" s="29" t="s">
        <v>431</v>
      </c>
      <c r="J1238" s="47">
        <f t="shared" si="78"/>
        <v>18000</v>
      </c>
      <c r="K1238" s="29">
        <f>VLOOKUP($C1238,청소코드!$C$4:$J$188,8,FALSE)</f>
        <v>18000</v>
      </c>
      <c r="L1238" s="32"/>
      <c r="M1238" s="31"/>
      <c r="N1238" s="32"/>
      <c r="O1238" s="32"/>
    </row>
    <row r="1239" spans="1:15" customFormat="1" ht="12.75" customHeight="1">
      <c r="A1239" s="30">
        <v>46146</v>
      </c>
      <c r="B1239" s="29" t="str">
        <f t="shared" si="77"/>
        <v>월</v>
      </c>
      <c r="C1239" s="29" t="s">
        <v>287</v>
      </c>
      <c r="D1239" s="29" t="str">
        <f>VLOOKUP($C1239,청소코드!$C$4:$J$188,3,FALSE)</f>
        <v>청광3차 1412</v>
      </c>
      <c r="E1239" s="29">
        <f>VLOOKUP($C1239,청소코드!$C$4:$J$188,4,FALSE)</f>
        <v>1</v>
      </c>
      <c r="F1239" s="29" t="s">
        <v>426</v>
      </c>
      <c r="G1239" s="29"/>
      <c r="H1239" s="29"/>
      <c r="I1239" s="29" t="s">
        <v>431</v>
      </c>
      <c r="J1239" s="47">
        <f t="shared" si="78"/>
        <v>18000</v>
      </c>
      <c r="K1239" s="29">
        <f>VLOOKUP($C1239,청소코드!$C$4:$J$188,8,FALSE)</f>
        <v>18000</v>
      </c>
      <c r="L1239" s="32"/>
      <c r="M1239" s="31"/>
      <c r="N1239" s="32"/>
      <c r="O1239" s="32"/>
    </row>
    <row r="1240" spans="1:15" customFormat="1" ht="12.75" customHeight="1">
      <c r="A1240" s="30">
        <v>46146</v>
      </c>
      <c r="B1240" s="29" t="str">
        <f t="shared" si="77"/>
        <v>월</v>
      </c>
      <c r="C1240" s="29" t="s">
        <v>291</v>
      </c>
      <c r="D1240" s="29" t="str">
        <f>VLOOKUP($C1240,청소코드!$C$4:$J$188,3,FALSE)</f>
        <v>한양립스 503</v>
      </c>
      <c r="E1240" s="29">
        <f>VLOOKUP($C1240,청소코드!$C$4:$J$188,4,FALSE)</f>
        <v>1</v>
      </c>
      <c r="F1240" s="29" t="s">
        <v>426</v>
      </c>
      <c r="G1240" s="29"/>
      <c r="H1240" s="29"/>
      <c r="I1240" s="29" t="s">
        <v>431</v>
      </c>
      <c r="J1240" s="47">
        <f t="shared" si="78"/>
        <v>18000</v>
      </c>
      <c r="K1240" s="29">
        <f>VLOOKUP($C1240,청소코드!$C$4:$J$188,8,FALSE)</f>
        <v>18000</v>
      </c>
      <c r="L1240" s="32"/>
      <c r="M1240" s="31"/>
      <c r="N1240" s="32"/>
      <c r="O1240" s="32"/>
    </row>
    <row r="1241" spans="1:15" customFormat="1" ht="12.75" customHeight="1">
      <c r="A1241" s="30">
        <v>46146</v>
      </c>
      <c r="B1241" s="29" t="str">
        <f t="shared" si="77"/>
        <v>월</v>
      </c>
      <c r="C1241" s="29" t="s">
        <v>292</v>
      </c>
      <c r="D1241" s="29" t="str">
        <f>VLOOKUP($C1241,청소코드!$C$4:$J$188,3,FALSE)</f>
        <v>오앤 401</v>
      </c>
      <c r="E1241" s="29">
        <f>VLOOKUP($C1241,청소코드!$C$4:$J$188,4,FALSE)</f>
        <v>1</v>
      </c>
      <c r="F1241" s="29" t="s">
        <v>426</v>
      </c>
      <c r="G1241" s="29"/>
      <c r="H1241" s="29"/>
      <c r="I1241" s="29" t="s">
        <v>431</v>
      </c>
      <c r="J1241" s="47">
        <f t="shared" si="78"/>
        <v>18000</v>
      </c>
      <c r="K1241" s="29">
        <f>VLOOKUP($C1241,청소코드!$C$4:$J$188,8,FALSE)</f>
        <v>18000</v>
      </c>
      <c r="L1241" s="32"/>
      <c r="M1241" s="31"/>
      <c r="N1241" s="32"/>
      <c r="O1241" s="32"/>
    </row>
    <row r="1242" spans="1:15" customFormat="1" ht="12.75" customHeight="1">
      <c r="A1242" s="30">
        <v>46146</v>
      </c>
      <c r="B1242" s="29" t="str">
        <f t="shared" si="77"/>
        <v>월</v>
      </c>
      <c r="C1242" s="29" t="s">
        <v>376</v>
      </c>
      <c r="D1242" s="29" t="str">
        <f>VLOOKUP($C1242,청소코드!$C$4:$J$188,3,FALSE)</f>
        <v>은성 603</v>
      </c>
      <c r="E1242" s="29">
        <f>VLOOKUP($C1242,청소코드!$C$4:$J$188,4,FALSE)</f>
        <v>1</v>
      </c>
      <c r="F1242" s="29" t="s">
        <v>438</v>
      </c>
      <c r="G1242" s="29"/>
      <c r="H1242" s="29"/>
      <c r="I1242" s="29" t="s">
        <v>431</v>
      </c>
      <c r="J1242" s="47">
        <f t="shared" si="78"/>
        <v>18000</v>
      </c>
      <c r="K1242" s="29">
        <f>VLOOKUP($C1242,청소코드!$C$4:$J$188,8,FALSE)</f>
        <v>18000</v>
      </c>
      <c r="L1242" s="32"/>
      <c r="M1242" s="31"/>
      <c r="N1242" s="32"/>
      <c r="O1242" s="32"/>
    </row>
    <row r="1243" spans="1:15" customFormat="1" ht="12.75" customHeight="1">
      <c r="A1243" s="30">
        <v>46146</v>
      </c>
      <c r="B1243" s="29" t="str">
        <f t="shared" si="77"/>
        <v>월</v>
      </c>
      <c r="C1243" s="29" t="s">
        <v>369</v>
      </c>
      <c r="D1243" s="29" t="str">
        <f>VLOOKUP($C1243,청소코드!$C$4:$J$188,3,FALSE)</f>
        <v>성우 402</v>
      </c>
      <c r="E1243" s="29">
        <f>VLOOKUP($C1243,청소코드!$C$4:$J$188,4,FALSE)</f>
        <v>3</v>
      </c>
      <c r="F1243" s="29" t="s">
        <v>438</v>
      </c>
      <c r="G1243" s="29"/>
      <c r="H1243" s="29"/>
      <c r="I1243" s="29" t="s">
        <v>431</v>
      </c>
      <c r="J1243" s="47">
        <f t="shared" si="78"/>
        <v>30000</v>
      </c>
      <c r="K1243" s="29">
        <f>VLOOKUP($C1243,청소코드!$C$4:$J$188,8,FALSE)</f>
        <v>30000</v>
      </c>
      <c r="L1243" s="32"/>
      <c r="M1243" s="31"/>
      <c r="N1243" s="32"/>
      <c r="O1243" s="32"/>
    </row>
    <row r="1244" spans="1:15" customFormat="1" ht="12.75" customHeight="1">
      <c r="A1244" s="30">
        <v>46146</v>
      </c>
      <c r="B1244" s="29" t="str">
        <f t="shared" si="77"/>
        <v>월</v>
      </c>
      <c r="C1244" s="29" t="s">
        <v>348</v>
      </c>
      <c r="D1244" s="29" t="str">
        <f>VLOOKUP($C1244,청소코드!$C$4:$J$188,3,FALSE)</f>
        <v>성우 501</v>
      </c>
      <c r="E1244" s="29">
        <f>VLOOKUP($C1244,청소코드!$C$4:$J$188,4,FALSE)</f>
        <v>2</v>
      </c>
      <c r="F1244" s="29" t="s">
        <v>438</v>
      </c>
      <c r="G1244" s="29"/>
      <c r="H1244" s="29"/>
      <c r="I1244" s="29" t="s">
        <v>431</v>
      </c>
      <c r="J1244" s="47">
        <f t="shared" si="78"/>
        <v>23000</v>
      </c>
      <c r="K1244" s="29">
        <f>VLOOKUP($C1244,청소코드!$C$4:$J$188,8,FALSE)</f>
        <v>23000</v>
      </c>
      <c r="L1244" s="32"/>
      <c r="M1244" s="31"/>
      <c r="N1244" s="32"/>
      <c r="O1244" s="32"/>
    </row>
    <row r="1245" spans="1:15" customFormat="1" ht="12.75" customHeight="1">
      <c r="A1245" s="30">
        <v>46146</v>
      </c>
      <c r="B1245" s="29" t="str">
        <f t="shared" si="77"/>
        <v>월</v>
      </c>
      <c r="C1245" s="29" t="s">
        <v>366</v>
      </c>
      <c r="D1245" s="29" t="str">
        <f>VLOOKUP($C1245,청소코드!$C$4:$J$188,3,FALSE)</f>
        <v>센텀 2차 302</v>
      </c>
      <c r="E1245" s="29">
        <f>VLOOKUP($C1245,청소코드!$C$4:$J$188,4,FALSE)</f>
        <v>1.5</v>
      </c>
      <c r="F1245" s="29" t="s">
        <v>401</v>
      </c>
      <c r="G1245" s="29"/>
      <c r="H1245" s="29"/>
      <c r="I1245" s="29" t="s">
        <v>431</v>
      </c>
      <c r="J1245" s="47">
        <f t="shared" si="78"/>
        <v>15000</v>
      </c>
      <c r="K1245" s="29">
        <f>VLOOKUP($C1245,청소코드!$C$4:$J$188,8,FALSE)</f>
        <v>20000</v>
      </c>
      <c r="L1245" s="32">
        <v>-5000</v>
      </c>
      <c r="M1245" s="31"/>
      <c r="N1245" s="32"/>
      <c r="O1245" s="32"/>
    </row>
    <row r="1246" spans="1:15" customFormat="1" ht="12.75" customHeight="1">
      <c r="A1246" s="30">
        <v>46146</v>
      </c>
      <c r="B1246" s="29" t="str">
        <f t="shared" si="77"/>
        <v>월</v>
      </c>
      <c r="C1246" s="29" t="s">
        <v>416</v>
      </c>
      <c r="D1246" s="29" t="str">
        <f>VLOOKUP($C1246,청소코드!$C$4:$J$188,3,FALSE)</f>
        <v>청광1차 207</v>
      </c>
      <c r="E1246" s="29">
        <f>VLOOKUP($C1246,청소코드!$C$4:$J$188,4,FALSE)</f>
        <v>0</v>
      </c>
      <c r="F1246" s="29" t="s">
        <v>426</v>
      </c>
      <c r="G1246" s="29"/>
      <c r="H1246" s="29"/>
      <c r="I1246" s="29" t="s">
        <v>431</v>
      </c>
      <c r="J1246" s="47">
        <f t="shared" si="78"/>
        <v>10000</v>
      </c>
      <c r="K1246" s="29">
        <f>VLOOKUP($C1246,청소코드!$C$4:$J$188,8,FALSE)</f>
        <v>10000</v>
      </c>
      <c r="L1246" s="32"/>
      <c r="M1246" s="31"/>
      <c r="N1246" s="32"/>
      <c r="O1246" s="32"/>
    </row>
    <row r="1247" spans="1:15" customFormat="1" ht="12.75" customHeight="1">
      <c r="A1247" s="30">
        <v>46146</v>
      </c>
      <c r="B1247" s="29" t="str">
        <f t="shared" si="77"/>
        <v>월</v>
      </c>
      <c r="C1247" s="29" t="s">
        <v>366</v>
      </c>
      <c r="D1247" s="29" t="str">
        <f>VLOOKUP($C1247,청소코드!$C$4:$J$188,3,FALSE)</f>
        <v>센텀 2차 302</v>
      </c>
      <c r="E1247" s="29">
        <f>VLOOKUP($C1247,청소코드!$C$4:$J$188,4,FALSE)</f>
        <v>1.5</v>
      </c>
      <c r="F1247" s="29" t="s">
        <v>1394</v>
      </c>
      <c r="G1247" s="29"/>
      <c r="H1247" s="29"/>
      <c r="I1247" s="29" t="s">
        <v>431</v>
      </c>
      <c r="J1247" s="47">
        <f t="shared" si="78"/>
        <v>15000</v>
      </c>
      <c r="K1247" s="29">
        <f>VLOOKUP($C1247,청소코드!$C$4:$J$188,8,FALSE)</f>
        <v>20000</v>
      </c>
      <c r="L1247" s="32">
        <v>-5000</v>
      </c>
      <c r="M1247" s="31"/>
      <c r="N1247" s="32"/>
      <c r="O1247" s="32"/>
    </row>
  </sheetData>
  <autoFilter ref="A2:O952" xr:uid="{00000000-0009-0000-0000-000004000000}"/>
  <phoneticPr fontId="12" type="noConversion"/>
  <pageMargins left="0.69972223043441772" right="0.69972223043441772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C120-AE97-444C-A8BA-11934CBBEAA8}">
  <dimension ref="B1:I970"/>
  <sheetViews>
    <sheetView workbookViewId="0">
      <pane ySplit="3" topLeftCell="A4" activePane="bottomLeft" state="frozen"/>
      <selection pane="bottomLeft" activeCell="G5" sqref="G5"/>
    </sheetView>
  </sheetViews>
  <sheetFormatPr defaultColWidth="12.5703125" defaultRowHeight="12.75"/>
  <cols>
    <col min="1" max="1" width="8.5703125" customWidth="1"/>
    <col min="2" max="2" width="10.5703125" customWidth="1"/>
    <col min="3" max="3" width="23" customWidth="1"/>
    <col min="4" max="7" width="12.5703125" style="37"/>
  </cols>
  <sheetData>
    <row r="1" spans="2:9">
      <c r="B1" s="2"/>
      <c r="C1" s="5"/>
    </row>
    <row r="2" spans="2:9">
      <c r="B2" s="2">
        <v>1</v>
      </c>
      <c r="C2" s="5">
        <v>3</v>
      </c>
    </row>
    <row r="3" spans="2:9" ht="16.5">
      <c r="B3" s="6" t="s">
        <v>1</v>
      </c>
      <c r="C3" s="7" t="s">
        <v>161</v>
      </c>
      <c r="D3" s="55" t="s">
        <v>1002</v>
      </c>
      <c r="E3" s="55" t="s">
        <v>1004</v>
      </c>
      <c r="F3" s="55" t="s">
        <v>1003</v>
      </c>
      <c r="G3" s="55" t="s">
        <v>1006</v>
      </c>
      <c r="H3" s="57" t="s">
        <v>1148</v>
      </c>
      <c r="I3" s="57" t="s">
        <v>1149</v>
      </c>
    </row>
    <row r="4" spans="2:9" ht="16.5">
      <c r="B4" s="35" t="s">
        <v>354</v>
      </c>
      <c r="C4" s="39" t="s">
        <v>198</v>
      </c>
      <c r="D4" s="83">
        <v>46128</v>
      </c>
      <c r="E4" s="37">
        <v>1</v>
      </c>
      <c r="F4" s="55" t="s">
        <v>1104</v>
      </c>
      <c r="G4" s="36" t="s">
        <v>1110</v>
      </c>
      <c r="H4">
        <f>5000*E4</f>
        <v>5000</v>
      </c>
    </row>
    <row r="5" spans="2:9" ht="16.5">
      <c r="B5" s="35" t="s">
        <v>330</v>
      </c>
      <c r="C5" s="39" t="s">
        <v>200</v>
      </c>
      <c r="D5" s="83">
        <v>46157</v>
      </c>
      <c r="E5" s="37">
        <v>1</v>
      </c>
      <c r="F5" s="85" t="s">
        <v>426</v>
      </c>
      <c r="G5" s="36" t="s">
        <v>1040</v>
      </c>
      <c r="H5">
        <f t="shared" ref="H5:H64" si="0">5000*E5</f>
        <v>5000</v>
      </c>
    </row>
    <row r="6" spans="2:9" ht="16.5">
      <c r="B6" s="35" t="s">
        <v>336</v>
      </c>
      <c r="C6" s="39" t="s">
        <v>201</v>
      </c>
      <c r="D6" s="83">
        <v>46128</v>
      </c>
      <c r="E6" s="37">
        <v>1</v>
      </c>
      <c r="F6" s="55" t="s">
        <v>452</v>
      </c>
      <c r="G6" s="36" t="s">
        <v>1040</v>
      </c>
      <c r="H6">
        <f t="shared" si="0"/>
        <v>5000</v>
      </c>
    </row>
    <row r="7" spans="2:9" ht="16.5">
      <c r="B7" s="35" t="s">
        <v>341</v>
      </c>
      <c r="C7" s="39" t="s">
        <v>202</v>
      </c>
      <c r="D7" s="83">
        <v>46124</v>
      </c>
      <c r="E7" s="37">
        <v>1</v>
      </c>
      <c r="F7" s="55" t="s">
        <v>1070</v>
      </c>
      <c r="G7" s="36" t="s">
        <v>1069</v>
      </c>
      <c r="H7">
        <f t="shared" si="0"/>
        <v>5000</v>
      </c>
    </row>
    <row r="8" spans="2:9" ht="16.5">
      <c r="B8" s="35" t="s">
        <v>337</v>
      </c>
      <c r="C8" s="39" t="s">
        <v>203</v>
      </c>
      <c r="D8" s="83"/>
      <c r="H8">
        <f t="shared" si="0"/>
        <v>0</v>
      </c>
    </row>
    <row r="9" spans="2:9" ht="16.5">
      <c r="B9" s="35" t="s">
        <v>371</v>
      </c>
      <c r="C9" s="39" t="s">
        <v>204</v>
      </c>
      <c r="D9" s="83">
        <v>46121</v>
      </c>
      <c r="E9" s="37">
        <v>1</v>
      </c>
      <c r="F9" s="36" t="s">
        <v>1038</v>
      </c>
      <c r="G9" s="36" t="s">
        <v>1040</v>
      </c>
      <c r="H9">
        <f t="shared" si="0"/>
        <v>5000</v>
      </c>
    </row>
    <row r="10" spans="2:9" ht="16.5">
      <c r="B10" s="35" t="s">
        <v>372</v>
      </c>
      <c r="C10" s="39" t="s">
        <v>205</v>
      </c>
      <c r="D10" s="83"/>
      <c r="H10">
        <f t="shared" si="0"/>
        <v>0</v>
      </c>
    </row>
    <row r="11" spans="2:9" ht="16.5">
      <c r="B11" s="35" t="s">
        <v>326</v>
      </c>
      <c r="C11" s="39" t="s">
        <v>206</v>
      </c>
      <c r="D11" s="83"/>
      <c r="H11">
        <f t="shared" si="0"/>
        <v>0</v>
      </c>
    </row>
    <row r="12" spans="2:9" ht="16.5">
      <c r="B12" s="35" t="s">
        <v>342</v>
      </c>
      <c r="C12" s="39" t="s">
        <v>207</v>
      </c>
      <c r="D12" s="83">
        <v>46126</v>
      </c>
      <c r="E12" s="37">
        <v>1</v>
      </c>
      <c r="F12" s="85" t="s">
        <v>1084</v>
      </c>
      <c r="G12" s="36" t="s">
        <v>1040</v>
      </c>
      <c r="H12">
        <f t="shared" si="0"/>
        <v>5000</v>
      </c>
    </row>
    <row r="13" spans="2:9" ht="16.5">
      <c r="B13" s="35" t="s">
        <v>613</v>
      </c>
      <c r="C13" s="39" t="s">
        <v>619</v>
      </c>
      <c r="D13" s="83"/>
      <c r="H13">
        <f t="shared" si="0"/>
        <v>0</v>
      </c>
    </row>
    <row r="14" spans="2:9" ht="16.5">
      <c r="B14" s="35" t="s">
        <v>614</v>
      </c>
      <c r="C14" s="39" t="s">
        <v>620</v>
      </c>
      <c r="D14" s="83">
        <v>46131</v>
      </c>
      <c r="E14" s="37">
        <v>1</v>
      </c>
      <c r="F14" s="55" t="s">
        <v>452</v>
      </c>
      <c r="G14" s="36" t="s">
        <v>1040</v>
      </c>
      <c r="H14">
        <f t="shared" ref="H14" si="1">5000*E14</f>
        <v>5000</v>
      </c>
    </row>
    <row r="15" spans="2:9" ht="16.5">
      <c r="B15" s="35" t="s">
        <v>615</v>
      </c>
      <c r="C15" s="39" t="s">
        <v>621</v>
      </c>
      <c r="D15" s="83">
        <v>46131</v>
      </c>
      <c r="E15" s="37">
        <v>1</v>
      </c>
      <c r="F15" s="55" t="s">
        <v>1138</v>
      </c>
      <c r="G15" s="36" t="s">
        <v>1146</v>
      </c>
      <c r="H15">
        <f t="shared" si="0"/>
        <v>5000</v>
      </c>
    </row>
    <row r="16" spans="2:9" ht="16.5">
      <c r="B16" s="35" t="s">
        <v>496</v>
      </c>
      <c r="C16" s="39" t="s">
        <v>535</v>
      </c>
      <c r="D16" s="83">
        <v>46131</v>
      </c>
      <c r="E16" s="37">
        <v>1</v>
      </c>
      <c r="F16" s="55" t="s">
        <v>1138</v>
      </c>
      <c r="G16" s="36" t="s">
        <v>1146</v>
      </c>
      <c r="H16">
        <f t="shared" si="0"/>
        <v>5000</v>
      </c>
    </row>
    <row r="17" spans="2:8" ht="16.5">
      <c r="B17" s="35" t="s">
        <v>497</v>
      </c>
      <c r="C17" s="39" t="s">
        <v>536</v>
      </c>
      <c r="D17" s="83">
        <v>46121</v>
      </c>
      <c r="E17" s="37">
        <v>1</v>
      </c>
      <c r="F17" s="36" t="s">
        <v>426</v>
      </c>
      <c r="G17" s="36" t="s">
        <v>1041</v>
      </c>
      <c r="H17">
        <f t="shared" si="0"/>
        <v>5000</v>
      </c>
    </row>
    <row r="18" spans="2:8" ht="16.5">
      <c r="B18" s="35" t="s">
        <v>498</v>
      </c>
      <c r="C18" s="39" t="s">
        <v>537</v>
      </c>
      <c r="D18" s="83">
        <v>46119</v>
      </c>
      <c r="E18" s="37">
        <v>1</v>
      </c>
      <c r="F18" s="55" t="s">
        <v>1009</v>
      </c>
      <c r="G18" s="36" t="s">
        <v>1040</v>
      </c>
      <c r="H18">
        <f t="shared" si="0"/>
        <v>5000</v>
      </c>
    </row>
    <row r="19" spans="2:8" ht="16.5">
      <c r="B19" s="35" t="s">
        <v>948</v>
      </c>
      <c r="C19" s="39" t="s">
        <v>954</v>
      </c>
      <c r="D19" s="83">
        <v>46121</v>
      </c>
      <c r="E19" s="37">
        <v>1</v>
      </c>
      <c r="F19" s="36" t="s">
        <v>426</v>
      </c>
      <c r="G19" s="36" t="s">
        <v>1040</v>
      </c>
      <c r="H19">
        <f t="shared" si="0"/>
        <v>5000</v>
      </c>
    </row>
    <row r="20" spans="2:8" ht="16.5">
      <c r="B20" s="35" t="s">
        <v>949</v>
      </c>
      <c r="C20" s="39" t="s">
        <v>951</v>
      </c>
      <c r="D20" s="83">
        <v>46130</v>
      </c>
      <c r="E20" s="37">
        <v>1</v>
      </c>
      <c r="F20" s="55" t="s">
        <v>1145</v>
      </c>
      <c r="G20" s="42" t="s">
        <v>1041</v>
      </c>
      <c r="H20">
        <f t="shared" si="0"/>
        <v>5000</v>
      </c>
    </row>
    <row r="21" spans="2:8" ht="16.5">
      <c r="B21" s="35" t="s">
        <v>373</v>
      </c>
      <c r="C21" s="39" t="s">
        <v>953</v>
      </c>
      <c r="D21" s="83">
        <v>46131</v>
      </c>
      <c r="E21" s="37">
        <v>1</v>
      </c>
      <c r="F21" s="55" t="s">
        <v>452</v>
      </c>
      <c r="G21" s="36" t="s">
        <v>1040</v>
      </c>
      <c r="H21">
        <f t="shared" ref="H21" si="2">5000*E21</f>
        <v>5000</v>
      </c>
    </row>
    <row r="22" spans="2:8" ht="16.5">
      <c r="B22" s="35" t="s">
        <v>950</v>
      </c>
      <c r="C22" s="39" t="s">
        <v>952</v>
      </c>
      <c r="D22" s="83">
        <v>46122</v>
      </c>
      <c r="E22" s="37">
        <v>1</v>
      </c>
      <c r="F22" s="85" t="s">
        <v>1070</v>
      </c>
      <c r="G22" s="36" t="s">
        <v>1040</v>
      </c>
      <c r="H22">
        <f t="shared" si="0"/>
        <v>5000</v>
      </c>
    </row>
    <row r="23" spans="2:8" ht="16.5">
      <c r="B23" s="35" t="s">
        <v>374</v>
      </c>
      <c r="C23" s="39" t="s">
        <v>316</v>
      </c>
      <c r="D23" s="83">
        <v>46131</v>
      </c>
      <c r="E23" s="37">
        <v>1</v>
      </c>
      <c r="F23" s="55" t="s">
        <v>1145</v>
      </c>
      <c r="G23" s="36" t="s">
        <v>1146</v>
      </c>
      <c r="H23">
        <f t="shared" si="0"/>
        <v>5000</v>
      </c>
    </row>
    <row r="24" spans="2:8" ht="16.5">
      <c r="B24" s="35" t="s">
        <v>364</v>
      </c>
      <c r="C24" s="39" t="s">
        <v>321</v>
      </c>
      <c r="D24" s="83">
        <v>46132</v>
      </c>
      <c r="E24" s="37">
        <v>1</v>
      </c>
      <c r="F24" s="55" t="s">
        <v>1201</v>
      </c>
      <c r="G24" s="36" t="s">
        <v>1202</v>
      </c>
      <c r="H24">
        <f t="shared" si="0"/>
        <v>5000</v>
      </c>
    </row>
    <row r="25" spans="2:8" ht="16.5">
      <c r="B25" s="35" t="s">
        <v>361</v>
      </c>
      <c r="C25" s="39" t="s">
        <v>359</v>
      </c>
      <c r="D25" s="83">
        <v>46119</v>
      </c>
      <c r="E25" s="37">
        <v>1</v>
      </c>
      <c r="F25" s="55" t="s">
        <v>1009</v>
      </c>
      <c r="G25" s="36" t="s">
        <v>1040</v>
      </c>
      <c r="H25">
        <f t="shared" si="0"/>
        <v>5000</v>
      </c>
    </row>
    <row r="26" spans="2:8" ht="16.5">
      <c r="B26" s="35" t="s">
        <v>387</v>
      </c>
      <c r="C26" s="39" t="s">
        <v>388</v>
      </c>
      <c r="D26" s="83"/>
      <c r="H26">
        <f t="shared" si="0"/>
        <v>0</v>
      </c>
    </row>
    <row r="27" spans="2:8" ht="16.5">
      <c r="B27" s="35" t="s">
        <v>870</v>
      </c>
      <c r="C27" s="39" t="s">
        <v>873</v>
      </c>
      <c r="D27" s="83">
        <v>46120</v>
      </c>
      <c r="E27" s="37">
        <v>1</v>
      </c>
      <c r="F27" s="55" t="s">
        <v>426</v>
      </c>
      <c r="G27" s="36" t="s">
        <v>1040</v>
      </c>
      <c r="H27">
        <f t="shared" si="0"/>
        <v>5000</v>
      </c>
    </row>
    <row r="28" spans="2:8" ht="16.5">
      <c r="B28" s="35" t="s">
        <v>871</v>
      </c>
      <c r="C28" s="39" t="s">
        <v>874</v>
      </c>
      <c r="D28" s="83"/>
      <c r="H28">
        <f t="shared" si="0"/>
        <v>0</v>
      </c>
    </row>
    <row r="29" spans="2:8" ht="16.5">
      <c r="B29" s="35" t="s">
        <v>869</v>
      </c>
      <c r="C29" s="39" t="s">
        <v>875</v>
      </c>
      <c r="D29" s="83"/>
      <c r="H29">
        <f t="shared" si="0"/>
        <v>0</v>
      </c>
    </row>
    <row r="30" spans="2:8" ht="16.5">
      <c r="B30" s="35" t="s">
        <v>872</v>
      </c>
      <c r="C30" s="39" t="s">
        <v>876</v>
      </c>
      <c r="D30" s="83"/>
      <c r="H30">
        <f t="shared" si="0"/>
        <v>0</v>
      </c>
    </row>
    <row r="31" spans="2:8" ht="16.5">
      <c r="B31" s="35" t="s">
        <v>416</v>
      </c>
      <c r="C31" s="39" t="s">
        <v>215</v>
      </c>
      <c r="D31" s="83"/>
      <c r="H31">
        <f t="shared" si="0"/>
        <v>0</v>
      </c>
    </row>
    <row r="32" spans="2:8" ht="16.5">
      <c r="B32" s="35" t="s">
        <v>352</v>
      </c>
      <c r="C32" s="39" t="s">
        <v>219</v>
      </c>
      <c r="D32" s="83"/>
      <c r="H32">
        <f t="shared" si="0"/>
        <v>0</v>
      </c>
    </row>
    <row r="33" spans="2:8" ht="16.5">
      <c r="B33" s="35" t="s">
        <v>284</v>
      </c>
      <c r="C33" s="39" t="s">
        <v>220</v>
      </c>
      <c r="D33" s="83">
        <v>46131</v>
      </c>
      <c r="E33" s="37">
        <v>1</v>
      </c>
      <c r="F33" s="55" t="s">
        <v>1147</v>
      </c>
      <c r="G33" s="36" t="s">
        <v>1146</v>
      </c>
      <c r="H33">
        <f t="shared" si="0"/>
        <v>5000</v>
      </c>
    </row>
    <row r="34" spans="2:8" ht="16.5">
      <c r="B34" s="35" t="s">
        <v>285</v>
      </c>
      <c r="C34" s="39" t="s">
        <v>221</v>
      </c>
      <c r="D34" s="83">
        <v>46139</v>
      </c>
      <c r="E34" s="37">
        <v>1</v>
      </c>
      <c r="F34" s="55" t="s">
        <v>1304</v>
      </c>
      <c r="G34" s="36" t="s">
        <v>1308</v>
      </c>
      <c r="H34">
        <f t="shared" si="0"/>
        <v>5000</v>
      </c>
    </row>
    <row r="35" spans="2:8" ht="16.5">
      <c r="B35" s="35" t="s">
        <v>286</v>
      </c>
      <c r="C35" s="39" t="s">
        <v>223</v>
      </c>
      <c r="D35" s="83">
        <v>46131</v>
      </c>
      <c r="E35" s="37">
        <v>1</v>
      </c>
      <c r="F35" s="55" t="s">
        <v>1147</v>
      </c>
      <c r="G35" s="36" t="s">
        <v>1146</v>
      </c>
      <c r="H35">
        <f t="shared" si="0"/>
        <v>5000</v>
      </c>
    </row>
    <row r="36" spans="2:8" ht="16.5">
      <c r="B36" s="35" t="s">
        <v>301</v>
      </c>
      <c r="C36" s="39" t="s">
        <v>225</v>
      </c>
      <c r="D36" s="83"/>
      <c r="H36">
        <f t="shared" si="0"/>
        <v>0</v>
      </c>
    </row>
    <row r="37" spans="2:8" ht="16.5">
      <c r="B37" s="35" t="s">
        <v>310</v>
      </c>
      <c r="C37" s="39" t="s">
        <v>226</v>
      </c>
      <c r="D37" s="83">
        <v>46119</v>
      </c>
      <c r="E37" s="37">
        <v>1</v>
      </c>
      <c r="F37" s="55" t="s">
        <v>1007</v>
      </c>
      <c r="G37" s="36" t="s">
        <v>1040</v>
      </c>
      <c r="H37">
        <f t="shared" si="0"/>
        <v>5000</v>
      </c>
    </row>
    <row r="38" spans="2:8" ht="16.5">
      <c r="B38" s="35" t="s">
        <v>287</v>
      </c>
      <c r="C38" s="39" t="s">
        <v>228</v>
      </c>
      <c r="D38" s="83">
        <v>46119</v>
      </c>
      <c r="E38" s="37">
        <v>1</v>
      </c>
      <c r="F38" s="55" t="s">
        <v>449</v>
      </c>
      <c r="G38" s="36" t="s">
        <v>1040</v>
      </c>
      <c r="H38">
        <f t="shared" si="0"/>
        <v>5000</v>
      </c>
    </row>
    <row r="39" spans="2:8" ht="16.5">
      <c r="B39" s="35" t="s">
        <v>283</v>
      </c>
      <c r="C39" s="41" t="s">
        <v>392</v>
      </c>
      <c r="D39" s="83">
        <v>46119</v>
      </c>
      <c r="E39" s="37">
        <v>1</v>
      </c>
      <c r="F39" s="55" t="s">
        <v>1005</v>
      </c>
      <c r="G39" s="36" t="s">
        <v>1040</v>
      </c>
      <c r="H39">
        <f t="shared" si="0"/>
        <v>5000</v>
      </c>
    </row>
    <row r="40" spans="2:8" ht="16.5">
      <c r="B40" s="35" t="s">
        <v>295</v>
      </c>
      <c r="C40" s="39" t="s">
        <v>231</v>
      </c>
      <c r="D40" s="83"/>
      <c r="H40">
        <f t="shared" si="0"/>
        <v>0</v>
      </c>
    </row>
    <row r="41" spans="2:8" ht="16.5">
      <c r="B41" s="35" t="s">
        <v>290</v>
      </c>
      <c r="C41" s="39" t="s">
        <v>234</v>
      </c>
      <c r="D41" s="83">
        <v>46120</v>
      </c>
      <c r="E41" s="37">
        <v>1</v>
      </c>
      <c r="F41" s="55" t="s">
        <v>1020</v>
      </c>
      <c r="G41" s="36" t="s">
        <v>1040</v>
      </c>
      <c r="H41">
        <f t="shared" si="0"/>
        <v>5000</v>
      </c>
    </row>
    <row r="42" spans="2:8" ht="16.5">
      <c r="B42" s="35" t="s">
        <v>304</v>
      </c>
      <c r="C42" s="39" t="s">
        <v>235</v>
      </c>
      <c r="D42" s="83">
        <v>46123</v>
      </c>
      <c r="E42" s="37">
        <v>1</v>
      </c>
      <c r="F42" s="55" t="s">
        <v>401</v>
      </c>
      <c r="G42" s="36" t="s">
        <v>1040</v>
      </c>
      <c r="H42">
        <f t="shared" si="0"/>
        <v>5000</v>
      </c>
    </row>
    <row r="43" spans="2:8" ht="16.5">
      <c r="B43" s="35" t="s">
        <v>315</v>
      </c>
      <c r="C43" s="39" t="s">
        <v>236</v>
      </c>
      <c r="D43" s="83"/>
      <c r="G43" s="36"/>
      <c r="H43">
        <f t="shared" si="0"/>
        <v>0</v>
      </c>
    </row>
    <row r="44" spans="2:8" ht="16.5">
      <c r="B44" s="35" t="s">
        <v>291</v>
      </c>
      <c r="C44" s="39" t="s">
        <v>238</v>
      </c>
      <c r="D44" s="83">
        <v>46118</v>
      </c>
      <c r="E44" s="37">
        <v>1</v>
      </c>
      <c r="F44" s="85" t="s">
        <v>426</v>
      </c>
      <c r="G44" s="36" t="s">
        <v>1040</v>
      </c>
      <c r="H44">
        <f t="shared" si="0"/>
        <v>5000</v>
      </c>
    </row>
    <row r="45" spans="2:8" ht="16.5">
      <c r="B45" s="35" t="s">
        <v>292</v>
      </c>
      <c r="C45" s="39" t="s">
        <v>239</v>
      </c>
      <c r="D45" s="83">
        <v>46128</v>
      </c>
      <c r="E45" s="37">
        <v>1</v>
      </c>
      <c r="F45" s="55" t="s">
        <v>426</v>
      </c>
      <c r="G45" s="36" t="s">
        <v>1110</v>
      </c>
      <c r="H45">
        <f t="shared" si="0"/>
        <v>5000</v>
      </c>
    </row>
    <row r="46" spans="2:8" ht="16.5">
      <c r="B46" s="35" t="s">
        <v>297</v>
      </c>
      <c r="C46" s="39" t="s">
        <v>240</v>
      </c>
      <c r="D46" s="83">
        <v>46144</v>
      </c>
      <c r="E46" s="37">
        <v>1</v>
      </c>
      <c r="F46" s="85" t="s">
        <v>426</v>
      </c>
      <c r="G46" s="36" t="s">
        <v>1369</v>
      </c>
      <c r="H46">
        <f t="shared" si="0"/>
        <v>5000</v>
      </c>
    </row>
    <row r="47" spans="2:8" ht="16.5">
      <c r="B47" s="35" t="s">
        <v>331</v>
      </c>
      <c r="C47" s="39" t="s">
        <v>243</v>
      </c>
      <c r="D47" s="83"/>
      <c r="H47">
        <f t="shared" si="0"/>
        <v>0</v>
      </c>
    </row>
    <row r="48" spans="2:8" ht="16.5">
      <c r="B48" s="35" t="s">
        <v>379</v>
      </c>
      <c r="C48" s="39" t="s">
        <v>244</v>
      </c>
      <c r="D48" s="83"/>
      <c r="H48">
        <f t="shared" si="0"/>
        <v>0</v>
      </c>
    </row>
    <row r="49" spans="2:8" ht="16.5">
      <c r="B49" s="35" t="s">
        <v>347</v>
      </c>
      <c r="C49" s="39" t="s">
        <v>247</v>
      </c>
      <c r="D49" s="83"/>
      <c r="H49">
        <f t="shared" si="0"/>
        <v>0</v>
      </c>
    </row>
    <row r="50" spans="2:8" ht="16.5">
      <c r="B50" s="35" t="s">
        <v>329</v>
      </c>
      <c r="C50" s="39" t="s">
        <v>248</v>
      </c>
      <c r="D50" s="83"/>
      <c r="H50">
        <f t="shared" si="0"/>
        <v>0</v>
      </c>
    </row>
    <row r="51" spans="2:8" ht="16.5">
      <c r="B51" s="35" t="s">
        <v>332</v>
      </c>
      <c r="C51" s="39" t="s">
        <v>249</v>
      </c>
      <c r="D51" s="83">
        <v>46133</v>
      </c>
      <c r="E51" s="37">
        <v>1</v>
      </c>
      <c r="F51" s="85" t="s">
        <v>1211</v>
      </c>
      <c r="G51" s="36" t="s">
        <v>1218</v>
      </c>
      <c r="H51">
        <f t="shared" si="0"/>
        <v>5000</v>
      </c>
    </row>
    <row r="52" spans="2:8" ht="16.5">
      <c r="B52" s="35" t="s">
        <v>357</v>
      </c>
      <c r="C52" s="39" t="s">
        <v>250</v>
      </c>
      <c r="D52" s="83">
        <v>46128</v>
      </c>
      <c r="E52" s="37">
        <v>1</v>
      </c>
      <c r="F52" s="55" t="s">
        <v>1147</v>
      </c>
      <c r="G52" s="36" t="s">
        <v>1146</v>
      </c>
      <c r="H52">
        <f t="shared" si="0"/>
        <v>5000</v>
      </c>
    </row>
    <row r="53" spans="2:8" ht="16.5">
      <c r="B53" s="35" t="s">
        <v>380</v>
      </c>
      <c r="C53" s="39" t="s">
        <v>251</v>
      </c>
      <c r="D53" s="83">
        <v>46122</v>
      </c>
      <c r="E53" s="37">
        <v>1</v>
      </c>
      <c r="F53" s="85" t="s">
        <v>1071</v>
      </c>
      <c r="G53" s="36" t="s">
        <v>1040</v>
      </c>
      <c r="H53">
        <f t="shared" si="0"/>
        <v>5000</v>
      </c>
    </row>
    <row r="54" spans="2:8" ht="16.5">
      <c r="B54" s="35" t="s">
        <v>338</v>
      </c>
      <c r="C54" s="39" t="s">
        <v>306</v>
      </c>
      <c r="D54" s="83"/>
      <c r="H54">
        <f t="shared" si="0"/>
        <v>0</v>
      </c>
    </row>
    <row r="55" spans="2:8" ht="16.5">
      <c r="B55" s="35" t="s">
        <v>381</v>
      </c>
      <c r="C55" s="39" t="s">
        <v>252</v>
      </c>
      <c r="D55" s="83"/>
      <c r="H55">
        <f t="shared" si="0"/>
        <v>0</v>
      </c>
    </row>
    <row r="56" spans="2:8" ht="16.5">
      <c r="B56" s="35" t="s">
        <v>344</v>
      </c>
      <c r="C56" s="39" t="s">
        <v>253</v>
      </c>
      <c r="D56" s="83">
        <v>46123</v>
      </c>
      <c r="E56" s="37">
        <v>1</v>
      </c>
      <c r="F56" s="55" t="s">
        <v>1070</v>
      </c>
      <c r="G56" s="36" t="s">
        <v>1040</v>
      </c>
      <c r="H56">
        <f t="shared" si="0"/>
        <v>5000</v>
      </c>
    </row>
    <row r="57" spans="2:8" ht="16.5">
      <c r="B57" s="35" t="s">
        <v>484</v>
      </c>
      <c r="C57" s="35" t="s">
        <v>999</v>
      </c>
      <c r="D57" s="83"/>
      <c r="H57">
        <f t="shared" si="0"/>
        <v>0</v>
      </c>
    </row>
    <row r="58" spans="2:8" ht="16.5">
      <c r="B58" s="35" t="s">
        <v>309</v>
      </c>
      <c r="C58" s="39" t="s">
        <v>255</v>
      </c>
      <c r="D58" s="83"/>
      <c r="H58">
        <f t="shared" si="0"/>
        <v>0</v>
      </c>
    </row>
    <row r="59" spans="2:8" ht="16.5">
      <c r="B59" s="35" t="s">
        <v>307</v>
      </c>
      <c r="C59" s="39" t="s">
        <v>256</v>
      </c>
      <c r="D59" s="83"/>
      <c r="H59">
        <f t="shared" si="0"/>
        <v>0</v>
      </c>
    </row>
    <row r="60" spans="2:8" ht="16.5">
      <c r="B60" s="35" t="s">
        <v>355</v>
      </c>
      <c r="C60" s="39" t="s">
        <v>257</v>
      </c>
      <c r="D60" s="83"/>
      <c r="H60">
        <f t="shared" si="0"/>
        <v>0</v>
      </c>
    </row>
    <row r="61" spans="2:8" ht="16.5">
      <c r="B61" s="35" t="s">
        <v>375</v>
      </c>
      <c r="C61" s="39" t="s">
        <v>209</v>
      </c>
      <c r="D61" s="83"/>
      <c r="H61">
        <f t="shared" si="0"/>
        <v>0</v>
      </c>
    </row>
    <row r="62" spans="2:8" ht="16.5">
      <c r="B62" s="35" t="s">
        <v>376</v>
      </c>
      <c r="C62" s="39" t="s">
        <v>211</v>
      </c>
      <c r="D62" s="83">
        <v>46128</v>
      </c>
      <c r="E62" s="37">
        <v>1</v>
      </c>
      <c r="F62" s="55" t="s">
        <v>449</v>
      </c>
      <c r="G62" s="36" t="s">
        <v>1040</v>
      </c>
      <c r="H62">
        <f t="shared" ref="H62" si="3">5000*E62</f>
        <v>5000</v>
      </c>
    </row>
    <row r="63" spans="2:8" ht="16.5">
      <c r="B63" s="35" t="s">
        <v>298</v>
      </c>
      <c r="C63" s="39" t="s">
        <v>259</v>
      </c>
      <c r="D63" s="83">
        <v>46137</v>
      </c>
      <c r="E63" s="37">
        <v>1</v>
      </c>
      <c r="F63" s="55" t="s">
        <v>1247</v>
      </c>
      <c r="G63" s="36" t="s">
        <v>1261</v>
      </c>
      <c r="H63">
        <f t="shared" si="0"/>
        <v>5000</v>
      </c>
    </row>
    <row r="64" spans="2:8" ht="16.5">
      <c r="B64" s="35" t="s">
        <v>305</v>
      </c>
      <c r="C64" s="39" t="s">
        <v>261</v>
      </c>
      <c r="D64" s="83"/>
      <c r="H64">
        <f t="shared" si="0"/>
        <v>0</v>
      </c>
    </row>
    <row r="65" spans="2:8" ht="16.5">
      <c r="B65" s="35" t="s">
        <v>383</v>
      </c>
      <c r="C65" s="39" t="s">
        <v>264</v>
      </c>
      <c r="D65" s="83"/>
      <c r="H65">
        <f t="shared" ref="H65:H93" si="4">5000*E65</f>
        <v>0</v>
      </c>
    </row>
    <row r="66" spans="2:8" ht="16.5">
      <c r="B66" s="35" t="s">
        <v>324</v>
      </c>
      <c r="C66" s="39" t="s">
        <v>265</v>
      </c>
      <c r="D66" s="83"/>
      <c r="H66">
        <f t="shared" si="4"/>
        <v>0</v>
      </c>
    </row>
    <row r="67" spans="2:8" ht="16.5">
      <c r="B67" s="35" t="s">
        <v>300</v>
      </c>
      <c r="C67" s="39" t="s">
        <v>267</v>
      </c>
      <c r="D67" s="83"/>
      <c r="H67">
        <f t="shared" si="4"/>
        <v>0</v>
      </c>
    </row>
    <row r="68" spans="2:8" ht="16.5">
      <c r="B68" s="35" t="s">
        <v>302</v>
      </c>
      <c r="C68" s="39" t="s">
        <v>268</v>
      </c>
      <c r="D68" s="83">
        <v>46119</v>
      </c>
      <c r="E68" s="37">
        <v>1</v>
      </c>
      <c r="F68" s="55" t="s">
        <v>1008</v>
      </c>
      <c r="G68" s="36" t="s">
        <v>1040</v>
      </c>
      <c r="H68">
        <f t="shared" si="4"/>
        <v>5000</v>
      </c>
    </row>
    <row r="69" spans="2:8" ht="16.5">
      <c r="B69" s="35" t="s">
        <v>343</v>
      </c>
      <c r="C69" s="39" t="s">
        <v>1109</v>
      </c>
      <c r="D69" s="83">
        <v>46128</v>
      </c>
      <c r="E69" s="37">
        <v>1</v>
      </c>
      <c r="F69" s="55" t="s">
        <v>1107</v>
      </c>
      <c r="G69" s="36" t="s">
        <v>1040</v>
      </c>
      <c r="H69">
        <f t="shared" si="4"/>
        <v>5000</v>
      </c>
    </row>
    <row r="70" spans="2:8" ht="16.5">
      <c r="B70" s="35" t="s">
        <v>385</v>
      </c>
      <c r="C70" s="39" t="s">
        <v>386</v>
      </c>
      <c r="D70" s="83">
        <v>46120</v>
      </c>
      <c r="E70" s="37">
        <v>1</v>
      </c>
      <c r="F70" s="55" t="s">
        <v>1019</v>
      </c>
      <c r="G70" s="36" t="s">
        <v>1040</v>
      </c>
      <c r="H70">
        <f t="shared" si="4"/>
        <v>5000</v>
      </c>
    </row>
    <row r="71" spans="2:8" ht="16.5">
      <c r="B71" s="35" t="s">
        <v>389</v>
      </c>
      <c r="C71" s="39" t="s">
        <v>424</v>
      </c>
      <c r="D71" s="83"/>
      <c r="H71">
        <f t="shared" si="4"/>
        <v>0</v>
      </c>
    </row>
    <row r="72" spans="2:8" ht="16.5">
      <c r="B72" s="35" t="s">
        <v>311</v>
      </c>
      <c r="C72" s="39" t="s">
        <v>270</v>
      </c>
      <c r="D72" s="83"/>
      <c r="H72">
        <f t="shared" si="4"/>
        <v>0</v>
      </c>
    </row>
    <row r="73" spans="2:8" ht="16.5">
      <c r="B73" s="35" t="s">
        <v>323</v>
      </c>
      <c r="C73" s="39" t="s">
        <v>271</v>
      </c>
      <c r="D73" s="83"/>
      <c r="H73">
        <f t="shared" si="4"/>
        <v>0</v>
      </c>
    </row>
    <row r="74" spans="2:8" ht="16.5">
      <c r="B74" s="35" t="s">
        <v>314</v>
      </c>
      <c r="C74" s="39" t="s">
        <v>273</v>
      </c>
      <c r="D74" s="83"/>
      <c r="H74">
        <f t="shared" si="4"/>
        <v>0</v>
      </c>
    </row>
    <row r="75" spans="2:8" ht="16.5">
      <c r="B75" s="35" t="s">
        <v>293</v>
      </c>
      <c r="C75" s="39" t="s">
        <v>274</v>
      </c>
      <c r="D75" s="83"/>
      <c r="H75">
        <f t="shared" si="4"/>
        <v>0</v>
      </c>
    </row>
    <row r="76" spans="2:8" ht="16.5">
      <c r="B76" s="35" t="s">
        <v>384</v>
      </c>
      <c r="C76" s="39" t="s">
        <v>275</v>
      </c>
      <c r="D76" s="83"/>
      <c r="H76">
        <f t="shared" si="4"/>
        <v>0</v>
      </c>
    </row>
    <row r="77" spans="2:8" ht="16.5">
      <c r="B77" s="35" t="s">
        <v>312</v>
      </c>
      <c r="C77" s="39" t="s">
        <v>313</v>
      </c>
      <c r="D77" s="83"/>
      <c r="H77">
        <f t="shared" si="4"/>
        <v>0</v>
      </c>
    </row>
    <row r="78" spans="2:8" ht="16.5">
      <c r="B78" s="35" t="s">
        <v>367</v>
      </c>
      <c r="C78" s="39" t="s">
        <v>173</v>
      </c>
      <c r="D78" s="83"/>
      <c r="H78">
        <f t="shared" si="4"/>
        <v>0</v>
      </c>
    </row>
    <row r="79" spans="2:8" ht="16.5">
      <c r="B79" s="35" t="s">
        <v>366</v>
      </c>
      <c r="C79" s="39" t="s">
        <v>175</v>
      </c>
      <c r="D79" s="83"/>
      <c r="H79">
        <f t="shared" si="4"/>
        <v>0</v>
      </c>
    </row>
    <row r="80" spans="2:8" ht="16.5">
      <c r="B80" s="35" t="s">
        <v>334</v>
      </c>
      <c r="C80" s="39" t="s">
        <v>177</v>
      </c>
      <c r="D80" s="83">
        <v>46119</v>
      </c>
      <c r="E80" s="37">
        <v>2</v>
      </c>
      <c r="F80" s="55" t="s">
        <v>1010</v>
      </c>
      <c r="G80" s="36" t="s">
        <v>1040</v>
      </c>
      <c r="H80">
        <f t="shared" si="4"/>
        <v>10000</v>
      </c>
    </row>
    <row r="81" spans="2:9" ht="16.5">
      <c r="B81" s="35" t="s">
        <v>325</v>
      </c>
      <c r="C81" s="39" t="s">
        <v>179</v>
      </c>
      <c r="D81" s="83">
        <v>46121</v>
      </c>
      <c r="E81" s="37">
        <v>2</v>
      </c>
      <c r="F81" s="36" t="s">
        <v>401</v>
      </c>
      <c r="G81" s="36" t="s">
        <v>1040</v>
      </c>
      <c r="H81">
        <f t="shared" si="4"/>
        <v>10000</v>
      </c>
    </row>
    <row r="82" spans="2:9" ht="16.5">
      <c r="B82" s="35" t="s">
        <v>339</v>
      </c>
      <c r="C82" s="39" t="s">
        <v>319</v>
      </c>
      <c r="D82" s="83">
        <v>46119</v>
      </c>
      <c r="E82" s="37">
        <v>2</v>
      </c>
      <c r="F82" s="55" t="s">
        <v>1010</v>
      </c>
      <c r="G82" s="36" t="s">
        <v>1040</v>
      </c>
      <c r="H82">
        <f t="shared" si="4"/>
        <v>10000</v>
      </c>
    </row>
    <row r="83" spans="2:9" ht="16.5">
      <c r="B83" s="35" t="s">
        <v>368</v>
      </c>
      <c r="C83" s="39" t="s">
        <v>181</v>
      </c>
      <c r="D83" s="83"/>
      <c r="H83">
        <f t="shared" si="4"/>
        <v>0</v>
      </c>
    </row>
    <row r="84" spans="2:9" ht="16.5">
      <c r="B84" s="35" t="s">
        <v>327</v>
      </c>
      <c r="C84" s="39" t="s">
        <v>184</v>
      </c>
      <c r="D84" s="83"/>
      <c r="H84">
        <f t="shared" si="4"/>
        <v>0</v>
      </c>
    </row>
    <row r="85" spans="2:9" ht="16.5">
      <c r="B85" s="35" t="s">
        <v>328</v>
      </c>
      <c r="C85" s="39" t="s">
        <v>186</v>
      </c>
      <c r="D85" s="83">
        <v>46131</v>
      </c>
      <c r="E85" s="37">
        <v>1</v>
      </c>
      <c r="F85" s="55" t="s">
        <v>1180</v>
      </c>
      <c r="G85" s="36" t="s">
        <v>1181</v>
      </c>
      <c r="H85">
        <f t="shared" si="4"/>
        <v>5000</v>
      </c>
      <c r="I85" s="57" t="s">
        <v>439</v>
      </c>
    </row>
    <row r="86" spans="2:9" ht="16.5">
      <c r="B86" s="35" t="s">
        <v>351</v>
      </c>
      <c r="C86" s="39" t="s">
        <v>353</v>
      </c>
      <c r="D86" s="83">
        <v>46122</v>
      </c>
      <c r="E86" s="37">
        <v>1</v>
      </c>
      <c r="F86" s="85" t="s">
        <v>1068</v>
      </c>
      <c r="G86" s="36" t="s">
        <v>1040</v>
      </c>
      <c r="H86">
        <f t="shared" si="4"/>
        <v>5000</v>
      </c>
      <c r="I86" s="57" t="s">
        <v>1150</v>
      </c>
    </row>
    <row r="87" spans="2:9" ht="16.5">
      <c r="B87" s="35" t="s">
        <v>369</v>
      </c>
      <c r="C87" s="39" t="s">
        <v>189</v>
      </c>
      <c r="D87" s="83"/>
      <c r="H87">
        <f t="shared" si="4"/>
        <v>0</v>
      </c>
    </row>
    <row r="88" spans="2:9" ht="16.5">
      <c r="B88" s="35" t="s">
        <v>348</v>
      </c>
      <c r="C88" s="39" t="s">
        <v>349</v>
      </c>
      <c r="D88" s="83">
        <v>46120</v>
      </c>
      <c r="E88" s="37">
        <v>1</v>
      </c>
      <c r="F88" s="55" t="s">
        <v>1021</v>
      </c>
      <c r="G88" s="36" t="s">
        <v>1040</v>
      </c>
      <c r="H88">
        <f t="shared" si="4"/>
        <v>5000</v>
      </c>
      <c r="I88" s="57" t="s">
        <v>439</v>
      </c>
    </row>
    <row r="89" spans="2:9" ht="16.5">
      <c r="B89" s="35" t="s">
        <v>356</v>
      </c>
      <c r="C89" s="39" t="s">
        <v>191</v>
      </c>
      <c r="D89" s="83"/>
      <c r="H89">
        <f t="shared" si="4"/>
        <v>0</v>
      </c>
      <c r="I89" s="57" t="s">
        <v>1150</v>
      </c>
    </row>
    <row r="90" spans="2:9" ht="16.5">
      <c r="B90" s="9" t="s">
        <v>370</v>
      </c>
      <c r="C90" s="39" t="s">
        <v>193</v>
      </c>
      <c r="D90" s="83"/>
      <c r="H90">
        <f t="shared" si="4"/>
        <v>0</v>
      </c>
    </row>
    <row r="91" spans="2:9" ht="16.5">
      <c r="B91" s="9" t="s">
        <v>396</v>
      </c>
      <c r="C91" s="39" t="s">
        <v>398</v>
      </c>
      <c r="D91" s="83">
        <v>46138</v>
      </c>
      <c r="E91" s="37">
        <v>1</v>
      </c>
      <c r="F91" s="55" t="s">
        <v>1288</v>
      </c>
      <c r="G91" s="36" t="s">
        <v>1040</v>
      </c>
      <c r="H91">
        <f t="shared" si="4"/>
        <v>5000</v>
      </c>
    </row>
    <row r="92" spans="2:9" ht="16.5">
      <c r="B92" s="9" t="s">
        <v>397</v>
      </c>
      <c r="C92" s="39" t="s">
        <v>399</v>
      </c>
      <c r="D92" s="83">
        <v>46123</v>
      </c>
      <c r="E92" s="37">
        <v>1</v>
      </c>
      <c r="F92" s="55" t="s">
        <v>1072</v>
      </c>
      <c r="G92" s="36" t="s">
        <v>1040</v>
      </c>
      <c r="H92">
        <f t="shared" si="4"/>
        <v>5000</v>
      </c>
    </row>
    <row r="93" spans="2:9" ht="16.5">
      <c r="B93" s="9" t="s">
        <v>393</v>
      </c>
      <c r="C93" s="39" t="s">
        <v>395</v>
      </c>
      <c r="H93">
        <f t="shared" si="4"/>
        <v>0</v>
      </c>
    </row>
    <row r="168" spans="2:3">
      <c r="B168" s="2"/>
      <c r="C168" s="5"/>
    </row>
    <row r="169" spans="2:3">
      <c r="B169" s="2"/>
      <c r="C169" s="5"/>
    </row>
    <row r="170" spans="2:3">
      <c r="B170" s="2"/>
      <c r="C170" s="5"/>
    </row>
    <row r="171" spans="2:3">
      <c r="B171" s="2"/>
      <c r="C171" s="5"/>
    </row>
    <row r="172" spans="2:3">
      <c r="B172" s="2"/>
      <c r="C172" s="5"/>
    </row>
    <row r="173" spans="2:3">
      <c r="B173" s="2"/>
      <c r="C173" s="5"/>
    </row>
    <row r="174" spans="2:3">
      <c r="B174" s="2"/>
      <c r="C174" s="5"/>
    </row>
    <row r="175" spans="2:3">
      <c r="B175" s="2"/>
      <c r="C175" s="5"/>
    </row>
    <row r="176" spans="2:3">
      <c r="B176" s="2"/>
      <c r="C176" s="5"/>
    </row>
    <row r="177" spans="2:3">
      <c r="B177" s="2"/>
      <c r="C177" s="5"/>
    </row>
    <row r="178" spans="2:3">
      <c r="B178" s="2"/>
      <c r="C178" s="5"/>
    </row>
    <row r="179" spans="2:3">
      <c r="B179" s="2"/>
      <c r="C179" s="5"/>
    </row>
    <row r="180" spans="2:3">
      <c r="B180" s="2"/>
      <c r="C180" s="5"/>
    </row>
    <row r="181" spans="2:3">
      <c r="B181" s="2"/>
      <c r="C181" s="5"/>
    </row>
    <row r="182" spans="2:3">
      <c r="B182" s="2"/>
      <c r="C182" s="5"/>
    </row>
    <row r="183" spans="2:3">
      <c r="B183" s="2"/>
      <c r="C183" s="5"/>
    </row>
    <row r="184" spans="2:3">
      <c r="B184" s="2"/>
      <c r="C184" s="5"/>
    </row>
    <row r="185" spans="2:3">
      <c r="B185" s="2"/>
      <c r="C185" s="5"/>
    </row>
    <row r="186" spans="2:3">
      <c r="B186" s="2"/>
      <c r="C186" s="5"/>
    </row>
    <row r="187" spans="2:3">
      <c r="B187" s="2"/>
      <c r="C187" s="5"/>
    </row>
    <row r="188" spans="2:3">
      <c r="B188" s="2"/>
      <c r="C188" s="5"/>
    </row>
    <row r="189" spans="2:3">
      <c r="B189" s="2"/>
      <c r="C189" s="5"/>
    </row>
    <row r="190" spans="2:3">
      <c r="B190" s="2"/>
      <c r="C190" s="5"/>
    </row>
    <row r="191" spans="2:3">
      <c r="B191" s="2"/>
      <c r="C191" s="5"/>
    </row>
    <row r="192" spans="2:3">
      <c r="B192" s="2"/>
      <c r="C192" s="5"/>
    </row>
    <row r="193" spans="2:3">
      <c r="B193" s="2"/>
      <c r="C193" s="5"/>
    </row>
    <row r="194" spans="2:3">
      <c r="B194" s="2"/>
      <c r="C194" s="5"/>
    </row>
    <row r="195" spans="2:3">
      <c r="B195" s="2"/>
      <c r="C195" s="5"/>
    </row>
    <row r="196" spans="2:3">
      <c r="B196" s="2"/>
      <c r="C196" s="5"/>
    </row>
    <row r="197" spans="2:3">
      <c r="B197" s="2"/>
      <c r="C197" s="5"/>
    </row>
    <row r="198" spans="2:3">
      <c r="B198" s="2"/>
      <c r="C198" s="5"/>
    </row>
    <row r="199" spans="2:3">
      <c r="B199" s="2"/>
      <c r="C199" s="5"/>
    </row>
    <row r="200" spans="2:3">
      <c r="B200" s="2"/>
      <c r="C200" s="5"/>
    </row>
    <row r="201" spans="2:3">
      <c r="B201" s="2"/>
      <c r="C201" s="5"/>
    </row>
    <row r="202" spans="2:3">
      <c r="B202" s="2"/>
      <c r="C202" s="5"/>
    </row>
    <row r="203" spans="2:3">
      <c r="B203" s="2"/>
      <c r="C203" s="5"/>
    </row>
    <row r="204" spans="2:3">
      <c r="B204" s="2"/>
      <c r="C204" s="5"/>
    </row>
    <row r="205" spans="2:3">
      <c r="B205" s="2"/>
      <c r="C205" s="5"/>
    </row>
    <row r="206" spans="2:3">
      <c r="B206" s="2"/>
      <c r="C206" s="5"/>
    </row>
    <row r="207" spans="2:3">
      <c r="B207" s="2"/>
      <c r="C207" s="5"/>
    </row>
    <row r="208" spans="2:3">
      <c r="B208" s="2"/>
      <c r="C208" s="5"/>
    </row>
    <row r="209" spans="2:3">
      <c r="B209" s="2"/>
      <c r="C209" s="5"/>
    </row>
    <row r="210" spans="2:3">
      <c r="B210" s="2"/>
      <c r="C210" s="5"/>
    </row>
    <row r="211" spans="2:3">
      <c r="B211" s="2"/>
      <c r="C211" s="5"/>
    </row>
    <row r="212" spans="2:3">
      <c r="B212" s="2"/>
      <c r="C212" s="5"/>
    </row>
    <row r="213" spans="2:3">
      <c r="B213" s="2"/>
      <c r="C213" s="5"/>
    </row>
    <row r="214" spans="2:3">
      <c r="B214" s="2"/>
      <c r="C214" s="5"/>
    </row>
    <row r="215" spans="2:3">
      <c r="B215" s="2"/>
      <c r="C215" s="5"/>
    </row>
    <row r="216" spans="2:3">
      <c r="B216" s="2"/>
      <c r="C216" s="5"/>
    </row>
    <row r="217" spans="2:3">
      <c r="B217" s="2"/>
      <c r="C217" s="5"/>
    </row>
    <row r="218" spans="2:3">
      <c r="B218" s="2"/>
      <c r="C218" s="5"/>
    </row>
    <row r="219" spans="2:3">
      <c r="B219" s="2"/>
      <c r="C219" s="5"/>
    </row>
    <row r="220" spans="2:3">
      <c r="B220" s="2"/>
      <c r="C220" s="5"/>
    </row>
    <row r="221" spans="2:3">
      <c r="B221" s="2"/>
      <c r="C221" s="5"/>
    </row>
    <row r="222" spans="2:3">
      <c r="B222" s="2"/>
      <c r="C222" s="5"/>
    </row>
    <row r="223" spans="2:3">
      <c r="B223" s="2"/>
      <c r="C223" s="5"/>
    </row>
    <row r="224" spans="2:3">
      <c r="B224" s="2"/>
      <c r="C224" s="5"/>
    </row>
    <row r="225" spans="2:3">
      <c r="B225" s="2"/>
      <c r="C225" s="5"/>
    </row>
    <row r="226" spans="2:3">
      <c r="B226" s="2"/>
      <c r="C226" s="5"/>
    </row>
    <row r="227" spans="2:3">
      <c r="B227" s="2"/>
      <c r="C227" s="5"/>
    </row>
    <row r="228" spans="2:3">
      <c r="B228" s="2"/>
      <c r="C228" s="5"/>
    </row>
    <row r="229" spans="2:3">
      <c r="B229" s="2"/>
      <c r="C229" s="5"/>
    </row>
    <row r="230" spans="2:3">
      <c r="B230" s="2"/>
      <c r="C230" s="5"/>
    </row>
    <row r="231" spans="2:3">
      <c r="B231" s="2"/>
      <c r="C231" s="5"/>
    </row>
    <row r="232" spans="2:3">
      <c r="B232" s="2"/>
      <c r="C232" s="5"/>
    </row>
    <row r="233" spans="2:3">
      <c r="B233" s="2"/>
      <c r="C233" s="5"/>
    </row>
    <row r="234" spans="2:3">
      <c r="B234" s="2"/>
      <c r="C234" s="5"/>
    </row>
    <row r="235" spans="2:3">
      <c r="B235" s="2"/>
      <c r="C235" s="5"/>
    </row>
    <row r="236" spans="2:3">
      <c r="B236" s="2"/>
      <c r="C236" s="5"/>
    </row>
    <row r="237" spans="2:3">
      <c r="B237" s="2"/>
      <c r="C237" s="5"/>
    </row>
    <row r="238" spans="2:3">
      <c r="B238" s="2"/>
      <c r="C238" s="5"/>
    </row>
    <row r="239" spans="2:3">
      <c r="B239" s="2"/>
      <c r="C239" s="5"/>
    </row>
    <row r="240" spans="2:3">
      <c r="B240" s="2"/>
      <c r="C240" s="5"/>
    </row>
    <row r="241" spans="2:3">
      <c r="B241" s="2"/>
      <c r="C241" s="5"/>
    </row>
    <row r="242" spans="2:3">
      <c r="B242" s="2"/>
      <c r="C242" s="5"/>
    </row>
    <row r="243" spans="2:3">
      <c r="B243" s="2"/>
      <c r="C243" s="5"/>
    </row>
    <row r="244" spans="2:3">
      <c r="B244" s="2"/>
      <c r="C244" s="5"/>
    </row>
    <row r="245" spans="2:3">
      <c r="B245" s="2"/>
      <c r="C245" s="5"/>
    </row>
    <row r="246" spans="2:3">
      <c r="B246" s="2"/>
      <c r="C246" s="5"/>
    </row>
    <row r="247" spans="2:3">
      <c r="B247" s="2"/>
      <c r="C247" s="5"/>
    </row>
    <row r="248" spans="2:3">
      <c r="B248" s="2"/>
      <c r="C248" s="5"/>
    </row>
    <row r="249" spans="2:3">
      <c r="B249" s="2"/>
      <c r="C249" s="5"/>
    </row>
    <row r="250" spans="2:3">
      <c r="B250" s="2"/>
      <c r="C250" s="5"/>
    </row>
    <row r="251" spans="2:3">
      <c r="B251" s="2"/>
      <c r="C251" s="5"/>
    </row>
    <row r="252" spans="2:3">
      <c r="B252" s="2"/>
      <c r="C252" s="5"/>
    </row>
    <row r="253" spans="2:3">
      <c r="B253" s="2"/>
      <c r="C253" s="5"/>
    </row>
    <row r="254" spans="2:3">
      <c r="B254" s="2"/>
      <c r="C254" s="5"/>
    </row>
    <row r="255" spans="2:3">
      <c r="B255" s="2"/>
      <c r="C255" s="5"/>
    </row>
    <row r="256" spans="2:3">
      <c r="B256" s="2"/>
      <c r="C256" s="5"/>
    </row>
    <row r="257" spans="2:3">
      <c r="B257" s="2"/>
      <c r="C257" s="5"/>
    </row>
    <row r="258" spans="2:3">
      <c r="B258" s="2"/>
      <c r="C258" s="5"/>
    </row>
    <row r="259" spans="2:3">
      <c r="B259" s="2"/>
      <c r="C259" s="5"/>
    </row>
    <row r="260" spans="2:3">
      <c r="B260" s="2"/>
      <c r="C260" s="5"/>
    </row>
    <row r="261" spans="2:3">
      <c r="B261" s="2"/>
      <c r="C261" s="5"/>
    </row>
    <row r="262" spans="2:3">
      <c r="B262" s="2"/>
      <c r="C262" s="5"/>
    </row>
    <row r="263" spans="2:3">
      <c r="B263" s="2"/>
      <c r="C263" s="5"/>
    </row>
    <row r="264" spans="2:3">
      <c r="B264" s="2"/>
      <c r="C264" s="5"/>
    </row>
    <row r="265" spans="2:3">
      <c r="B265" s="2"/>
      <c r="C265" s="5"/>
    </row>
    <row r="266" spans="2:3">
      <c r="B266" s="2"/>
      <c r="C266" s="5"/>
    </row>
    <row r="267" spans="2:3">
      <c r="B267" s="2"/>
      <c r="C267" s="5"/>
    </row>
    <row r="268" spans="2:3">
      <c r="B268" s="2"/>
      <c r="C268" s="5"/>
    </row>
    <row r="269" spans="2:3">
      <c r="B269" s="2"/>
      <c r="C269" s="5"/>
    </row>
    <row r="270" spans="2:3">
      <c r="B270" s="2"/>
      <c r="C270" s="5"/>
    </row>
    <row r="271" spans="2:3">
      <c r="B271" s="2"/>
      <c r="C271" s="5"/>
    </row>
    <row r="272" spans="2:3">
      <c r="B272" s="2"/>
      <c r="C272" s="5"/>
    </row>
    <row r="273" spans="2:3">
      <c r="B273" s="2"/>
      <c r="C273" s="5"/>
    </row>
    <row r="274" spans="2:3">
      <c r="B274" s="2"/>
      <c r="C274" s="5"/>
    </row>
    <row r="275" spans="2:3">
      <c r="B275" s="2"/>
      <c r="C275" s="5"/>
    </row>
    <row r="276" spans="2:3">
      <c r="B276" s="2"/>
      <c r="C276" s="5"/>
    </row>
    <row r="277" spans="2:3">
      <c r="B277" s="2"/>
      <c r="C277" s="5"/>
    </row>
    <row r="278" spans="2:3">
      <c r="B278" s="2"/>
      <c r="C278" s="5"/>
    </row>
    <row r="279" spans="2:3">
      <c r="B279" s="2"/>
      <c r="C279" s="5"/>
    </row>
    <row r="280" spans="2:3">
      <c r="B280" s="2"/>
      <c r="C280" s="5"/>
    </row>
    <row r="281" spans="2:3">
      <c r="B281" s="2"/>
      <c r="C281" s="5"/>
    </row>
    <row r="282" spans="2:3">
      <c r="B282" s="2"/>
      <c r="C282" s="5"/>
    </row>
    <row r="283" spans="2:3">
      <c r="B283" s="2"/>
      <c r="C283" s="5"/>
    </row>
    <row r="284" spans="2:3">
      <c r="B284" s="2"/>
      <c r="C284" s="5"/>
    </row>
    <row r="285" spans="2:3">
      <c r="B285" s="2"/>
      <c r="C285" s="5"/>
    </row>
    <row r="286" spans="2:3">
      <c r="B286" s="2"/>
      <c r="C286" s="5"/>
    </row>
    <row r="287" spans="2:3">
      <c r="B287" s="2"/>
      <c r="C287" s="5"/>
    </row>
    <row r="288" spans="2:3">
      <c r="B288" s="2"/>
      <c r="C288" s="5"/>
    </row>
    <row r="289" spans="2:3">
      <c r="B289" s="2"/>
      <c r="C289" s="5"/>
    </row>
    <row r="290" spans="2:3">
      <c r="B290" s="2"/>
      <c r="C290" s="5"/>
    </row>
    <row r="291" spans="2:3">
      <c r="B291" s="2"/>
      <c r="C291" s="5"/>
    </row>
    <row r="292" spans="2:3">
      <c r="B292" s="2"/>
      <c r="C292" s="5"/>
    </row>
    <row r="293" spans="2:3">
      <c r="B293" s="2"/>
      <c r="C293" s="5"/>
    </row>
    <row r="294" spans="2:3">
      <c r="B294" s="2"/>
      <c r="C294" s="5"/>
    </row>
    <row r="295" spans="2:3">
      <c r="B295" s="2"/>
      <c r="C295" s="5"/>
    </row>
    <row r="296" spans="2:3">
      <c r="B296" s="2"/>
      <c r="C296" s="5"/>
    </row>
    <row r="297" spans="2:3">
      <c r="B297" s="2"/>
      <c r="C297" s="5"/>
    </row>
    <row r="298" spans="2:3">
      <c r="B298" s="2"/>
      <c r="C298" s="5"/>
    </row>
    <row r="299" spans="2:3">
      <c r="B299" s="2"/>
      <c r="C299" s="5"/>
    </row>
    <row r="300" spans="2:3">
      <c r="B300" s="2"/>
      <c r="C300" s="5"/>
    </row>
    <row r="301" spans="2:3">
      <c r="B301" s="2"/>
      <c r="C301" s="5"/>
    </row>
    <row r="302" spans="2:3">
      <c r="B302" s="2"/>
      <c r="C302" s="5"/>
    </row>
    <row r="303" spans="2:3">
      <c r="B303" s="2"/>
      <c r="C303" s="5"/>
    </row>
    <row r="304" spans="2:3">
      <c r="B304" s="2"/>
      <c r="C304" s="5"/>
    </row>
    <row r="305" spans="2:3">
      <c r="B305" s="2"/>
      <c r="C305" s="5"/>
    </row>
    <row r="306" spans="2:3">
      <c r="B306" s="2"/>
      <c r="C306" s="5"/>
    </row>
    <row r="307" spans="2:3">
      <c r="B307" s="2"/>
      <c r="C307" s="5"/>
    </row>
    <row r="308" spans="2:3">
      <c r="B308" s="2"/>
      <c r="C308" s="5"/>
    </row>
    <row r="309" spans="2:3">
      <c r="B309" s="2"/>
      <c r="C309" s="5"/>
    </row>
    <row r="310" spans="2:3">
      <c r="B310" s="2"/>
      <c r="C310" s="5"/>
    </row>
    <row r="311" spans="2:3">
      <c r="B311" s="2"/>
      <c r="C311" s="5"/>
    </row>
    <row r="312" spans="2:3">
      <c r="B312" s="2"/>
      <c r="C312" s="5"/>
    </row>
    <row r="313" spans="2:3">
      <c r="B313" s="2"/>
      <c r="C313" s="5"/>
    </row>
    <row r="314" spans="2:3">
      <c r="B314" s="2"/>
      <c r="C314" s="5"/>
    </row>
    <row r="315" spans="2:3">
      <c r="B315" s="2"/>
      <c r="C315" s="5"/>
    </row>
    <row r="316" spans="2:3">
      <c r="B316" s="2"/>
      <c r="C316" s="5"/>
    </row>
    <row r="317" spans="2:3">
      <c r="B317" s="2"/>
      <c r="C317" s="5"/>
    </row>
    <row r="318" spans="2:3">
      <c r="B318" s="2"/>
      <c r="C318" s="5"/>
    </row>
    <row r="319" spans="2:3">
      <c r="B319" s="2"/>
      <c r="C319" s="5"/>
    </row>
    <row r="320" spans="2:3">
      <c r="B320" s="2"/>
      <c r="C320" s="5"/>
    </row>
    <row r="321" spans="2:3">
      <c r="B321" s="2"/>
      <c r="C321" s="5"/>
    </row>
    <row r="322" spans="2:3">
      <c r="B322" s="2"/>
      <c r="C322" s="5"/>
    </row>
    <row r="323" spans="2:3">
      <c r="B323" s="2"/>
      <c r="C323" s="5"/>
    </row>
    <row r="324" spans="2:3">
      <c r="B324" s="2"/>
      <c r="C324" s="5"/>
    </row>
    <row r="325" spans="2:3">
      <c r="B325" s="2"/>
      <c r="C325" s="5"/>
    </row>
    <row r="326" spans="2:3">
      <c r="B326" s="2"/>
      <c r="C326" s="5"/>
    </row>
    <row r="327" spans="2:3">
      <c r="B327" s="2"/>
      <c r="C327" s="5"/>
    </row>
    <row r="328" spans="2:3">
      <c r="B328" s="2"/>
      <c r="C328" s="5"/>
    </row>
    <row r="329" spans="2:3">
      <c r="B329" s="2"/>
      <c r="C329" s="5"/>
    </row>
    <row r="330" spans="2:3">
      <c r="B330" s="2"/>
      <c r="C330" s="5"/>
    </row>
    <row r="331" spans="2:3">
      <c r="B331" s="2"/>
      <c r="C331" s="5"/>
    </row>
    <row r="332" spans="2:3">
      <c r="B332" s="2"/>
      <c r="C332" s="5"/>
    </row>
    <row r="333" spans="2:3">
      <c r="B333" s="2"/>
      <c r="C333" s="5"/>
    </row>
    <row r="334" spans="2:3">
      <c r="B334" s="2"/>
      <c r="C334" s="5"/>
    </row>
    <row r="335" spans="2:3">
      <c r="B335" s="2"/>
      <c r="C335" s="5"/>
    </row>
    <row r="336" spans="2:3">
      <c r="B336" s="2"/>
      <c r="C336" s="5"/>
    </row>
    <row r="337" spans="2:3">
      <c r="B337" s="2"/>
      <c r="C337" s="5"/>
    </row>
    <row r="338" spans="2:3">
      <c r="B338" s="2"/>
      <c r="C338" s="5"/>
    </row>
    <row r="339" spans="2:3">
      <c r="B339" s="2"/>
      <c r="C339" s="5"/>
    </row>
    <row r="340" spans="2:3">
      <c r="B340" s="2"/>
      <c r="C340" s="5"/>
    </row>
    <row r="341" spans="2:3">
      <c r="B341" s="2"/>
      <c r="C341" s="5"/>
    </row>
    <row r="342" spans="2:3">
      <c r="B342" s="2"/>
      <c r="C342" s="5"/>
    </row>
    <row r="343" spans="2:3">
      <c r="B343" s="2"/>
      <c r="C343" s="5"/>
    </row>
    <row r="344" spans="2:3">
      <c r="B344" s="2"/>
      <c r="C344" s="5"/>
    </row>
    <row r="345" spans="2:3">
      <c r="B345" s="2"/>
      <c r="C345" s="5"/>
    </row>
    <row r="346" spans="2:3">
      <c r="B346" s="2"/>
      <c r="C346" s="5"/>
    </row>
    <row r="347" spans="2:3">
      <c r="B347" s="2"/>
      <c r="C347" s="5"/>
    </row>
    <row r="348" spans="2:3">
      <c r="B348" s="2"/>
      <c r="C348" s="5"/>
    </row>
    <row r="349" spans="2:3">
      <c r="B349" s="2"/>
      <c r="C349" s="5"/>
    </row>
    <row r="350" spans="2:3">
      <c r="B350" s="2"/>
      <c r="C350" s="5"/>
    </row>
    <row r="351" spans="2:3">
      <c r="B351" s="2"/>
      <c r="C351" s="5"/>
    </row>
    <row r="352" spans="2:3">
      <c r="B352" s="2"/>
      <c r="C352" s="5"/>
    </row>
    <row r="353" spans="2:3">
      <c r="B353" s="2"/>
      <c r="C353" s="5"/>
    </row>
    <row r="354" spans="2:3">
      <c r="B354" s="2"/>
      <c r="C354" s="5"/>
    </row>
    <row r="355" spans="2:3">
      <c r="B355" s="2"/>
      <c r="C355" s="5"/>
    </row>
    <row r="356" spans="2:3">
      <c r="B356" s="2"/>
      <c r="C356" s="5"/>
    </row>
    <row r="357" spans="2:3">
      <c r="B357" s="2"/>
      <c r="C357" s="5"/>
    </row>
    <row r="358" spans="2:3">
      <c r="B358" s="2"/>
      <c r="C358" s="5"/>
    </row>
    <row r="359" spans="2:3">
      <c r="B359" s="2"/>
      <c r="C359" s="5"/>
    </row>
    <row r="360" spans="2:3">
      <c r="B360" s="2"/>
      <c r="C360" s="5"/>
    </row>
    <row r="361" spans="2:3">
      <c r="B361" s="2"/>
      <c r="C361" s="5"/>
    </row>
    <row r="362" spans="2:3">
      <c r="B362" s="2"/>
      <c r="C362" s="5"/>
    </row>
    <row r="363" spans="2:3">
      <c r="B363" s="2"/>
      <c r="C363" s="5"/>
    </row>
    <row r="364" spans="2:3">
      <c r="B364" s="2"/>
      <c r="C364" s="5"/>
    </row>
    <row r="365" spans="2:3">
      <c r="B365" s="2"/>
      <c r="C365" s="5"/>
    </row>
    <row r="366" spans="2:3">
      <c r="B366" s="2"/>
      <c r="C366" s="5"/>
    </row>
    <row r="367" spans="2:3">
      <c r="B367" s="2"/>
      <c r="C367" s="5"/>
    </row>
    <row r="368" spans="2:3">
      <c r="B368" s="2"/>
      <c r="C368" s="5"/>
    </row>
    <row r="369" spans="2:3">
      <c r="B369" s="2"/>
      <c r="C369" s="5"/>
    </row>
    <row r="370" spans="2:3">
      <c r="B370" s="2"/>
      <c r="C370" s="5"/>
    </row>
    <row r="371" spans="2:3">
      <c r="B371" s="2"/>
      <c r="C371" s="5"/>
    </row>
    <row r="372" spans="2:3">
      <c r="B372" s="2"/>
      <c r="C372" s="5"/>
    </row>
    <row r="373" spans="2:3">
      <c r="B373" s="2"/>
      <c r="C373" s="5"/>
    </row>
    <row r="374" spans="2:3">
      <c r="B374" s="2"/>
      <c r="C374" s="5"/>
    </row>
    <row r="375" spans="2:3">
      <c r="B375" s="2"/>
      <c r="C375" s="5"/>
    </row>
    <row r="376" spans="2:3">
      <c r="B376" s="2"/>
      <c r="C376" s="5"/>
    </row>
    <row r="377" spans="2:3">
      <c r="B377" s="2"/>
      <c r="C377" s="5"/>
    </row>
    <row r="378" spans="2:3">
      <c r="B378" s="2"/>
      <c r="C378" s="5"/>
    </row>
    <row r="379" spans="2:3">
      <c r="B379" s="2"/>
      <c r="C379" s="5"/>
    </row>
    <row r="380" spans="2:3">
      <c r="B380" s="2"/>
      <c r="C380" s="5"/>
    </row>
    <row r="381" spans="2:3">
      <c r="B381" s="2"/>
      <c r="C381" s="5"/>
    </row>
    <row r="382" spans="2:3">
      <c r="B382" s="2"/>
      <c r="C382" s="5"/>
    </row>
    <row r="383" spans="2:3">
      <c r="B383" s="2"/>
      <c r="C383" s="5"/>
    </row>
    <row r="384" spans="2:3">
      <c r="B384" s="2"/>
      <c r="C384" s="5"/>
    </row>
    <row r="385" spans="2:3">
      <c r="B385" s="2"/>
      <c r="C385" s="5"/>
    </row>
    <row r="386" spans="2:3">
      <c r="B386" s="2"/>
      <c r="C386" s="5"/>
    </row>
    <row r="387" spans="2:3">
      <c r="B387" s="2"/>
      <c r="C387" s="5"/>
    </row>
    <row r="388" spans="2:3">
      <c r="B388" s="2"/>
      <c r="C388" s="5"/>
    </row>
    <row r="389" spans="2:3">
      <c r="B389" s="2"/>
      <c r="C389" s="5"/>
    </row>
    <row r="390" spans="2:3">
      <c r="B390" s="2"/>
      <c r="C390" s="5"/>
    </row>
    <row r="391" spans="2:3">
      <c r="B391" s="2"/>
      <c r="C391" s="5"/>
    </row>
    <row r="392" spans="2:3">
      <c r="B392" s="2"/>
      <c r="C392" s="5"/>
    </row>
    <row r="393" spans="2:3">
      <c r="B393" s="2"/>
      <c r="C393" s="5"/>
    </row>
    <row r="394" spans="2:3">
      <c r="B394" s="2"/>
      <c r="C394" s="5"/>
    </row>
    <row r="395" spans="2:3">
      <c r="B395" s="2"/>
      <c r="C395" s="5"/>
    </row>
    <row r="396" spans="2:3">
      <c r="B396" s="2"/>
      <c r="C396" s="5"/>
    </row>
    <row r="397" spans="2:3">
      <c r="B397" s="2"/>
      <c r="C397" s="5"/>
    </row>
    <row r="398" spans="2:3">
      <c r="B398" s="2"/>
      <c r="C398" s="5"/>
    </row>
    <row r="399" spans="2:3">
      <c r="B399" s="2"/>
      <c r="C399" s="5"/>
    </row>
    <row r="400" spans="2:3">
      <c r="B400" s="2"/>
      <c r="C400" s="5"/>
    </row>
    <row r="401" spans="2:3">
      <c r="B401" s="2"/>
      <c r="C401" s="5"/>
    </row>
    <row r="402" spans="2:3">
      <c r="B402" s="2"/>
      <c r="C402" s="5"/>
    </row>
    <row r="403" spans="2:3">
      <c r="B403" s="2"/>
      <c r="C403" s="5"/>
    </row>
    <row r="404" spans="2:3">
      <c r="B404" s="2"/>
      <c r="C404" s="5"/>
    </row>
    <row r="405" spans="2:3">
      <c r="B405" s="2"/>
      <c r="C405" s="5"/>
    </row>
    <row r="406" spans="2:3">
      <c r="B406" s="2"/>
      <c r="C406" s="5"/>
    </row>
    <row r="407" spans="2:3">
      <c r="B407" s="2"/>
      <c r="C407" s="5"/>
    </row>
    <row r="408" spans="2:3">
      <c r="B408" s="2"/>
      <c r="C408" s="5"/>
    </row>
    <row r="409" spans="2:3">
      <c r="B409" s="2"/>
      <c r="C409" s="5"/>
    </row>
    <row r="410" spans="2:3">
      <c r="B410" s="2"/>
      <c r="C410" s="5"/>
    </row>
    <row r="411" spans="2:3">
      <c r="B411" s="2"/>
      <c r="C411" s="5"/>
    </row>
    <row r="412" spans="2:3">
      <c r="B412" s="2"/>
      <c r="C412" s="5"/>
    </row>
    <row r="413" spans="2:3">
      <c r="B413" s="2"/>
      <c r="C413" s="5"/>
    </row>
    <row r="414" spans="2:3">
      <c r="B414" s="2"/>
      <c r="C414" s="5"/>
    </row>
    <row r="415" spans="2:3">
      <c r="B415" s="2"/>
      <c r="C415" s="5"/>
    </row>
    <row r="416" spans="2:3">
      <c r="B416" s="2"/>
      <c r="C416" s="5"/>
    </row>
    <row r="417" spans="2:3">
      <c r="B417" s="2"/>
      <c r="C417" s="5"/>
    </row>
    <row r="418" spans="2:3">
      <c r="B418" s="2"/>
      <c r="C418" s="5"/>
    </row>
    <row r="419" spans="2:3">
      <c r="B419" s="2"/>
      <c r="C419" s="5"/>
    </row>
    <row r="420" spans="2:3">
      <c r="B420" s="2"/>
      <c r="C420" s="5"/>
    </row>
    <row r="421" spans="2:3">
      <c r="B421" s="2"/>
      <c r="C421" s="5"/>
    </row>
    <row r="422" spans="2:3">
      <c r="B422" s="2"/>
      <c r="C422" s="5"/>
    </row>
    <row r="423" spans="2:3">
      <c r="B423" s="2"/>
      <c r="C423" s="5"/>
    </row>
    <row r="424" spans="2:3">
      <c r="B424" s="2"/>
      <c r="C424" s="5"/>
    </row>
    <row r="425" spans="2:3">
      <c r="B425" s="2"/>
      <c r="C425" s="5"/>
    </row>
    <row r="426" spans="2:3">
      <c r="B426" s="2"/>
      <c r="C426" s="5"/>
    </row>
    <row r="427" spans="2:3">
      <c r="B427" s="2"/>
      <c r="C427" s="5"/>
    </row>
    <row r="428" spans="2:3">
      <c r="B428" s="2"/>
      <c r="C428" s="5"/>
    </row>
    <row r="429" spans="2:3">
      <c r="B429" s="2"/>
      <c r="C429" s="5"/>
    </row>
    <row r="430" spans="2:3">
      <c r="B430" s="2"/>
      <c r="C430" s="5"/>
    </row>
    <row r="431" spans="2:3">
      <c r="B431" s="2"/>
      <c r="C431" s="5"/>
    </row>
    <row r="432" spans="2:3">
      <c r="B432" s="2"/>
      <c r="C432" s="5"/>
    </row>
    <row r="433" spans="2:3">
      <c r="B433" s="2"/>
      <c r="C433" s="5"/>
    </row>
    <row r="434" spans="2:3">
      <c r="B434" s="2"/>
      <c r="C434" s="5"/>
    </row>
    <row r="435" spans="2:3">
      <c r="B435" s="2"/>
      <c r="C435" s="5"/>
    </row>
    <row r="436" spans="2:3">
      <c r="B436" s="2"/>
      <c r="C436" s="5"/>
    </row>
    <row r="437" spans="2:3">
      <c r="B437" s="2"/>
      <c r="C437" s="5"/>
    </row>
    <row r="438" spans="2:3">
      <c r="B438" s="2"/>
      <c r="C438" s="5"/>
    </row>
    <row r="439" spans="2:3">
      <c r="B439" s="2"/>
      <c r="C439" s="5"/>
    </row>
    <row r="440" spans="2:3">
      <c r="B440" s="2"/>
      <c r="C440" s="5"/>
    </row>
    <row r="441" spans="2:3">
      <c r="B441" s="2"/>
      <c r="C441" s="5"/>
    </row>
    <row r="442" spans="2:3">
      <c r="B442" s="2"/>
      <c r="C442" s="5"/>
    </row>
    <row r="443" spans="2:3">
      <c r="B443" s="2"/>
      <c r="C443" s="5"/>
    </row>
    <row r="444" spans="2:3">
      <c r="B444" s="2"/>
      <c r="C444" s="5"/>
    </row>
    <row r="445" spans="2:3">
      <c r="B445" s="2"/>
      <c r="C445" s="5"/>
    </row>
    <row r="446" spans="2:3">
      <c r="B446" s="2"/>
      <c r="C446" s="5"/>
    </row>
    <row r="447" spans="2:3">
      <c r="B447" s="2"/>
      <c r="C447" s="5"/>
    </row>
    <row r="448" spans="2:3">
      <c r="B448" s="2"/>
      <c r="C448" s="5"/>
    </row>
    <row r="449" spans="2:3">
      <c r="B449" s="2"/>
      <c r="C449" s="5"/>
    </row>
    <row r="450" spans="2:3">
      <c r="B450" s="2"/>
      <c r="C450" s="5"/>
    </row>
    <row r="451" spans="2:3">
      <c r="B451" s="2"/>
      <c r="C451" s="5"/>
    </row>
    <row r="452" spans="2:3">
      <c r="B452" s="2"/>
      <c r="C452" s="5"/>
    </row>
    <row r="453" spans="2:3">
      <c r="B453" s="2"/>
      <c r="C453" s="5"/>
    </row>
    <row r="454" spans="2:3">
      <c r="B454" s="2"/>
      <c r="C454" s="5"/>
    </row>
    <row r="455" spans="2:3">
      <c r="B455" s="2"/>
      <c r="C455" s="5"/>
    </row>
    <row r="456" spans="2:3">
      <c r="B456" s="2"/>
      <c r="C456" s="5"/>
    </row>
    <row r="457" spans="2:3">
      <c r="B457" s="2"/>
      <c r="C457" s="5"/>
    </row>
    <row r="458" spans="2:3">
      <c r="B458" s="2"/>
      <c r="C458" s="5"/>
    </row>
    <row r="459" spans="2:3">
      <c r="B459" s="2"/>
      <c r="C459" s="5"/>
    </row>
    <row r="460" spans="2:3">
      <c r="B460" s="2"/>
      <c r="C460" s="5"/>
    </row>
    <row r="461" spans="2:3">
      <c r="B461" s="2"/>
      <c r="C461" s="5"/>
    </row>
    <row r="462" spans="2:3">
      <c r="B462" s="2"/>
      <c r="C462" s="5"/>
    </row>
    <row r="463" spans="2:3">
      <c r="B463" s="2"/>
      <c r="C463" s="5"/>
    </row>
    <row r="464" spans="2:3">
      <c r="B464" s="2"/>
      <c r="C464" s="5"/>
    </row>
    <row r="465" spans="2:3">
      <c r="B465" s="2"/>
      <c r="C465" s="5"/>
    </row>
    <row r="466" spans="2:3">
      <c r="B466" s="2"/>
      <c r="C466" s="5"/>
    </row>
    <row r="467" spans="2:3">
      <c r="B467" s="2"/>
      <c r="C467" s="5"/>
    </row>
    <row r="468" spans="2:3">
      <c r="B468" s="2"/>
      <c r="C468" s="5"/>
    </row>
    <row r="469" spans="2:3">
      <c r="B469" s="2"/>
      <c r="C469" s="5"/>
    </row>
    <row r="470" spans="2:3">
      <c r="B470" s="2"/>
      <c r="C470" s="5"/>
    </row>
    <row r="471" spans="2:3">
      <c r="B471" s="2"/>
      <c r="C471" s="5"/>
    </row>
    <row r="472" spans="2:3">
      <c r="B472" s="2"/>
      <c r="C472" s="5"/>
    </row>
    <row r="473" spans="2:3">
      <c r="B473" s="2"/>
      <c r="C473" s="5"/>
    </row>
    <row r="474" spans="2:3">
      <c r="B474" s="2"/>
      <c r="C474" s="5"/>
    </row>
    <row r="475" spans="2:3">
      <c r="B475" s="2"/>
      <c r="C475" s="5"/>
    </row>
    <row r="476" spans="2:3">
      <c r="B476" s="2"/>
      <c r="C476" s="5"/>
    </row>
    <row r="477" spans="2:3">
      <c r="B477" s="2"/>
      <c r="C477" s="5"/>
    </row>
    <row r="478" spans="2:3">
      <c r="B478" s="2"/>
      <c r="C478" s="5"/>
    </row>
    <row r="479" spans="2:3">
      <c r="B479" s="2"/>
      <c r="C479" s="5"/>
    </row>
    <row r="480" spans="2:3">
      <c r="B480" s="2"/>
      <c r="C480" s="5"/>
    </row>
    <row r="481" spans="2:3">
      <c r="B481" s="2"/>
      <c r="C481" s="5"/>
    </row>
    <row r="482" spans="2:3">
      <c r="B482" s="2"/>
      <c r="C482" s="5"/>
    </row>
    <row r="483" spans="2:3">
      <c r="B483" s="2"/>
      <c r="C483" s="5"/>
    </row>
    <row r="484" spans="2:3">
      <c r="B484" s="2"/>
      <c r="C484" s="5"/>
    </row>
    <row r="485" spans="2:3">
      <c r="B485" s="2"/>
      <c r="C485" s="5"/>
    </row>
    <row r="486" spans="2:3">
      <c r="B486" s="2"/>
      <c r="C486" s="5"/>
    </row>
    <row r="487" spans="2:3">
      <c r="B487" s="2"/>
      <c r="C487" s="5"/>
    </row>
    <row r="488" spans="2:3">
      <c r="B488" s="2"/>
      <c r="C488" s="5"/>
    </row>
    <row r="489" spans="2:3">
      <c r="B489" s="2"/>
      <c r="C489" s="5"/>
    </row>
    <row r="490" spans="2:3">
      <c r="B490" s="2"/>
      <c r="C490" s="5"/>
    </row>
    <row r="491" spans="2:3">
      <c r="B491" s="2"/>
      <c r="C491" s="5"/>
    </row>
    <row r="492" spans="2:3">
      <c r="B492" s="2"/>
      <c r="C492" s="5"/>
    </row>
    <row r="493" spans="2:3">
      <c r="B493" s="2"/>
      <c r="C493" s="5"/>
    </row>
    <row r="494" spans="2:3">
      <c r="B494" s="2"/>
      <c r="C494" s="5"/>
    </row>
    <row r="495" spans="2:3">
      <c r="B495" s="2"/>
      <c r="C495" s="5"/>
    </row>
    <row r="496" spans="2:3">
      <c r="B496" s="2"/>
      <c r="C496" s="5"/>
    </row>
    <row r="497" spans="2:3">
      <c r="B497" s="2"/>
      <c r="C497" s="5"/>
    </row>
    <row r="498" spans="2:3">
      <c r="B498" s="2"/>
      <c r="C498" s="5"/>
    </row>
    <row r="499" spans="2:3">
      <c r="B499" s="2"/>
      <c r="C499" s="5"/>
    </row>
    <row r="500" spans="2:3">
      <c r="B500" s="2"/>
      <c r="C500" s="5"/>
    </row>
    <row r="501" spans="2:3">
      <c r="B501" s="2"/>
      <c r="C501" s="5"/>
    </row>
    <row r="502" spans="2:3">
      <c r="B502" s="2"/>
      <c r="C502" s="5"/>
    </row>
    <row r="503" spans="2:3">
      <c r="B503" s="2"/>
      <c r="C503" s="5"/>
    </row>
    <row r="504" spans="2:3">
      <c r="B504" s="2"/>
      <c r="C504" s="5"/>
    </row>
    <row r="505" spans="2:3">
      <c r="B505" s="2"/>
      <c r="C505" s="5"/>
    </row>
    <row r="506" spans="2:3">
      <c r="B506" s="2"/>
      <c r="C506" s="5"/>
    </row>
    <row r="507" spans="2:3">
      <c r="B507" s="2"/>
      <c r="C507" s="5"/>
    </row>
    <row r="508" spans="2:3">
      <c r="B508" s="2"/>
      <c r="C508" s="5"/>
    </row>
    <row r="509" spans="2:3">
      <c r="B509" s="2"/>
      <c r="C509" s="5"/>
    </row>
    <row r="510" spans="2:3">
      <c r="B510" s="2"/>
      <c r="C510" s="5"/>
    </row>
    <row r="511" spans="2:3">
      <c r="B511" s="2"/>
      <c r="C511" s="5"/>
    </row>
    <row r="512" spans="2:3">
      <c r="B512" s="2"/>
      <c r="C512" s="5"/>
    </row>
    <row r="513" spans="2:3">
      <c r="B513" s="2"/>
      <c r="C513" s="5"/>
    </row>
    <row r="514" spans="2:3">
      <c r="B514" s="2"/>
      <c r="C514" s="5"/>
    </row>
    <row r="515" spans="2:3">
      <c r="B515" s="2"/>
      <c r="C515" s="5"/>
    </row>
    <row r="516" spans="2:3">
      <c r="B516" s="2"/>
      <c r="C516" s="5"/>
    </row>
    <row r="517" spans="2:3">
      <c r="B517" s="2"/>
      <c r="C517" s="5"/>
    </row>
    <row r="518" spans="2:3">
      <c r="B518" s="2"/>
      <c r="C518" s="5"/>
    </row>
    <row r="519" spans="2:3">
      <c r="B519" s="2"/>
      <c r="C519" s="5"/>
    </row>
    <row r="520" spans="2:3">
      <c r="B520" s="2"/>
      <c r="C520" s="5"/>
    </row>
    <row r="521" spans="2:3">
      <c r="B521" s="2"/>
      <c r="C521" s="5"/>
    </row>
    <row r="522" spans="2:3">
      <c r="B522" s="2"/>
      <c r="C522" s="5"/>
    </row>
    <row r="523" spans="2:3">
      <c r="B523" s="2"/>
      <c r="C523" s="5"/>
    </row>
    <row r="524" spans="2:3">
      <c r="B524" s="2"/>
      <c r="C524" s="5"/>
    </row>
    <row r="525" spans="2:3">
      <c r="B525" s="2"/>
      <c r="C525" s="5"/>
    </row>
    <row r="526" spans="2:3">
      <c r="B526" s="2"/>
      <c r="C526" s="5"/>
    </row>
    <row r="527" spans="2:3">
      <c r="B527" s="2"/>
      <c r="C527" s="5"/>
    </row>
    <row r="528" spans="2:3">
      <c r="B528" s="2"/>
      <c r="C528" s="5"/>
    </row>
    <row r="529" spans="2:3">
      <c r="B529" s="2"/>
      <c r="C529" s="5"/>
    </row>
    <row r="530" spans="2:3">
      <c r="B530" s="2"/>
      <c r="C530" s="5"/>
    </row>
    <row r="531" spans="2:3">
      <c r="B531" s="2"/>
      <c r="C531" s="5"/>
    </row>
    <row r="532" spans="2:3">
      <c r="B532" s="2"/>
      <c r="C532" s="5"/>
    </row>
    <row r="533" spans="2:3">
      <c r="B533" s="2"/>
      <c r="C533" s="5"/>
    </row>
    <row r="534" spans="2:3">
      <c r="B534" s="2"/>
      <c r="C534" s="5"/>
    </row>
    <row r="535" spans="2:3">
      <c r="B535" s="2"/>
      <c r="C535" s="5"/>
    </row>
    <row r="536" spans="2:3">
      <c r="B536" s="2"/>
      <c r="C536" s="5"/>
    </row>
    <row r="537" spans="2:3">
      <c r="B537" s="2"/>
      <c r="C537" s="5"/>
    </row>
    <row r="538" spans="2:3">
      <c r="B538" s="2"/>
      <c r="C538" s="5"/>
    </row>
    <row r="539" spans="2:3">
      <c r="B539" s="2"/>
      <c r="C539" s="5"/>
    </row>
    <row r="540" spans="2:3">
      <c r="B540" s="2"/>
      <c r="C540" s="5"/>
    </row>
    <row r="541" spans="2:3">
      <c r="B541" s="2"/>
      <c r="C541" s="5"/>
    </row>
    <row r="542" spans="2:3">
      <c r="B542" s="2"/>
      <c r="C542" s="5"/>
    </row>
    <row r="543" spans="2:3">
      <c r="B543" s="2"/>
      <c r="C543" s="5"/>
    </row>
    <row r="544" spans="2:3">
      <c r="B544" s="2"/>
      <c r="C544" s="5"/>
    </row>
    <row r="545" spans="2:3">
      <c r="B545" s="2"/>
      <c r="C545" s="5"/>
    </row>
    <row r="546" spans="2:3">
      <c r="B546" s="2"/>
      <c r="C546" s="5"/>
    </row>
    <row r="547" spans="2:3">
      <c r="B547" s="2"/>
      <c r="C547" s="5"/>
    </row>
    <row r="548" spans="2:3">
      <c r="B548" s="2"/>
      <c r="C548" s="5"/>
    </row>
    <row r="549" spans="2:3">
      <c r="B549" s="2"/>
      <c r="C549" s="5"/>
    </row>
    <row r="550" spans="2:3">
      <c r="B550" s="2"/>
      <c r="C550" s="5"/>
    </row>
    <row r="551" spans="2:3">
      <c r="B551" s="2"/>
      <c r="C551" s="5"/>
    </row>
    <row r="552" spans="2:3">
      <c r="B552" s="2"/>
      <c r="C552" s="5"/>
    </row>
    <row r="553" spans="2:3">
      <c r="B553" s="2"/>
      <c r="C553" s="5"/>
    </row>
    <row r="554" spans="2:3">
      <c r="B554" s="2"/>
      <c r="C554" s="5"/>
    </row>
    <row r="555" spans="2:3">
      <c r="B555" s="2"/>
      <c r="C555" s="5"/>
    </row>
    <row r="556" spans="2:3">
      <c r="B556" s="2"/>
      <c r="C556" s="5"/>
    </row>
    <row r="557" spans="2:3">
      <c r="B557" s="2"/>
      <c r="C557" s="5"/>
    </row>
    <row r="558" spans="2:3">
      <c r="B558" s="2"/>
      <c r="C558" s="5"/>
    </row>
    <row r="559" spans="2:3">
      <c r="B559" s="2"/>
      <c r="C559" s="5"/>
    </row>
    <row r="560" spans="2:3">
      <c r="B560" s="2"/>
      <c r="C560" s="5"/>
    </row>
    <row r="561" spans="2:3">
      <c r="B561" s="2"/>
      <c r="C561" s="5"/>
    </row>
    <row r="562" spans="2:3">
      <c r="B562" s="2"/>
      <c r="C562" s="5"/>
    </row>
    <row r="563" spans="2:3">
      <c r="B563" s="2"/>
      <c r="C563" s="5"/>
    </row>
    <row r="564" spans="2:3">
      <c r="B564" s="2"/>
      <c r="C564" s="5"/>
    </row>
    <row r="565" spans="2:3">
      <c r="B565" s="2"/>
      <c r="C565" s="5"/>
    </row>
    <row r="566" spans="2:3">
      <c r="B566" s="2"/>
      <c r="C566" s="5"/>
    </row>
    <row r="567" spans="2:3">
      <c r="B567" s="2"/>
      <c r="C567" s="5"/>
    </row>
    <row r="568" spans="2:3">
      <c r="B568" s="2"/>
      <c r="C568" s="5"/>
    </row>
    <row r="569" spans="2:3">
      <c r="B569" s="2"/>
      <c r="C569" s="5"/>
    </row>
    <row r="570" spans="2:3">
      <c r="B570" s="2"/>
      <c r="C570" s="5"/>
    </row>
    <row r="571" spans="2:3">
      <c r="B571" s="2"/>
      <c r="C571" s="5"/>
    </row>
    <row r="572" spans="2:3">
      <c r="B572" s="2"/>
      <c r="C572" s="5"/>
    </row>
    <row r="573" spans="2:3">
      <c r="B573" s="2"/>
      <c r="C573" s="5"/>
    </row>
    <row r="574" spans="2:3">
      <c r="B574" s="2"/>
      <c r="C574" s="5"/>
    </row>
    <row r="575" spans="2:3">
      <c r="B575" s="2"/>
      <c r="C575" s="5"/>
    </row>
    <row r="576" spans="2:3">
      <c r="B576" s="2"/>
      <c r="C576" s="5"/>
    </row>
    <row r="577" spans="2:3">
      <c r="B577" s="2"/>
      <c r="C577" s="5"/>
    </row>
    <row r="578" spans="2:3">
      <c r="B578" s="2"/>
      <c r="C578" s="5"/>
    </row>
    <row r="579" spans="2:3">
      <c r="B579" s="2"/>
      <c r="C579" s="5"/>
    </row>
    <row r="580" spans="2:3">
      <c r="B580" s="2"/>
      <c r="C580" s="5"/>
    </row>
    <row r="581" spans="2:3">
      <c r="B581" s="2"/>
      <c r="C581" s="5"/>
    </row>
    <row r="582" spans="2:3">
      <c r="B582" s="2"/>
      <c r="C582" s="5"/>
    </row>
    <row r="583" spans="2:3">
      <c r="B583" s="2"/>
      <c r="C583" s="5"/>
    </row>
    <row r="584" spans="2:3">
      <c r="B584" s="2"/>
      <c r="C584" s="5"/>
    </row>
    <row r="585" spans="2:3">
      <c r="B585" s="2"/>
      <c r="C585" s="5"/>
    </row>
    <row r="586" spans="2:3">
      <c r="B586" s="2"/>
      <c r="C586" s="5"/>
    </row>
    <row r="587" spans="2:3">
      <c r="B587" s="2"/>
      <c r="C587" s="5"/>
    </row>
    <row r="588" spans="2:3">
      <c r="B588" s="2"/>
      <c r="C588" s="5"/>
    </row>
    <row r="589" spans="2:3">
      <c r="B589" s="2"/>
      <c r="C589" s="5"/>
    </row>
    <row r="590" spans="2:3">
      <c r="B590" s="2"/>
      <c r="C590" s="5"/>
    </row>
    <row r="591" spans="2:3">
      <c r="B591" s="2"/>
      <c r="C591" s="5"/>
    </row>
    <row r="592" spans="2:3">
      <c r="B592" s="2"/>
      <c r="C592" s="5"/>
    </row>
    <row r="593" spans="2:3">
      <c r="B593" s="2"/>
      <c r="C593" s="5"/>
    </row>
    <row r="594" spans="2:3">
      <c r="B594" s="2"/>
      <c r="C594" s="5"/>
    </row>
    <row r="595" spans="2:3">
      <c r="B595" s="2"/>
      <c r="C595" s="5"/>
    </row>
    <row r="596" spans="2:3">
      <c r="B596" s="2"/>
      <c r="C596" s="5"/>
    </row>
    <row r="597" spans="2:3">
      <c r="B597" s="2"/>
      <c r="C597" s="5"/>
    </row>
    <row r="598" spans="2:3">
      <c r="B598" s="2"/>
      <c r="C598" s="5"/>
    </row>
    <row r="599" spans="2:3">
      <c r="B599" s="2"/>
      <c r="C599" s="5"/>
    </row>
    <row r="600" spans="2:3">
      <c r="B600" s="2"/>
      <c r="C600" s="5"/>
    </row>
    <row r="601" spans="2:3">
      <c r="B601" s="2"/>
      <c r="C601" s="5"/>
    </row>
    <row r="602" spans="2:3">
      <c r="B602" s="2"/>
      <c r="C602" s="5"/>
    </row>
    <row r="603" spans="2:3">
      <c r="B603" s="2"/>
      <c r="C603" s="5"/>
    </row>
    <row r="604" spans="2:3">
      <c r="B604" s="2"/>
      <c r="C604" s="5"/>
    </row>
    <row r="605" spans="2:3">
      <c r="B605" s="2"/>
      <c r="C605" s="5"/>
    </row>
    <row r="606" spans="2:3">
      <c r="B606" s="2"/>
      <c r="C606" s="5"/>
    </row>
    <row r="607" spans="2:3">
      <c r="B607" s="2"/>
      <c r="C607" s="5"/>
    </row>
    <row r="608" spans="2:3">
      <c r="B608" s="2"/>
      <c r="C608" s="5"/>
    </row>
    <row r="609" spans="2:3">
      <c r="B609" s="2"/>
      <c r="C609" s="5"/>
    </row>
    <row r="610" spans="2:3">
      <c r="B610" s="2"/>
      <c r="C610" s="5"/>
    </row>
    <row r="611" spans="2:3">
      <c r="B611" s="2"/>
      <c r="C611" s="5"/>
    </row>
    <row r="612" spans="2:3">
      <c r="B612" s="2"/>
      <c r="C612" s="5"/>
    </row>
    <row r="613" spans="2:3">
      <c r="B613" s="2"/>
      <c r="C613" s="5"/>
    </row>
    <row r="614" spans="2:3">
      <c r="B614" s="2"/>
      <c r="C614" s="5"/>
    </row>
    <row r="615" spans="2:3">
      <c r="B615" s="2"/>
      <c r="C615" s="5"/>
    </row>
    <row r="616" spans="2:3">
      <c r="B616" s="2"/>
      <c r="C616" s="5"/>
    </row>
    <row r="617" spans="2:3">
      <c r="B617" s="2"/>
      <c r="C617" s="5"/>
    </row>
    <row r="618" spans="2:3">
      <c r="B618" s="2"/>
      <c r="C618" s="5"/>
    </row>
    <row r="619" spans="2:3">
      <c r="B619" s="2"/>
      <c r="C619" s="5"/>
    </row>
    <row r="620" spans="2:3">
      <c r="B620" s="2"/>
      <c r="C620" s="5"/>
    </row>
    <row r="621" spans="2:3">
      <c r="B621" s="2"/>
      <c r="C621" s="5"/>
    </row>
    <row r="622" spans="2:3">
      <c r="B622" s="2"/>
      <c r="C622" s="5"/>
    </row>
    <row r="623" spans="2:3">
      <c r="B623" s="2"/>
      <c r="C623" s="5"/>
    </row>
    <row r="624" spans="2:3">
      <c r="B624" s="2"/>
      <c r="C624" s="5"/>
    </row>
    <row r="625" spans="2:3">
      <c r="B625" s="2"/>
      <c r="C625" s="5"/>
    </row>
    <row r="626" spans="2:3">
      <c r="B626" s="2"/>
      <c r="C626" s="5"/>
    </row>
    <row r="627" spans="2:3">
      <c r="B627" s="2"/>
      <c r="C627" s="5"/>
    </row>
    <row r="628" spans="2:3">
      <c r="B628" s="2"/>
      <c r="C628" s="5"/>
    </row>
    <row r="629" spans="2:3">
      <c r="B629" s="2"/>
      <c r="C629" s="5"/>
    </row>
    <row r="630" spans="2:3">
      <c r="B630" s="2"/>
      <c r="C630" s="5"/>
    </row>
    <row r="631" spans="2:3">
      <c r="B631" s="2"/>
      <c r="C631" s="5"/>
    </row>
    <row r="632" spans="2:3">
      <c r="B632" s="2"/>
      <c r="C632" s="5"/>
    </row>
    <row r="633" spans="2:3">
      <c r="B633" s="2"/>
      <c r="C633" s="5"/>
    </row>
    <row r="634" spans="2:3">
      <c r="B634" s="2"/>
      <c r="C634" s="5"/>
    </row>
    <row r="635" spans="2:3">
      <c r="B635" s="2"/>
      <c r="C635" s="5"/>
    </row>
    <row r="636" spans="2:3">
      <c r="B636" s="2"/>
      <c r="C636" s="5"/>
    </row>
    <row r="637" spans="2:3">
      <c r="B637" s="2"/>
      <c r="C637" s="5"/>
    </row>
    <row r="638" spans="2:3">
      <c r="B638" s="2"/>
      <c r="C638" s="5"/>
    </row>
    <row r="639" spans="2:3">
      <c r="B639" s="2"/>
      <c r="C639" s="5"/>
    </row>
    <row r="640" spans="2:3">
      <c r="B640" s="2"/>
      <c r="C640" s="5"/>
    </row>
    <row r="641" spans="2:3">
      <c r="B641" s="2"/>
      <c r="C641" s="5"/>
    </row>
    <row r="642" spans="2:3">
      <c r="B642" s="2"/>
      <c r="C642" s="5"/>
    </row>
    <row r="643" spans="2:3">
      <c r="B643" s="2"/>
      <c r="C643" s="5"/>
    </row>
    <row r="644" spans="2:3">
      <c r="B644" s="2"/>
      <c r="C644" s="5"/>
    </row>
    <row r="645" spans="2:3">
      <c r="B645" s="2"/>
      <c r="C645" s="5"/>
    </row>
    <row r="646" spans="2:3">
      <c r="B646" s="2"/>
      <c r="C646" s="5"/>
    </row>
    <row r="647" spans="2:3">
      <c r="B647" s="2"/>
      <c r="C647" s="5"/>
    </row>
    <row r="648" spans="2:3">
      <c r="B648" s="2"/>
      <c r="C648" s="5"/>
    </row>
    <row r="649" spans="2:3">
      <c r="B649" s="2"/>
      <c r="C649" s="5"/>
    </row>
    <row r="650" spans="2:3">
      <c r="B650" s="2"/>
      <c r="C650" s="5"/>
    </row>
    <row r="651" spans="2:3">
      <c r="B651" s="2"/>
      <c r="C651" s="5"/>
    </row>
    <row r="652" spans="2:3">
      <c r="B652" s="2"/>
      <c r="C652" s="5"/>
    </row>
    <row r="653" spans="2:3">
      <c r="B653" s="2"/>
      <c r="C653" s="5"/>
    </row>
    <row r="654" spans="2:3">
      <c r="B654" s="2"/>
      <c r="C654" s="5"/>
    </row>
    <row r="655" spans="2:3">
      <c r="B655" s="2"/>
      <c r="C655" s="5"/>
    </row>
    <row r="656" spans="2:3">
      <c r="B656" s="2"/>
      <c r="C656" s="5"/>
    </row>
    <row r="657" spans="2:3">
      <c r="B657" s="2"/>
      <c r="C657" s="5"/>
    </row>
    <row r="658" spans="2:3">
      <c r="B658" s="2"/>
      <c r="C658" s="5"/>
    </row>
    <row r="659" spans="2:3">
      <c r="B659" s="2"/>
      <c r="C659" s="5"/>
    </row>
    <row r="660" spans="2:3">
      <c r="B660" s="2"/>
      <c r="C660" s="5"/>
    </row>
    <row r="661" spans="2:3">
      <c r="B661" s="2"/>
      <c r="C661" s="5"/>
    </row>
    <row r="662" spans="2:3">
      <c r="B662" s="2"/>
      <c r="C662" s="5"/>
    </row>
    <row r="663" spans="2:3">
      <c r="B663" s="2"/>
      <c r="C663" s="5"/>
    </row>
    <row r="664" spans="2:3">
      <c r="B664" s="2"/>
      <c r="C664" s="5"/>
    </row>
    <row r="665" spans="2:3">
      <c r="B665" s="2"/>
      <c r="C665" s="5"/>
    </row>
    <row r="666" spans="2:3">
      <c r="B666" s="2"/>
      <c r="C666" s="5"/>
    </row>
    <row r="667" spans="2:3">
      <c r="B667" s="2"/>
      <c r="C667" s="5"/>
    </row>
    <row r="668" spans="2:3">
      <c r="B668" s="2"/>
      <c r="C668" s="5"/>
    </row>
    <row r="669" spans="2:3">
      <c r="B669" s="2"/>
      <c r="C669" s="5"/>
    </row>
    <row r="670" spans="2:3">
      <c r="B670" s="2"/>
      <c r="C670" s="5"/>
    </row>
    <row r="671" spans="2:3">
      <c r="B671" s="2"/>
      <c r="C671" s="5"/>
    </row>
    <row r="672" spans="2:3">
      <c r="B672" s="2"/>
      <c r="C672" s="5"/>
    </row>
    <row r="673" spans="2:3">
      <c r="B673" s="2"/>
      <c r="C673" s="5"/>
    </row>
    <row r="674" spans="2:3">
      <c r="B674" s="2"/>
      <c r="C674" s="5"/>
    </row>
    <row r="675" spans="2:3">
      <c r="B675" s="2"/>
      <c r="C675" s="5"/>
    </row>
    <row r="676" spans="2:3">
      <c r="B676" s="2"/>
      <c r="C676" s="5"/>
    </row>
    <row r="677" spans="2:3">
      <c r="B677" s="2"/>
      <c r="C677" s="5"/>
    </row>
    <row r="678" spans="2:3">
      <c r="B678" s="2"/>
      <c r="C678" s="5"/>
    </row>
    <row r="679" spans="2:3">
      <c r="B679" s="2"/>
      <c r="C679" s="5"/>
    </row>
    <row r="680" spans="2:3">
      <c r="B680" s="2"/>
      <c r="C680" s="5"/>
    </row>
    <row r="681" spans="2:3">
      <c r="B681" s="2"/>
      <c r="C681" s="5"/>
    </row>
    <row r="682" spans="2:3">
      <c r="B682" s="2"/>
      <c r="C682" s="5"/>
    </row>
    <row r="683" spans="2:3">
      <c r="B683" s="2"/>
      <c r="C683" s="5"/>
    </row>
    <row r="684" spans="2:3">
      <c r="B684" s="2"/>
      <c r="C684" s="5"/>
    </row>
    <row r="685" spans="2:3">
      <c r="B685" s="2"/>
      <c r="C685" s="5"/>
    </row>
    <row r="686" spans="2:3">
      <c r="B686" s="2"/>
      <c r="C686" s="5"/>
    </row>
    <row r="687" spans="2:3">
      <c r="B687" s="2"/>
      <c r="C687" s="5"/>
    </row>
    <row r="688" spans="2:3">
      <c r="B688" s="2"/>
      <c r="C688" s="5"/>
    </row>
    <row r="689" spans="2:3">
      <c r="B689" s="2"/>
      <c r="C689" s="5"/>
    </row>
    <row r="690" spans="2:3">
      <c r="B690" s="2"/>
      <c r="C690" s="5"/>
    </row>
    <row r="691" spans="2:3">
      <c r="B691" s="2"/>
      <c r="C691" s="5"/>
    </row>
    <row r="692" spans="2:3">
      <c r="B692" s="2"/>
      <c r="C692" s="5"/>
    </row>
    <row r="693" spans="2:3">
      <c r="B693" s="2"/>
      <c r="C693" s="5"/>
    </row>
    <row r="694" spans="2:3">
      <c r="B694" s="2"/>
      <c r="C694" s="5"/>
    </row>
    <row r="695" spans="2:3">
      <c r="B695" s="2"/>
      <c r="C695" s="5"/>
    </row>
    <row r="696" spans="2:3">
      <c r="B696" s="2"/>
      <c r="C696" s="5"/>
    </row>
    <row r="697" spans="2:3">
      <c r="B697" s="2"/>
      <c r="C697" s="5"/>
    </row>
    <row r="698" spans="2:3">
      <c r="B698" s="2"/>
      <c r="C698" s="5"/>
    </row>
    <row r="699" spans="2:3">
      <c r="B699" s="2"/>
      <c r="C699" s="5"/>
    </row>
    <row r="700" spans="2:3">
      <c r="B700" s="2"/>
      <c r="C700" s="5"/>
    </row>
    <row r="701" spans="2:3">
      <c r="B701" s="2"/>
      <c r="C701" s="5"/>
    </row>
    <row r="702" spans="2:3">
      <c r="B702" s="2"/>
      <c r="C702" s="5"/>
    </row>
    <row r="703" spans="2:3">
      <c r="B703" s="2"/>
      <c r="C703" s="5"/>
    </row>
    <row r="704" spans="2:3">
      <c r="B704" s="2"/>
      <c r="C704" s="5"/>
    </row>
    <row r="705" spans="2:3">
      <c r="B705" s="2"/>
      <c r="C705" s="5"/>
    </row>
    <row r="706" spans="2:3">
      <c r="B706" s="2"/>
      <c r="C706" s="5"/>
    </row>
    <row r="707" spans="2:3">
      <c r="B707" s="2"/>
      <c r="C707" s="5"/>
    </row>
    <row r="708" spans="2:3">
      <c r="B708" s="2"/>
      <c r="C708" s="5"/>
    </row>
    <row r="709" spans="2:3">
      <c r="B709" s="2"/>
      <c r="C709" s="5"/>
    </row>
    <row r="710" spans="2:3">
      <c r="B710" s="2"/>
      <c r="C710" s="5"/>
    </row>
    <row r="711" spans="2:3">
      <c r="B711" s="2"/>
      <c r="C711" s="5"/>
    </row>
    <row r="712" spans="2:3">
      <c r="B712" s="2"/>
      <c r="C712" s="5"/>
    </row>
    <row r="713" spans="2:3">
      <c r="B713" s="2"/>
      <c r="C713" s="5"/>
    </row>
    <row r="714" spans="2:3">
      <c r="B714" s="2"/>
      <c r="C714" s="5"/>
    </row>
    <row r="715" spans="2:3">
      <c r="B715" s="2"/>
      <c r="C715" s="5"/>
    </row>
    <row r="716" spans="2:3">
      <c r="B716" s="2"/>
      <c r="C716" s="5"/>
    </row>
    <row r="717" spans="2:3">
      <c r="B717" s="2"/>
      <c r="C717" s="5"/>
    </row>
    <row r="718" spans="2:3">
      <c r="B718" s="2"/>
      <c r="C718" s="5"/>
    </row>
    <row r="719" spans="2:3">
      <c r="B719" s="2"/>
      <c r="C719" s="5"/>
    </row>
    <row r="720" spans="2:3">
      <c r="B720" s="2"/>
      <c r="C720" s="5"/>
    </row>
    <row r="721" spans="2:3">
      <c r="B721" s="2"/>
      <c r="C721" s="5"/>
    </row>
    <row r="722" spans="2:3">
      <c r="B722" s="2"/>
      <c r="C722" s="5"/>
    </row>
    <row r="723" spans="2:3">
      <c r="B723" s="2"/>
      <c r="C723" s="5"/>
    </row>
    <row r="724" spans="2:3">
      <c r="B724" s="2"/>
      <c r="C724" s="5"/>
    </row>
    <row r="725" spans="2:3">
      <c r="B725" s="2"/>
      <c r="C725" s="5"/>
    </row>
    <row r="726" spans="2:3">
      <c r="B726" s="2"/>
      <c r="C726" s="5"/>
    </row>
    <row r="727" spans="2:3">
      <c r="B727" s="2"/>
      <c r="C727" s="5"/>
    </row>
    <row r="728" spans="2:3">
      <c r="B728" s="2"/>
      <c r="C728" s="5"/>
    </row>
    <row r="729" spans="2:3">
      <c r="B729" s="2"/>
      <c r="C729" s="5"/>
    </row>
    <row r="730" spans="2:3">
      <c r="B730" s="2"/>
      <c r="C730" s="5"/>
    </row>
    <row r="731" spans="2:3">
      <c r="B731" s="2"/>
      <c r="C731" s="5"/>
    </row>
    <row r="732" spans="2:3">
      <c r="B732" s="2"/>
      <c r="C732" s="5"/>
    </row>
    <row r="733" spans="2:3">
      <c r="B733" s="2"/>
      <c r="C733" s="5"/>
    </row>
    <row r="734" spans="2:3">
      <c r="B734" s="2"/>
      <c r="C734" s="5"/>
    </row>
    <row r="735" spans="2:3">
      <c r="B735" s="2"/>
      <c r="C735" s="5"/>
    </row>
    <row r="736" spans="2:3">
      <c r="B736" s="2"/>
      <c r="C736" s="5"/>
    </row>
    <row r="737" spans="2:3">
      <c r="B737" s="2"/>
      <c r="C737" s="5"/>
    </row>
    <row r="738" spans="2:3">
      <c r="B738" s="2"/>
      <c r="C738" s="5"/>
    </row>
    <row r="739" spans="2:3">
      <c r="B739" s="2"/>
      <c r="C739" s="5"/>
    </row>
    <row r="740" spans="2:3">
      <c r="B740" s="2"/>
      <c r="C740" s="5"/>
    </row>
    <row r="741" spans="2:3">
      <c r="B741" s="2"/>
      <c r="C741" s="5"/>
    </row>
    <row r="742" spans="2:3">
      <c r="B742" s="2"/>
      <c r="C742" s="5"/>
    </row>
    <row r="743" spans="2:3">
      <c r="B743" s="2"/>
      <c r="C743" s="5"/>
    </row>
    <row r="744" spans="2:3">
      <c r="B744" s="2"/>
      <c r="C744" s="5"/>
    </row>
    <row r="745" spans="2:3">
      <c r="B745" s="2"/>
      <c r="C745" s="5"/>
    </row>
    <row r="746" spans="2:3">
      <c r="B746" s="2"/>
      <c r="C746" s="5"/>
    </row>
    <row r="747" spans="2:3">
      <c r="B747" s="2"/>
      <c r="C747" s="5"/>
    </row>
    <row r="748" spans="2:3">
      <c r="B748" s="2"/>
      <c r="C748" s="5"/>
    </row>
    <row r="749" spans="2:3">
      <c r="B749" s="2"/>
      <c r="C749" s="5"/>
    </row>
    <row r="750" spans="2:3">
      <c r="B750" s="2"/>
      <c r="C750" s="5"/>
    </row>
    <row r="751" spans="2:3">
      <c r="B751" s="2"/>
      <c r="C751" s="5"/>
    </row>
    <row r="752" spans="2:3">
      <c r="B752" s="2"/>
      <c r="C752" s="5"/>
    </row>
    <row r="753" spans="2:3">
      <c r="B753" s="2"/>
      <c r="C753" s="5"/>
    </row>
    <row r="754" spans="2:3">
      <c r="B754" s="2"/>
      <c r="C754" s="5"/>
    </row>
    <row r="755" spans="2:3">
      <c r="B755" s="2"/>
      <c r="C755" s="5"/>
    </row>
    <row r="756" spans="2:3">
      <c r="B756" s="2"/>
      <c r="C756" s="5"/>
    </row>
    <row r="757" spans="2:3">
      <c r="B757" s="2"/>
      <c r="C757" s="5"/>
    </row>
    <row r="758" spans="2:3">
      <c r="B758" s="2"/>
      <c r="C758" s="5"/>
    </row>
    <row r="759" spans="2:3">
      <c r="B759" s="2"/>
      <c r="C759" s="5"/>
    </row>
    <row r="760" spans="2:3">
      <c r="B760" s="2"/>
      <c r="C760" s="5"/>
    </row>
    <row r="761" spans="2:3">
      <c r="B761" s="2"/>
      <c r="C761" s="5"/>
    </row>
    <row r="762" spans="2:3">
      <c r="B762" s="2"/>
      <c r="C762" s="5"/>
    </row>
    <row r="763" spans="2:3">
      <c r="B763" s="2"/>
      <c r="C763" s="5"/>
    </row>
    <row r="764" spans="2:3">
      <c r="B764" s="2"/>
      <c r="C764" s="5"/>
    </row>
    <row r="765" spans="2:3">
      <c r="B765" s="2"/>
      <c r="C765" s="5"/>
    </row>
    <row r="766" spans="2:3">
      <c r="B766" s="2"/>
      <c r="C766" s="5"/>
    </row>
    <row r="767" spans="2:3">
      <c r="B767" s="2"/>
      <c r="C767" s="5"/>
    </row>
    <row r="768" spans="2:3">
      <c r="B768" s="2"/>
      <c r="C768" s="5"/>
    </row>
    <row r="769" spans="2:3">
      <c r="B769" s="2"/>
      <c r="C769" s="5"/>
    </row>
    <row r="770" spans="2:3">
      <c r="B770" s="2"/>
      <c r="C770" s="5"/>
    </row>
    <row r="771" spans="2:3">
      <c r="B771" s="2"/>
      <c r="C771" s="5"/>
    </row>
    <row r="772" spans="2:3">
      <c r="B772" s="2"/>
      <c r="C772" s="5"/>
    </row>
    <row r="773" spans="2:3">
      <c r="B773" s="2"/>
      <c r="C773" s="5"/>
    </row>
    <row r="774" spans="2:3">
      <c r="B774" s="2"/>
      <c r="C774" s="5"/>
    </row>
    <row r="775" spans="2:3">
      <c r="B775" s="2"/>
      <c r="C775" s="5"/>
    </row>
    <row r="776" spans="2:3">
      <c r="B776" s="2"/>
      <c r="C776" s="5"/>
    </row>
    <row r="777" spans="2:3">
      <c r="B777" s="2"/>
      <c r="C777" s="5"/>
    </row>
    <row r="778" spans="2:3">
      <c r="B778" s="2"/>
      <c r="C778" s="5"/>
    </row>
    <row r="779" spans="2:3">
      <c r="B779" s="2"/>
      <c r="C779" s="5"/>
    </row>
    <row r="780" spans="2:3">
      <c r="B780" s="2"/>
      <c r="C780" s="5"/>
    </row>
    <row r="781" spans="2:3">
      <c r="B781" s="2"/>
      <c r="C781" s="5"/>
    </row>
    <row r="782" spans="2:3">
      <c r="B782" s="2"/>
      <c r="C782" s="5"/>
    </row>
    <row r="783" spans="2:3">
      <c r="B783" s="2"/>
      <c r="C783" s="5"/>
    </row>
    <row r="784" spans="2:3">
      <c r="B784" s="2"/>
      <c r="C784" s="5"/>
    </row>
    <row r="785" spans="2:3">
      <c r="B785" s="2"/>
      <c r="C785" s="5"/>
    </row>
    <row r="786" spans="2:3">
      <c r="B786" s="2"/>
      <c r="C786" s="5"/>
    </row>
    <row r="787" spans="2:3">
      <c r="B787" s="2"/>
      <c r="C787" s="5"/>
    </row>
    <row r="788" spans="2:3">
      <c r="B788" s="2"/>
      <c r="C788" s="5"/>
    </row>
    <row r="789" spans="2:3">
      <c r="B789" s="2"/>
      <c r="C789" s="5"/>
    </row>
    <row r="790" spans="2:3">
      <c r="B790" s="2"/>
      <c r="C790" s="5"/>
    </row>
    <row r="791" spans="2:3">
      <c r="B791" s="2"/>
      <c r="C791" s="5"/>
    </row>
    <row r="792" spans="2:3">
      <c r="B792" s="2"/>
      <c r="C792" s="5"/>
    </row>
    <row r="793" spans="2:3">
      <c r="B793" s="2"/>
      <c r="C793" s="5"/>
    </row>
    <row r="794" spans="2:3">
      <c r="B794" s="2"/>
      <c r="C794" s="5"/>
    </row>
    <row r="795" spans="2:3">
      <c r="B795" s="2"/>
      <c r="C795" s="5"/>
    </row>
    <row r="796" spans="2:3">
      <c r="B796" s="2"/>
      <c r="C796" s="5"/>
    </row>
    <row r="797" spans="2:3">
      <c r="B797" s="2"/>
      <c r="C797" s="5"/>
    </row>
    <row r="798" spans="2:3">
      <c r="B798" s="2"/>
      <c r="C798" s="5"/>
    </row>
    <row r="799" spans="2:3">
      <c r="B799" s="2"/>
      <c r="C799" s="5"/>
    </row>
    <row r="800" spans="2:3">
      <c r="B800" s="2"/>
      <c r="C800" s="5"/>
    </row>
    <row r="801" spans="2:3">
      <c r="B801" s="2"/>
      <c r="C801" s="5"/>
    </row>
    <row r="802" spans="2:3">
      <c r="B802" s="2"/>
      <c r="C802" s="5"/>
    </row>
    <row r="803" spans="2:3">
      <c r="B803" s="2"/>
      <c r="C803" s="5"/>
    </row>
    <row r="804" spans="2:3">
      <c r="B804" s="2"/>
      <c r="C804" s="5"/>
    </row>
    <row r="805" spans="2:3">
      <c r="B805" s="2"/>
      <c r="C805" s="5"/>
    </row>
    <row r="806" spans="2:3">
      <c r="B806" s="2"/>
      <c r="C806" s="5"/>
    </row>
    <row r="807" spans="2:3">
      <c r="B807" s="2"/>
      <c r="C807" s="5"/>
    </row>
    <row r="808" spans="2:3">
      <c r="B808" s="2"/>
      <c r="C808" s="5"/>
    </row>
    <row r="809" spans="2:3">
      <c r="B809" s="2"/>
      <c r="C809" s="5"/>
    </row>
    <row r="810" spans="2:3">
      <c r="B810" s="2"/>
      <c r="C810" s="5"/>
    </row>
    <row r="811" spans="2:3">
      <c r="B811" s="2"/>
      <c r="C811" s="5"/>
    </row>
    <row r="812" spans="2:3">
      <c r="B812" s="2"/>
      <c r="C812" s="5"/>
    </row>
    <row r="813" spans="2:3">
      <c r="B813" s="2"/>
      <c r="C813" s="5"/>
    </row>
    <row r="814" spans="2:3">
      <c r="B814" s="2"/>
      <c r="C814" s="5"/>
    </row>
    <row r="815" spans="2:3">
      <c r="B815" s="2"/>
      <c r="C815" s="5"/>
    </row>
    <row r="816" spans="2:3">
      <c r="B816" s="2"/>
      <c r="C816" s="5"/>
    </row>
    <row r="817" spans="2:3">
      <c r="B817" s="2"/>
      <c r="C817" s="5"/>
    </row>
    <row r="818" spans="2:3">
      <c r="B818" s="2"/>
      <c r="C818" s="5"/>
    </row>
    <row r="819" spans="2:3">
      <c r="B819" s="2"/>
      <c r="C819" s="5"/>
    </row>
    <row r="820" spans="2:3">
      <c r="B820" s="2"/>
      <c r="C820" s="5"/>
    </row>
    <row r="821" spans="2:3">
      <c r="B821" s="2"/>
      <c r="C821" s="5"/>
    </row>
    <row r="822" spans="2:3">
      <c r="B822" s="2"/>
      <c r="C822" s="5"/>
    </row>
    <row r="823" spans="2:3">
      <c r="B823" s="2"/>
      <c r="C823" s="5"/>
    </row>
    <row r="824" spans="2:3">
      <c r="B824" s="2"/>
      <c r="C824" s="5"/>
    </row>
    <row r="825" spans="2:3">
      <c r="B825" s="2"/>
      <c r="C825" s="5"/>
    </row>
    <row r="826" spans="2:3">
      <c r="B826" s="2"/>
      <c r="C826" s="5"/>
    </row>
    <row r="827" spans="2:3">
      <c r="B827" s="2"/>
      <c r="C827" s="5"/>
    </row>
    <row r="828" spans="2:3">
      <c r="B828" s="2"/>
      <c r="C828" s="5"/>
    </row>
    <row r="829" spans="2:3">
      <c r="B829" s="2"/>
      <c r="C829" s="5"/>
    </row>
    <row r="830" spans="2:3">
      <c r="B830" s="2"/>
      <c r="C830" s="5"/>
    </row>
    <row r="831" spans="2:3">
      <c r="B831" s="2"/>
      <c r="C831" s="5"/>
    </row>
    <row r="832" spans="2:3">
      <c r="B832" s="2"/>
      <c r="C832" s="5"/>
    </row>
    <row r="833" spans="2:3">
      <c r="B833" s="2"/>
      <c r="C833" s="5"/>
    </row>
    <row r="834" spans="2:3">
      <c r="B834" s="2"/>
      <c r="C834" s="5"/>
    </row>
    <row r="835" spans="2:3">
      <c r="B835" s="2"/>
      <c r="C835" s="5"/>
    </row>
    <row r="836" spans="2:3">
      <c r="B836" s="2"/>
      <c r="C836" s="5"/>
    </row>
    <row r="837" spans="2:3">
      <c r="B837" s="2"/>
      <c r="C837" s="5"/>
    </row>
    <row r="838" spans="2:3">
      <c r="B838" s="2"/>
      <c r="C838" s="5"/>
    </row>
    <row r="839" spans="2:3">
      <c r="B839" s="2"/>
      <c r="C839" s="5"/>
    </row>
    <row r="840" spans="2:3">
      <c r="B840" s="2"/>
      <c r="C840" s="5"/>
    </row>
    <row r="841" spans="2:3">
      <c r="B841" s="2"/>
      <c r="C841" s="5"/>
    </row>
    <row r="842" spans="2:3">
      <c r="B842" s="2"/>
      <c r="C842" s="5"/>
    </row>
    <row r="843" spans="2:3">
      <c r="B843" s="2"/>
      <c r="C843" s="5"/>
    </row>
    <row r="844" spans="2:3">
      <c r="B844" s="2"/>
      <c r="C844" s="5"/>
    </row>
    <row r="845" spans="2:3">
      <c r="B845" s="2"/>
      <c r="C845" s="5"/>
    </row>
    <row r="846" spans="2:3">
      <c r="B846" s="2"/>
      <c r="C846" s="5"/>
    </row>
    <row r="847" spans="2:3">
      <c r="B847" s="2"/>
      <c r="C847" s="5"/>
    </row>
    <row r="848" spans="2:3">
      <c r="B848" s="2"/>
      <c r="C848" s="5"/>
    </row>
    <row r="849" spans="2:3">
      <c r="B849" s="2"/>
      <c r="C849" s="5"/>
    </row>
    <row r="850" spans="2:3">
      <c r="B850" s="2"/>
      <c r="C850" s="5"/>
    </row>
    <row r="851" spans="2:3">
      <c r="B851" s="2"/>
      <c r="C851" s="5"/>
    </row>
    <row r="852" spans="2:3">
      <c r="B852" s="2"/>
      <c r="C852" s="5"/>
    </row>
    <row r="853" spans="2:3">
      <c r="B853" s="2"/>
      <c r="C853" s="5"/>
    </row>
    <row r="854" spans="2:3">
      <c r="B854" s="2"/>
      <c r="C854" s="5"/>
    </row>
    <row r="855" spans="2:3">
      <c r="B855" s="2"/>
      <c r="C855" s="5"/>
    </row>
    <row r="856" spans="2:3">
      <c r="B856" s="2"/>
      <c r="C856" s="5"/>
    </row>
    <row r="857" spans="2:3">
      <c r="B857" s="2"/>
      <c r="C857" s="5"/>
    </row>
    <row r="858" spans="2:3">
      <c r="B858" s="2"/>
      <c r="C858" s="5"/>
    </row>
    <row r="859" spans="2:3">
      <c r="B859" s="2"/>
      <c r="C859" s="5"/>
    </row>
    <row r="860" spans="2:3">
      <c r="B860" s="2"/>
      <c r="C860" s="5"/>
    </row>
    <row r="861" spans="2:3">
      <c r="B861" s="2"/>
      <c r="C861" s="5"/>
    </row>
    <row r="862" spans="2:3">
      <c r="B862" s="2"/>
      <c r="C862" s="5"/>
    </row>
    <row r="863" spans="2:3">
      <c r="B863" s="2"/>
      <c r="C863" s="5"/>
    </row>
    <row r="864" spans="2:3">
      <c r="B864" s="2"/>
      <c r="C864" s="5"/>
    </row>
    <row r="865" spans="2:3">
      <c r="B865" s="2"/>
      <c r="C865" s="5"/>
    </row>
    <row r="866" spans="2:3">
      <c r="B866" s="2"/>
      <c r="C866" s="5"/>
    </row>
    <row r="867" spans="2:3">
      <c r="B867" s="2"/>
      <c r="C867" s="5"/>
    </row>
    <row r="868" spans="2:3">
      <c r="B868" s="2"/>
      <c r="C868" s="5"/>
    </row>
    <row r="869" spans="2:3">
      <c r="B869" s="2"/>
      <c r="C869" s="5"/>
    </row>
    <row r="870" spans="2:3">
      <c r="B870" s="2"/>
      <c r="C870" s="5"/>
    </row>
    <row r="871" spans="2:3">
      <c r="B871" s="2"/>
      <c r="C871" s="5"/>
    </row>
    <row r="872" spans="2:3">
      <c r="B872" s="2"/>
      <c r="C872" s="5"/>
    </row>
    <row r="873" spans="2:3">
      <c r="B873" s="2"/>
      <c r="C873" s="5"/>
    </row>
    <row r="874" spans="2:3">
      <c r="B874" s="2"/>
      <c r="C874" s="5"/>
    </row>
    <row r="875" spans="2:3">
      <c r="B875" s="2"/>
      <c r="C875" s="5"/>
    </row>
    <row r="876" spans="2:3">
      <c r="B876" s="2"/>
      <c r="C876" s="5"/>
    </row>
    <row r="877" spans="2:3">
      <c r="B877" s="2"/>
      <c r="C877" s="5"/>
    </row>
    <row r="878" spans="2:3">
      <c r="B878" s="2"/>
      <c r="C878" s="5"/>
    </row>
    <row r="879" spans="2:3">
      <c r="B879" s="2"/>
      <c r="C879" s="5"/>
    </row>
    <row r="880" spans="2:3">
      <c r="B880" s="2"/>
      <c r="C880" s="5"/>
    </row>
    <row r="881" spans="2:3">
      <c r="B881" s="2"/>
      <c r="C881" s="5"/>
    </row>
    <row r="882" spans="2:3">
      <c r="B882" s="2"/>
      <c r="C882" s="5"/>
    </row>
    <row r="883" spans="2:3">
      <c r="B883" s="2"/>
      <c r="C883" s="5"/>
    </row>
    <row r="884" spans="2:3">
      <c r="B884" s="2"/>
      <c r="C884" s="5"/>
    </row>
    <row r="885" spans="2:3">
      <c r="B885" s="2"/>
      <c r="C885" s="5"/>
    </row>
    <row r="886" spans="2:3">
      <c r="B886" s="2"/>
      <c r="C886" s="5"/>
    </row>
    <row r="887" spans="2:3">
      <c r="B887" s="2"/>
      <c r="C887" s="5"/>
    </row>
    <row r="888" spans="2:3">
      <c r="B888" s="2"/>
      <c r="C888" s="5"/>
    </row>
    <row r="889" spans="2:3">
      <c r="B889" s="2"/>
      <c r="C889" s="5"/>
    </row>
    <row r="890" spans="2:3">
      <c r="B890" s="2"/>
      <c r="C890" s="5"/>
    </row>
    <row r="891" spans="2:3">
      <c r="B891" s="2"/>
      <c r="C891" s="5"/>
    </row>
    <row r="892" spans="2:3">
      <c r="B892" s="2"/>
      <c r="C892" s="5"/>
    </row>
    <row r="893" spans="2:3">
      <c r="B893" s="2"/>
      <c r="C893" s="5"/>
    </row>
    <row r="894" spans="2:3">
      <c r="B894" s="2"/>
      <c r="C894" s="5"/>
    </row>
    <row r="895" spans="2:3">
      <c r="B895" s="2"/>
      <c r="C895" s="5"/>
    </row>
    <row r="896" spans="2:3">
      <c r="B896" s="2"/>
      <c r="C896" s="5"/>
    </row>
    <row r="897" spans="2:3">
      <c r="B897" s="2"/>
      <c r="C897" s="5"/>
    </row>
    <row r="898" spans="2:3">
      <c r="B898" s="2"/>
      <c r="C898" s="5"/>
    </row>
    <row r="899" spans="2:3">
      <c r="B899" s="2"/>
      <c r="C899" s="5"/>
    </row>
    <row r="900" spans="2:3">
      <c r="B900" s="2"/>
      <c r="C900" s="5"/>
    </row>
    <row r="901" spans="2:3">
      <c r="B901" s="2"/>
      <c r="C901" s="5"/>
    </row>
    <row r="902" spans="2:3">
      <c r="B902" s="2"/>
      <c r="C902" s="5"/>
    </row>
    <row r="903" spans="2:3">
      <c r="B903" s="2"/>
      <c r="C903" s="5"/>
    </row>
    <row r="904" spans="2:3">
      <c r="B904" s="2"/>
      <c r="C904" s="5"/>
    </row>
    <row r="905" spans="2:3">
      <c r="B905" s="2"/>
      <c r="C905" s="5"/>
    </row>
    <row r="906" spans="2:3">
      <c r="B906" s="2"/>
      <c r="C906" s="5"/>
    </row>
    <row r="907" spans="2:3">
      <c r="B907" s="2"/>
      <c r="C907" s="5"/>
    </row>
    <row r="908" spans="2:3">
      <c r="B908" s="2"/>
      <c r="C908" s="5"/>
    </row>
    <row r="909" spans="2:3">
      <c r="B909" s="2"/>
      <c r="C909" s="5"/>
    </row>
    <row r="910" spans="2:3">
      <c r="B910" s="2"/>
      <c r="C910" s="5"/>
    </row>
    <row r="911" spans="2:3">
      <c r="B911" s="2"/>
      <c r="C911" s="5"/>
    </row>
    <row r="912" spans="2:3">
      <c r="B912" s="2"/>
      <c r="C912" s="5"/>
    </row>
    <row r="913" spans="2:3">
      <c r="B913" s="2"/>
      <c r="C913" s="5"/>
    </row>
    <row r="914" spans="2:3">
      <c r="B914" s="2"/>
      <c r="C914" s="5"/>
    </row>
    <row r="915" spans="2:3">
      <c r="B915" s="2"/>
      <c r="C915" s="5"/>
    </row>
    <row r="916" spans="2:3">
      <c r="B916" s="2"/>
      <c r="C916" s="5"/>
    </row>
    <row r="917" spans="2:3">
      <c r="B917" s="2"/>
      <c r="C917" s="5"/>
    </row>
    <row r="918" spans="2:3">
      <c r="B918" s="2"/>
      <c r="C918" s="5"/>
    </row>
    <row r="919" spans="2:3">
      <c r="B919" s="2"/>
      <c r="C919" s="5"/>
    </row>
    <row r="920" spans="2:3">
      <c r="B920" s="2"/>
      <c r="C920" s="5"/>
    </row>
    <row r="921" spans="2:3">
      <c r="B921" s="2"/>
      <c r="C921" s="5"/>
    </row>
    <row r="922" spans="2:3">
      <c r="B922" s="2"/>
      <c r="C922" s="5"/>
    </row>
    <row r="923" spans="2:3">
      <c r="B923" s="2"/>
      <c r="C923" s="5"/>
    </row>
    <row r="924" spans="2:3">
      <c r="B924" s="2"/>
      <c r="C924" s="5"/>
    </row>
    <row r="925" spans="2:3">
      <c r="B925" s="2"/>
      <c r="C925" s="5"/>
    </row>
    <row r="926" spans="2:3">
      <c r="B926" s="2"/>
      <c r="C926" s="5"/>
    </row>
    <row r="927" spans="2:3">
      <c r="B927" s="2"/>
      <c r="C927" s="5"/>
    </row>
    <row r="928" spans="2:3">
      <c r="B928" s="2"/>
      <c r="C928" s="5"/>
    </row>
    <row r="929" spans="2:3">
      <c r="B929" s="2"/>
      <c r="C929" s="5"/>
    </row>
    <row r="930" spans="2:3">
      <c r="B930" s="2"/>
      <c r="C930" s="5"/>
    </row>
    <row r="931" spans="2:3">
      <c r="B931" s="2"/>
      <c r="C931" s="5"/>
    </row>
    <row r="932" spans="2:3">
      <c r="B932" s="2"/>
      <c r="C932" s="5"/>
    </row>
    <row r="933" spans="2:3">
      <c r="B933" s="2"/>
      <c r="C933" s="5"/>
    </row>
    <row r="934" spans="2:3">
      <c r="B934" s="2"/>
      <c r="C934" s="5"/>
    </row>
    <row r="935" spans="2:3">
      <c r="B935" s="2"/>
      <c r="C935" s="5"/>
    </row>
    <row r="936" spans="2:3">
      <c r="B936" s="2"/>
      <c r="C936" s="5"/>
    </row>
    <row r="937" spans="2:3">
      <c r="B937" s="2"/>
      <c r="C937" s="5"/>
    </row>
    <row r="938" spans="2:3">
      <c r="B938" s="2"/>
      <c r="C938" s="5"/>
    </row>
    <row r="939" spans="2:3">
      <c r="B939" s="2"/>
      <c r="C939" s="5"/>
    </row>
    <row r="940" spans="2:3">
      <c r="B940" s="2"/>
      <c r="C940" s="5"/>
    </row>
    <row r="941" spans="2:3">
      <c r="B941" s="2"/>
      <c r="C941" s="5"/>
    </row>
    <row r="942" spans="2:3">
      <c r="B942" s="2"/>
      <c r="C942" s="5"/>
    </row>
    <row r="943" spans="2:3">
      <c r="B943" s="2"/>
      <c r="C943" s="5"/>
    </row>
    <row r="944" spans="2:3">
      <c r="B944" s="2"/>
      <c r="C944" s="5"/>
    </row>
    <row r="945" spans="2:3">
      <c r="B945" s="2"/>
      <c r="C945" s="5"/>
    </row>
    <row r="946" spans="2:3">
      <c r="B946" s="2"/>
      <c r="C946" s="5"/>
    </row>
    <row r="947" spans="2:3">
      <c r="B947" s="2"/>
      <c r="C947" s="5"/>
    </row>
    <row r="948" spans="2:3">
      <c r="B948" s="2"/>
      <c r="C948" s="5"/>
    </row>
    <row r="949" spans="2:3">
      <c r="B949" s="2"/>
      <c r="C949" s="5"/>
    </row>
    <row r="950" spans="2:3">
      <c r="B950" s="2"/>
      <c r="C950" s="5"/>
    </row>
    <row r="951" spans="2:3">
      <c r="B951" s="2"/>
      <c r="C951" s="5"/>
    </row>
    <row r="952" spans="2:3">
      <c r="B952" s="2"/>
      <c r="C952" s="5"/>
    </row>
    <row r="953" spans="2:3">
      <c r="B953" s="2"/>
      <c r="C953" s="5"/>
    </row>
    <row r="954" spans="2:3">
      <c r="B954" s="2"/>
      <c r="C954" s="5"/>
    </row>
    <row r="955" spans="2:3">
      <c r="B955" s="2"/>
      <c r="C955" s="5"/>
    </row>
    <row r="956" spans="2:3">
      <c r="B956" s="2"/>
      <c r="C956" s="5"/>
    </row>
    <row r="957" spans="2:3">
      <c r="B957" s="2"/>
      <c r="C957" s="5"/>
    </row>
    <row r="958" spans="2:3">
      <c r="B958" s="2"/>
      <c r="C958" s="5"/>
    </row>
    <row r="959" spans="2:3">
      <c r="B959" s="2"/>
      <c r="C959" s="5"/>
    </row>
    <row r="960" spans="2:3">
      <c r="B960" s="2"/>
      <c r="C960" s="5"/>
    </row>
    <row r="961" spans="2:3">
      <c r="B961" s="2"/>
      <c r="C961" s="5"/>
    </row>
    <row r="962" spans="2:3">
      <c r="B962" s="2"/>
      <c r="C962" s="5"/>
    </row>
    <row r="963" spans="2:3">
      <c r="B963" s="2"/>
      <c r="C963" s="5"/>
    </row>
    <row r="964" spans="2:3">
      <c r="B964" s="2"/>
      <c r="C964" s="5"/>
    </row>
    <row r="965" spans="2:3">
      <c r="B965" s="2"/>
      <c r="C965" s="5"/>
    </row>
    <row r="966" spans="2:3">
      <c r="B966" s="2"/>
      <c r="C966" s="5"/>
    </row>
    <row r="967" spans="2:3">
      <c r="B967" s="2"/>
      <c r="C967" s="5"/>
    </row>
    <row r="968" spans="2:3">
      <c r="B968" s="2"/>
      <c r="C968" s="5"/>
    </row>
    <row r="969" spans="2:3">
      <c r="B969" s="2"/>
      <c r="C969" s="5"/>
    </row>
    <row r="970" spans="2:3">
      <c r="B970" s="2"/>
      <c r="C970" s="5"/>
    </row>
  </sheetData>
  <autoFilter ref="B3:H93" xr:uid="{5A4EC120-AE97-444C-A8BA-11934CBBEAA8}"/>
  <phoneticPr fontId="12" type="noConversion"/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2937-B4BD-450F-A576-324ABC8C7331}">
  <dimension ref="A1:O338"/>
  <sheetViews>
    <sheetView tabSelected="1" zoomScale="115" zoomScaleNormal="115" workbookViewId="0">
      <pane xSplit="3" ySplit="2" topLeftCell="D30" activePane="bottomRight" state="frozen"/>
      <selection pane="topRight" activeCell="I1" sqref="I1"/>
      <selection pane="bottomLeft" activeCell="A5" sqref="A5"/>
      <selection pane="bottomRight" activeCell="D37" sqref="D37"/>
    </sheetView>
  </sheetViews>
  <sheetFormatPr defaultColWidth="12.5703125" defaultRowHeight="15" customHeight="1"/>
  <cols>
    <col min="1" max="1" width="14.140625" customWidth="1"/>
    <col min="2" max="3" width="10.7109375" customWidth="1"/>
    <col min="4" max="4" width="20.28515625" bestFit="1" customWidth="1"/>
    <col min="5" max="5" width="9" hidden="1" customWidth="1"/>
    <col min="6" max="6" width="10.7109375" bestFit="1" customWidth="1"/>
    <col min="7" max="7" width="31.7109375" bestFit="1" customWidth="1"/>
    <col min="8" max="9" width="14.140625" customWidth="1"/>
    <col min="10" max="10" width="15.7109375" customWidth="1"/>
    <col min="11" max="11" width="12.7109375" bestFit="1" customWidth="1"/>
    <col min="12" max="12" width="14.140625" customWidth="1"/>
    <col min="13" max="13" width="14.5703125" hidden="1" customWidth="1"/>
    <col min="14" max="14" width="14.140625" customWidth="1"/>
    <col min="15" max="15" width="15.140625" customWidth="1"/>
  </cols>
  <sheetData>
    <row r="1" spans="1:15" ht="12.75" customHeight="1">
      <c r="A1" s="19" t="s">
        <v>276</v>
      </c>
      <c r="B1" s="19" t="s">
        <v>277</v>
      </c>
      <c r="C1" s="20" t="s">
        <v>1</v>
      </c>
      <c r="D1" s="21" t="s">
        <v>278</v>
      </c>
      <c r="E1" s="21" t="s">
        <v>162</v>
      </c>
      <c r="F1" s="22" t="s">
        <v>1003</v>
      </c>
      <c r="G1" s="19" t="s">
        <v>280</v>
      </c>
      <c r="H1" s="23" t="s">
        <v>281</v>
      </c>
      <c r="I1" s="48" t="s">
        <v>430</v>
      </c>
      <c r="J1" s="24" t="s">
        <v>282</v>
      </c>
      <c r="K1" s="25"/>
      <c r="L1" s="25"/>
      <c r="M1" s="25"/>
      <c r="N1" s="25"/>
      <c r="O1" s="25"/>
    </row>
    <row r="2" spans="1:15" ht="12.75" customHeight="1">
      <c r="A2" s="19" t="s">
        <v>276</v>
      </c>
      <c r="B2" s="19" t="s">
        <v>277</v>
      </c>
      <c r="C2" s="26" t="s">
        <v>1</v>
      </c>
      <c r="D2" s="21" t="s">
        <v>278</v>
      </c>
      <c r="E2" s="21" t="s">
        <v>432</v>
      </c>
      <c r="F2" s="22" t="s">
        <v>400</v>
      </c>
      <c r="G2" s="19" t="s">
        <v>280</v>
      </c>
      <c r="H2" s="23" t="s">
        <v>281</v>
      </c>
      <c r="I2" s="48" t="s">
        <v>430</v>
      </c>
      <c r="J2" s="27" t="s">
        <v>406</v>
      </c>
      <c r="K2" s="27" t="s">
        <v>403</v>
      </c>
      <c r="L2" s="28" t="s">
        <v>404</v>
      </c>
      <c r="M2" s="27" t="s">
        <v>402</v>
      </c>
      <c r="N2" s="27" t="s">
        <v>796</v>
      </c>
      <c r="O2" s="46" t="s">
        <v>425</v>
      </c>
    </row>
    <row r="3" spans="1:15" ht="12.75" customHeight="1">
      <c r="A3" s="49">
        <v>46147</v>
      </c>
      <c r="B3" s="50" t="str">
        <f t="shared" ref="B3" si="0">TEXT(A3,"aaa")</f>
        <v>화</v>
      </c>
      <c r="C3" s="29" t="s">
        <v>1396</v>
      </c>
      <c r="D3" s="29" t="str">
        <f>VLOOKUP($C3,청소코드!$C$4:$J$188,3,FALSE)</f>
        <v>예건 205</v>
      </c>
      <c r="E3" s="29">
        <f>VLOOKUP($C3,청소코드!$C$4:$J$188,4,FALSE)</f>
        <v>1</v>
      </c>
      <c r="F3" s="29" t="s">
        <v>1408</v>
      </c>
      <c r="G3" s="29"/>
      <c r="H3" s="29"/>
      <c r="I3" s="29" t="s">
        <v>1424</v>
      </c>
      <c r="J3" s="47">
        <f t="shared" ref="J3" si="1">SUM(K3:O3)</f>
        <v>18000</v>
      </c>
      <c r="K3" s="29">
        <f>VLOOKUP($C3,청소코드!$C$4:$J$188,8,FALSE)</f>
        <v>18000</v>
      </c>
      <c r="L3" s="32"/>
      <c r="M3" s="31"/>
      <c r="N3" s="32"/>
      <c r="O3" s="32"/>
    </row>
    <row r="4" spans="1:15" ht="12.75" customHeight="1">
      <c r="A4" s="30">
        <v>46147</v>
      </c>
      <c r="B4" s="29" t="str">
        <f t="shared" ref="B4" si="2">TEXT(A4,"aaa")</f>
        <v>화</v>
      </c>
      <c r="C4" s="29" t="s">
        <v>1397</v>
      </c>
      <c r="D4" s="29" t="str">
        <f>VLOOKUP($C4,청소코드!$C$4:$J$188,3,FALSE)</f>
        <v>예건 802</v>
      </c>
      <c r="E4" s="29">
        <f>VLOOKUP($C4,청소코드!$C$4:$J$188,4,FALSE)</f>
        <v>1</v>
      </c>
      <c r="F4" s="29" t="s">
        <v>1408</v>
      </c>
      <c r="G4" s="29"/>
      <c r="H4" s="29"/>
      <c r="I4" s="29" t="s">
        <v>431</v>
      </c>
      <c r="J4" s="47">
        <f t="shared" ref="J4" si="3">SUM(K4:O4)</f>
        <v>18000</v>
      </c>
      <c r="K4" s="29">
        <f>VLOOKUP($C4,청소코드!$C$4:$J$188,8,FALSE)</f>
        <v>18000</v>
      </c>
      <c r="L4" s="32"/>
      <c r="M4" s="31"/>
      <c r="N4" s="32"/>
      <c r="O4" s="32"/>
    </row>
    <row r="5" spans="1:15" ht="12.75" customHeight="1">
      <c r="A5" s="30">
        <v>46147</v>
      </c>
      <c r="B5" s="29" t="str">
        <f t="shared" ref="B5" si="4">TEXT(A5,"aaa")</f>
        <v>화</v>
      </c>
      <c r="C5" s="29" t="s">
        <v>1398</v>
      </c>
      <c r="D5" s="29" t="str">
        <f>VLOOKUP($C5,청소코드!$C$4:$J$188,3,FALSE)</f>
        <v>성우 204</v>
      </c>
      <c r="E5" s="29">
        <f>VLOOKUP($C5,청소코드!$C$4:$J$188,4,FALSE)</f>
        <v>2</v>
      </c>
      <c r="F5" s="29" t="s">
        <v>1408</v>
      </c>
      <c r="G5" s="29"/>
      <c r="H5" s="29"/>
      <c r="I5" s="29" t="s">
        <v>431</v>
      </c>
      <c r="J5" s="47">
        <f t="shared" ref="J5" si="5">SUM(K5:O5)</f>
        <v>23000</v>
      </c>
      <c r="K5" s="29">
        <f>VLOOKUP($C5,청소코드!$C$4:$J$188,8,FALSE)</f>
        <v>23000</v>
      </c>
      <c r="L5" s="32"/>
      <c r="M5" s="31"/>
      <c r="N5" s="32"/>
      <c r="O5" s="32"/>
    </row>
    <row r="6" spans="1:15" ht="12.75" customHeight="1">
      <c r="A6" s="30">
        <v>46147</v>
      </c>
      <c r="B6" s="29" t="str">
        <f t="shared" ref="B6" si="6">TEXT(A6,"aaa")</f>
        <v>화</v>
      </c>
      <c r="C6" s="29" t="s">
        <v>1399</v>
      </c>
      <c r="D6" s="29" t="str">
        <f>VLOOKUP($C6,청소코드!$C$4:$J$188,3,FALSE)</f>
        <v>성우 903</v>
      </c>
      <c r="E6" s="29">
        <f>VLOOKUP($C6,청소코드!$C$4:$J$188,4,FALSE)</f>
        <v>3</v>
      </c>
      <c r="F6" s="29" t="s">
        <v>1408</v>
      </c>
      <c r="G6" s="29"/>
      <c r="H6" s="29"/>
      <c r="I6" s="29" t="s">
        <v>431</v>
      </c>
      <c r="J6" s="47">
        <f t="shared" ref="J6" si="7">SUM(K6:O6)</f>
        <v>30000</v>
      </c>
      <c r="K6" s="29">
        <f>VLOOKUP($C6,청소코드!$C$4:$J$188,8,FALSE)</f>
        <v>30000</v>
      </c>
      <c r="L6" s="32"/>
      <c r="M6" s="31"/>
      <c r="N6" s="32"/>
      <c r="O6" s="32"/>
    </row>
    <row r="7" spans="1:15" ht="12.75" customHeight="1">
      <c r="A7" s="30">
        <v>46147</v>
      </c>
      <c r="B7" s="29" t="str">
        <f t="shared" ref="B7" si="8">TEXT(A7,"aaa")</f>
        <v>화</v>
      </c>
      <c r="C7" s="29" t="s">
        <v>1400</v>
      </c>
      <c r="D7" s="29" t="str">
        <f>VLOOKUP($C7,청소코드!$C$4:$J$188,3,FALSE)</f>
        <v>더하임 1003</v>
      </c>
      <c r="E7" s="29">
        <f>VLOOKUP($C7,청소코드!$C$4:$J$188,4,FALSE)</f>
        <v>1</v>
      </c>
      <c r="F7" s="29" t="s">
        <v>1409</v>
      </c>
      <c r="G7" s="29"/>
      <c r="H7" s="29"/>
      <c r="I7" s="29" t="s">
        <v>431</v>
      </c>
      <c r="J7" s="47">
        <f t="shared" ref="J7" si="9">SUM(K7:O7)</f>
        <v>18000</v>
      </c>
      <c r="K7" s="29">
        <f>VLOOKUP($C7,청소코드!$C$4:$J$188,8,FALSE)</f>
        <v>18000</v>
      </c>
      <c r="L7" s="32"/>
      <c r="M7" s="31"/>
      <c r="N7" s="32"/>
      <c r="O7" s="32"/>
    </row>
    <row r="8" spans="1:15" ht="12.75" customHeight="1">
      <c r="A8" s="30">
        <v>46147</v>
      </c>
      <c r="B8" s="29" t="str">
        <f t="shared" ref="B8" si="10">TEXT(A8,"aaa")</f>
        <v>화</v>
      </c>
      <c r="C8" s="29" t="s">
        <v>1401</v>
      </c>
      <c r="D8" s="29" t="str">
        <f>VLOOKUP($C8,청소코드!$C$4:$J$188,3,FALSE)</f>
        <v>더하임 1004</v>
      </c>
      <c r="E8" s="29">
        <f>VLOOKUP($C8,청소코드!$C$4:$J$188,4,FALSE)</f>
        <v>1</v>
      </c>
      <c r="F8" s="29" t="s">
        <v>1409</v>
      </c>
      <c r="G8" s="29"/>
      <c r="H8" s="29"/>
      <c r="I8" s="29" t="s">
        <v>431</v>
      </c>
      <c r="J8" s="47">
        <f t="shared" ref="J8" si="11">SUM(K8:O8)</f>
        <v>18000</v>
      </c>
      <c r="K8" s="29">
        <f>VLOOKUP($C8,청소코드!$C$4:$J$188,8,FALSE)</f>
        <v>18000</v>
      </c>
      <c r="L8" s="32"/>
      <c r="M8" s="31"/>
      <c r="N8" s="32"/>
      <c r="O8" s="32"/>
    </row>
    <row r="9" spans="1:15" ht="12.75" customHeight="1">
      <c r="A9" s="30">
        <v>46147</v>
      </c>
      <c r="B9" s="29" t="str">
        <f t="shared" ref="B9" si="12">TEXT(A9,"aaa")</f>
        <v>화</v>
      </c>
      <c r="C9" s="29" t="s">
        <v>1402</v>
      </c>
      <c r="D9" s="29" t="str">
        <f>VLOOKUP($C9,청소코드!$C$4:$J$188,3,FALSE)</f>
        <v>더하임 203</v>
      </c>
      <c r="E9" s="29">
        <f>VLOOKUP($C9,청소코드!$C$4:$J$188,4,FALSE)</f>
        <v>1</v>
      </c>
      <c r="F9" s="29" t="s">
        <v>1409</v>
      </c>
      <c r="G9" s="29"/>
      <c r="H9" s="29"/>
      <c r="I9" s="29" t="s">
        <v>431</v>
      </c>
      <c r="J9" s="47">
        <f t="shared" ref="J9" si="13">SUM(K9:O9)</f>
        <v>18000</v>
      </c>
      <c r="K9" s="29">
        <f>VLOOKUP($C9,청소코드!$C$4:$J$188,8,FALSE)</f>
        <v>18000</v>
      </c>
      <c r="L9" s="32"/>
      <c r="M9" s="31"/>
      <c r="N9" s="32"/>
      <c r="O9" s="32"/>
    </row>
    <row r="10" spans="1:15" ht="12.75" customHeight="1">
      <c r="A10" s="30">
        <v>46147</v>
      </c>
      <c r="B10" s="29" t="str">
        <f t="shared" ref="B10" si="14">TEXT(A10,"aaa")</f>
        <v>화</v>
      </c>
      <c r="C10" s="29" t="s">
        <v>1403</v>
      </c>
      <c r="D10" s="29" t="str">
        <f>VLOOKUP($C10,청소코드!$C$4:$J$188,3,FALSE)</f>
        <v>더하임 204</v>
      </c>
      <c r="E10" s="29">
        <f>VLOOKUP($C10,청소코드!$C$4:$J$188,4,FALSE)</f>
        <v>1</v>
      </c>
      <c r="F10" s="29" t="s">
        <v>1410</v>
      </c>
      <c r="G10" s="29"/>
      <c r="H10" s="29"/>
      <c r="I10" s="29" t="s">
        <v>431</v>
      </c>
      <c r="J10" s="47">
        <f t="shared" ref="J10" si="15">SUM(K10:O10)</f>
        <v>18000</v>
      </c>
      <c r="K10" s="29">
        <f>VLOOKUP($C10,청소코드!$C$4:$J$188,8,FALSE)</f>
        <v>18000</v>
      </c>
      <c r="L10" s="32"/>
      <c r="M10" s="31"/>
      <c r="N10" s="32"/>
      <c r="O10" s="32"/>
    </row>
    <row r="11" spans="1:15" ht="12.75" customHeight="1">
      <c r="A11" s="30">
        <v>46147</v>
      </c>
      <c r="B11" s="29" t="str">
        <f t="shared" ref="B11:B73" si="16">TEXT(A11,"aaa")</f>
        <v>화</v>
      </c>
      <c r="C11" s="29" t="s">
        <v>1404</v>
      </c>
      <c r="D11" s="29" t="str">
        <f>VLOOKUP($C11,청소코드!$C$4:$J$188,3,FALSE)</f>
        <v>더하임 901</v>
      </c>
      <c r="E11" s="29">
        <f>VLOOKUP($C11,청소코드!$C$4:$J$188,4,FALSE)</f>
        <v>1</v>
      </c>
      <c r="F11" s="29" t="s">
        <v>1410</v>
      </c>
      <c r="G11" s="29"/>
      <c r="H11" s="29"/>
      <c r="I11" s="29" t="s">
        <v>431</v>
      </c>
      <c r="J11" s="47">
        <f t="shared" ref="J11:J73" si="17">SUM(K11:O11)</f>
        <v>18000</v>
      </c>
      <c r="K11" s="29">
        <f>VLOOKUP($C11,청소코드!$C$4:$J$188,8,FALSE)</f>
        <v>18000</v>
      </c>
      <c r="L11" s="32"/>
      <c r="M11" s="31"/>
      <c r="N11" s="32"/>
      <c r="O11" s="32"/>
    </row>
    <row r="12" spans="1:15" ht="12.75" customHeight="1">
      <c r="A12" s="30">
        <v>46147</v>
      </c>
      <c r="B12" s="29" t="str">
        <f t="shared" si="16"/>
        <v>화</v>
      </c>
      <c r="C12" s="29" t="s">
        <v>1405</v>
      </c>
      <c r="D12" s="29" t="str">
        <f>VLOOKUP($C12,청소코드!$C$4:$J$188,3,FALSE)</f>
        <v>더하임 904</v>
      </c>
      <c r="E12" s="29">
        <f>VLOOKUP($C12,청소코드!$C$4:$J$188,4,FALSE)</f>
        <v>1</v>
      </c>
      <c r="F12" s="29" t="s">
        <v>1410</v>
      </c>
      <c r="G12" s="29"/>
      <c r="H12" s="29"/>
      <c r="I12" s="29" t="s">
        <v>431</v>
      </c>
      <c r="J12" s="47">
        <f t="shared" si="17"/>
        <v>18000</v>
      </c>
      <c r="K12" s="29">
        <f>VLOOKUP($C12,청소코드!$C$4:$J$188,8,FALSE)</f>
        <v>18000</v>
      </c>
      <c r="L12" s="32"/>
      <c r="M12" s="31"/>
      <c r="N12" s="32"/>
      <c r="O12" s="32"/>
    </row>
    <row r="13" spans="1:15" ht="12.75" customHeight="1">
      <c r="A13" s="30">
        <v>46147</v>
      </c>
      <c r="B13" s="29" t="str">
        <f t="shared" si="16"/>
        <v>화</v>
      </c>
      <c r="C13" s="29" t="s">
        <v>1406</v>
      </c>
      <c r="D13" s="29" t="str">
        <f>VLOOKUP($C13,청소코드!$C$4:$J$188,3,FALSE)</f>
        <v>더하임 905</v>
      </c>
      <c r="E13" s="29">
        <f>VLOOKUP($C13,청소코드!$C$4:$J$188,4,FALSE)</f>
        <v>1</v>
      </c>
      <c r="F13" s="29" t="s">
        <v>1410</v>
      </c>
      <c r="G13" s="29"/>
      <c r="H13" s="29"/>
      <c r="I13" s="29" t="s">
        <v>431</v>
      </c>
      <c r="J13" s="47">
        <f t="shared" si="17"/>
        <v>18000</v>
      </c>
      <c r="K13" s="29">
        <f>VLOOKUP($C13,청소코드!$C$4:$J$188,8,FALSE)</f>
        <v>18000</v>
      </c>
      <c r="L13" s="32"/>
      <c r="M13" s="31"/>
      <c r="N13" s="32"/>
      <c r="O13" s="32"/>
    </row>
    <row r="14" spans="1:15" ht="12.75" customHeight="1">
      <c r="A14" s="30">
        <v>46147</v>
      </c>
      <c r="B14" s="29" t="str">
        <f t="shared" si="16"/>
        <v>화</v>
      </c>
      <c r="C14" s="29" t="s">
        <v>1407</v>
      </c>
      <c r="D14" s="29" t="str">
        <f>VLOOKUP($C14,청소코드!$C$4:$J$188,3,FALSE)</f>
        <v>미사아름채 1310호</v>
      </c>
      <c r="E14" s="29">
        <f>VLOOKUP($C14,청소코드!$C$4:$J$188,4,FALSE)</f>
        <v>1.5</v>
      </c>
      <c r="F14" s="29" t="s">
        <v>1410</v>
      </c>
      <c r="G14" s="29"/>
      <c r="H14" s="29"/>
      <c r="I14" s="29" t="s">
        <v>431</v>
      </c>
      <c r="J14" s="47">
        <f t="shared" si="17"/>
        <v>20000</v>
      </c>
      <c r="K14" s="29">
        <f>VLOOKUP($C14,청소코드!$C$4:$J$188,8,FALSE)</f>
        <v>20000</v>
      </c>
      <c r="L14" s="32"/>
      <c r="M14" s="31"/>
      <c r="N14" s="32"/>
      <c r="O14" s="32"/>
    </row>
    <row r="15" spans="1:15" ht="12.75" customHeight="1">
      <c r="A15" s="30">
        <v>46147</v>
      </c>
      <c r="B15" s="29" t="str">
        <f t="shared" si="16"/>
        <v>화</v>
      </c>
      <c r="C15" s="29" t="s">
        <v>1411</v>
      </c>
      <c r="D15" s="29" t="str">
        <f>VLOOKUP($C15,청소코드!$C$4:$J$188,3,FALSE)</f>
        <v>청광1차 1303</v>
      </c>
      <c r="E15" s="29">
        <f>VLOOKUP($C15,청소코드!$C$4:$J$188,4,FALSE)</f>
        <v>1</v>
      </c>
      <c r="F15" s="29" t="s">
        <v>1413</v>
      </c>
      <c r="G15" s="29"/>
      <c r="H15" s="29"/>
      <c r="I15" s="29" t="s">
        <v>431</v>
      </c>
      <c r="J15" s="47">
        <f t="shared" si="17"/>
        <v>18000</v>
      </c>
      <c r="K15" s="29">
        <f>VLOOKUP($C15,청소코드!$C$4:$J$188,8,FALSE)</f>
        <v>18000</v>
      </c>
      <c r="L15" s="32"/>
      <c r="M15" s="31"/>
      <c r="N15" s="32"/>
      <c r="O15" s="32"/>
    </row>
    <row r="16" spans="1:15" ht="12.75" customHeight="1">
      <c r="A16" s="30">
        <v>46147</v>
      </c>
      <c r="B16" s="29" t="str">
        <f t="shared" si="16"/>
        <v>화</v>
      </c>
      <c r="C16" s="29" t="s">
        <v>1412</v>
      </c>
      <c r="D16" s="29" t="str">
        <f>VLOOKUP($C16,청소코드!$C$4:$J$188,3,FALSE)</f>
        <v>태상 501</v>
      </c>
      <c r="E16" s="29">
        <f>VLOOKUP($C16,청소코드!$C$4:$J$188,4,FALSE)</f>
        <v>2</v>
      </c>
      <c r="F16" s="29" t="s">
        <v>1413</v>
      </c>
      <c r="G16" s="29"/>
      <c r="H16" s="29"/>
      <c r="I16" s="29" t="s">
        <v>431</v>
      </c>
      <c r="J16" s="47">
        <f t="shared" si="17"/>
        <v>23000</v>
      </c>
      <c r="K16" s="29">
        <f>VLOOKUP($C16,청소코드!$C$4:$J$188,8,FALSE)</f>
        <v>23000</v>
      </c>
      <c r="L16" s="32"/>
      <c r="M16" s="31"/>
      <c r="N16" s="32"/>
      <c r="O16" s="32"/>
    </row>
    <row r="17" spans="1:15" ht="12.75" customHeight="1">
      <c r="A17" s="30">
        <v>46147</v>
      </c>
      <c r="B17" s="29" t="str">
        <f t="shared" si="16"/>
        <v>화</v>
      </c>
      <c r="C17" s="29" t="s">
        <v>1414</v>
      </c>
      <c r="D17" s="29" t="str">
        <f>VLOOKUP($C17,청소코드!$C$4:$J$188,3,FALSE)</f>
        <v>청광3차 1416</v>
      </c>
      <c r="E17" s="29">
        <f>VLOOKUP($C17,청소코드!$C$4:$J$188,4,FALSE)</f>
        <v>1</v>
      </c>
      <c r="F17" s="29" t="s">
        <v>1420</v>
      </c>
      <c r="G17" s="29"/>
      <c r="H17" s="29"/>
      <c r="I17" s="29" t="s">
        <v>431</v>
      </c>
      <c r="J17" s="47">
        <f t="shared" si="17"/>
        <v>18000</v>
      </c>
      <c r="K17" s="29">
        <f>VLOOKUP($C17,청소코드!$C$4:$J$188,8,FALSE)</f>
        <v>18000</v>
      </c>
      <c r="L17" s="32"/>
      <c r="M17" s="31"/>
      <c r="N17" s="32"/>
      <c r="O17" s="32"/>
    </row>
    <row r="18" spans="1:15" ht="12.75" customHeight="1">
      <c r="A18" s="30">
        <v>46147</v>
      </c>
      <c r="B18" s="29" t="str">
        <f t="shared" si="16"/>
        <v>화</v>
      </c>
      <c r="C18" s="29" t="s">
        <v>1415</v>
      </c>
      <c r="D18" s="29" t="str">
        <f>VLOOKUP($C18,청소코드!$C$4:$J$188,3,FALSE)</f>
        <v>청광3차 806</v>
      </c>
      <c r="E18" s="29">
        <f>VLOOKUP($C18,청소코드!$C$4:$J$188,4,FALSE)</f>
        <v>1</v>
      </c>
      <c r="F18" s="29" t="s">
        <v>1420</v>
      </c>
      <c r="G18" s="29"/>
      <c r="H18" s="29"/>
      <c r="I18" s="29" t="s">
        <v>431</v>
      </c>
      <c r="J18" s="47">
        <f t="shared" si="17"/>
        <v>18000</v>
      </c>
      <c r="K18" s="29">
        <f>VLOOKUP($C18,청소코드!$C$4:$J$188,8,FALSE)</f>
        <v>18000</v>
      </c>
      <c r="L18" s="32"/>
      <c r="M18" s="31"/>
      <c r="N18" s="32"/>
      <c r="O18" s="32"/>
    </row>
    <row r="19" spans="1:15" ht="12.75" customHeight="1">
      <c r="A19" s="30">
        <v>46147</v>
      </c>
      <c r="B19" s="29" t="str">
        <f t="shared" si="16"/>
        <v>화</v>
      </c>
      <c r="C19" s="29" t="s">
        <v>1416</v>
      </c>
      <c r="D19" s="29" t="str">
        <f>VLOOKUP($C19,청소코드!$C$4:$J$188,3,FALSE)</f>
        <v>청광3차 1412</v>
      </c>
      <c r="E19" s="29">
        <f>VLOOKUP($C19,청소코드!$C$4:$J$188,4,FALSE)</f>
        <v>1</v>
      </c>
      <c r="F19" s="29" t="s">
        <v>1420</v>
      </c>
      <c r="G19" s="29"/>
      <c r="H19" s="29"/>
      <c r="I19" s="29" t="s">
        <v>431</v>
      </c>
      <c r="J19" s="47">
        <f t="shared" si="17"/>
        <v>18000</v>
      </c>
      <c r="K19" s="29">
        <f>VLOOKUP($C19,청소코드!$C$4:$J$188,8,FALSE)</f>
        <v>18000</v>
      </c>
      <c r="L19" s="32"/>
      <c r="M19" s="31"/>
      <c r="N19" s="32"/>
      <c r="O19" s="32"/>
    </row>
    <row r="20" spans="1:15" ht="12.75" customHeight="1">
      <c r="A20" s="30">
        <v>46147</v>
      </c>
      <c r="B20" s="29" t="str">
        <f t="shared" si="16"/>
        <v>화</v>
      </c>
      <c r="C20" s="29" t="s">
        <v>1417</v>
      </c>
      <c r="D20" s="29" t="str">
        <f>VLOOKUP($C20,청소코드!$C$4:$J$188,3,FALSE)</f>
        <v>동구햇살 1203</v>
      </c>
      <c r="E20" s="29" t="str">
        <f>VLOOKUP($C20,청소코드!$C$4:$J$188,4,FALSE)</f>
        <v>복</v>
      </c>
      <c r="F20" s="29" t="s">
        <v>1420</v>
      </c>
      <c r="G20" s="29"/>
      <c r="H20" s="29"/>
      <c r="I20" s="29" t="s">
        <v>431</v>
      </c>
      <c r="J20" s="47">
        <f t="shared" si="17"/>
        <v>20000</v>
      </c>
      <c r="K20" s="29">
        <f>VLOOKUP($C20,청소코드!$C$4:$J$188,8,FALSE)</f>
        <v>20000</v>
      </c>
      <c r="L20" s="32"/>
      <c r="M20" s="31"/>
      <c r="N20" s="32"/>
      <c r="O20" s="32"/>
    </row>
    <row r="21" spans="1:15" ht="12.75" customHeight="1">
      <c r="A21" s="30">
        <v>46147</v>
      </c>
      <c r="B21" s="29" t="str">
        <f t="shared" si="16"/>
        <v>화</v>
      </c>
      <c r="C21" s="29" t="s">
        <v>1418</v>
      </c>
      <c r="D21" s="29" t="str">
        <f>VLOOKUP($C21,청소코드!$C$4:$J$188,3,FALSE)</f>
        <v>은성 603</v>
      </c>
      <c r="E21" s="29">
        <f>VLOOKUP($C21,청소코드!$C$4:$J$188,4,FALSE)</f>
        <v>1</v>
      </c>
      <c r="F21" s="29" t="s">
        <v>1420</v>
      </c>
      <c r="G21" s="29"/>
      <c r="H21" s="29"/>
      <c r="I21" s="29" t="s">
        <v>431</v>
      </c>
      <c r="J21" s="47">
        <f t="shared" si="17"/>
        <v>18000</v>
      </c>
      <c r="K21" s="29">
        <f>VLOOKUP($C21,청소코드!$C$4:$J$188,8,FALSE)</f>
        <v>18000</v>
      </c>
      <c r="L21" s="32"/>
      <c r="M21" s="31"/>
      <c r="N21" s="32"/>
      <c r="O21" s="32"/>
    </row>
    <row r="22" spans="1:15" ht="12.75" customHeight="1">
      <c r="A22" s="30">
        <v>46147</v>
      </c>
      <c r="B22" s="29" t="str">
        <f t="shared" si="16"/>
        <v>화</v>
      </c>
      <c r="C22" s="29" t="s">
        <v>1419</v>
      </c>
      <c r="D22" s="29" t="str">
        <f>VLOOKUP($C22,청소코드!$C$4:$J$188,3,FALSE)</f>
        <v>대치동 103호</v>
      </c>
      <c r="E22" s="29">
        <f>VLOOKUP($C22,청소코드!$C$4:$J$188,4,FALSE)</f>
        <v>1.5</v>
      </c>
      <c r="F22" s="29" t="s">
        <v>1421</v>
      </c>
      <c r="G22" s="29"/>
      <c r="H22" s="29"/>
      <c r="I22" s="29" t="s">
        <v>431</v>
      </c>
      <c r="J22" s="47">
        <f t="shared" si="17"/>
        <v>20000</v>
      </c>
      <c r="K22" s="29">
        <f>VLOOKUP($C22,청소코드!$C$4:$J$188,8,FALSE)</f>
        <v>20000</v>
      </c>
      <c r="L22" s="32"/>
      <c r="M22" s="31"/>
      <c r="N22" s="32"/>
      <c r="O22" s="32"/>
    </row>
    <row r="23" spans="1:15" ht="12.75" customHeight="1">
      <c r="A23" s="30">
        <v>46147</v>
      </c>
      <c r="B23" s="29" t="str">
        <f t="shared" si="16"/>
        <v>화</v>
      </c>
      <c r="C23" s="29" t="s">
        <v>1422</v>
      </c>
      <c r="D23" s="29" t="str">
        <f>VLOOKUP($C23,청소코드!$C$4:$J$188,3,FALSE)</f>
        <v>예건 204</v>
      </c>
      <c r="E23" s="29">
        <f>VLOOKUP($C23,청소코드!$C$4:$J$188,4,FALSE)</f>
        <v>1</v>
      </c>
      <c r="F23" s="29" t="s">
        <v>1410</v>
      </c>
      <c r="G23" s="29"/>
      <c r="H23" s="29"/>
      <c r="I23" s="29" t="s">
        <v>431</v>
      </c>
      <c r="J23" s="47">
        <f t="shared" si="17"/>
        <v>18000</v>
      </c>
      <c r="K23" s="29">
        <f>VLOOKUP($C23,청소코드!$C$4:$J$188,8,FALSE)</f>
        <v>18000</v>
      </c>
      <c r="L23" s="32"/>
      <c r="M23" s="31"/>
      <c r="N23" s="32"/>
      <c r="O23" s="32"/>
    </row>
    <row r="24" spans="1:15" ht="12.75" customHeight="1">
      <c r="A24" s="30">
        <v>46147</v>
      </c>
      <c r="B24" s="29" t="str">
        <f t="shared" si="16"/>
        <v>화</v>
      </c>
      <c r="C24" s="29" t="s">
        <v>1423</v>
      </c>
      <c r="D24" s="29" t="str">
        <f>VLOOKUP($C24,청소코드!$C$4:$J$188,3,FALSE)</f>
        <v>청광1차 207</v>
      </c>
      <c r="E24" s="29">
        <f>VLOOKUP($C24,청소코드!$C$4:$J$188,4,FALSE)</f>
        <v>0</v>
      </c>
      <c r="F24" s="29" t="s">
        <v>1410</v>
      </c>
      <c r="G24" s="29"/>
      <c r="H24" s="29"/>
      <c r="I24" s="29" t="s">
        <v>431</v>
      </c>
      <c r="J24" s="47">
        <f t="shared" si="17"/>
        <v>10000</v>
      </c>
      <c r="K24" s="29">
        <f>VLOOKUP($C24,청소코드!$C$4:$J$188,8,FALSE)</f>
        <v>10000</v>
      </c>
      <c r="L24" s="32"/>
      <c r="M24" s="31"/>
      <c r="N24" s="32"/>
      <c r="O24" s="32"/>
    </row>
    <row r="25" spans="1:15" ht="12.75" customHeight="1">
      <c r="A25" s="49">
        <v>46148</v>
      </c>
      <c r="B25" s="50" t="str">
        <f t="shared" si="16"/>
        <v>수</v>
      </c>
      <c r="C25" s="29" t="s">
        <v>1425</v>
      </c>
      <c r="D25" s="29" t="str">
        <f>VLOOKUP($C25,청소코드!$C$4:$J$188,3,FALSE)</f>
        <v>센텀 2차 302</v>
      </c>
      <c r="E25" s="29">
        <f>VLOOKUP($C25,청소코드!$C$4:$J$188,4,FALSE)</f>
        <v>1.5</v>
      </c>
      <c r="F25" s="29" t="s">
        <v>426</v>
      </c>
      <c r="G25" s="29"/>
      <c r="H25" s="29"/>
      <c r="I25" s="29" t="s">
        <v>1448</v>
      </c>
      <c r="J25" s="47">
        <f t="shared" si="17"/>
        <v>20000</v>
      </c>
      <c r="K25" s="29">
        <f>VLOOKUP($C25,청소코드!$C$4:$J$188,8,FALSE)</f>
        <v>20000</v>
      </c>
      <c r="L25" s="32"/>
      <c r="M25" s="31"/>
      <c r="N25" s="32"/>
      <c r="O25" s="32"/>
    </row>
    <row r="26" spans="1:15" ht="12.75" customHeight="1">
      <c r="A26" s="30">
        <v>46148</v>
      </c>
      <c r="B26" s="29" t="str">
        <f t="shared" si="16"/>
        <v>수</v>
      </c>
      <c r="C26" s="29" t="s">
        <v>1426</v>
      </c>
      <c r="D26" s="29" t="str">
        <f>VLOOKUP($C26,청소코드!$C$4:$J$188,3,FALSE)</f>
        <v>센텀 2차 406</v>
      </c>
      <c r="E26" s="29">
        <f>VLOOKUP($C26,청소코드!$C$4:$J$188,4,FALSE)</f>
        <v>1.5</v>
      </c>
      <c r="F26" s="29" t="s">
        <v>426</v>
      </c>
      <c r="G26" s="29"/>
      <c r="H26" s="29"/>
      <c r="I26" s="29" t="s">
        <v>431</v>
      </c>
      <c r="J26" s="47">
        <f t="shared" si="17"/>
        <v>20000</v>
      </c>
      <c r="K26" s="29">
        <f>VLOOKUP($C26,청소코드!$C$4:$J$188,8,FALSE)</f>
        <v>20000</v>
      </c>
      <c r="L26" s="32"/>
      <c r="M26" s="31"/>
      <c r="N26" s="32"/>
      <c r="O26" s="32"/>
    </row>
    <row r="27" spans="1:15" ht="12.75" customHeight="1">
      <c r="A27" s="30">
        <v>46148</v>
      </c>
      <c r="B27" s="29" t="str">
        <f t="shared" si="16"/>
        <v>수</v>
      </c>
      <c r="C27" s="29" t="s">
        <v>1427</v>
      </c>
      <c r="D27" s="29" t="str">
        <f>VLOOKUP($C27,청소코드!$C$4:$J$188,3,FALSE)</f>
        <v>선일 101</v>
      </c>
      <c r="E27" s="29">
        <f>VLOOKUP($C27,청소코드!$C$4:$J$188,4,FALSE)</f>
        <v>2</v>
      </c>
      <c r="F27" s="29" t="s">
        <v>426</v>
      </c>
      <c r="G27" s="29" t="s">
        <v>1447</v>
      </c>
      <c r="H27" s="29"/>
      <c r="I27" s="29" t="s">
        <v>431</v>
      </c>
      <c r="J27" s="47">
        <f t="shared" si="17"/>
        <v>40000</v>
      </c>
      <c r="K27" s="29">
        <f>VLOOKUP($C27,청소코드!$C$4:$J$188,8,FALSE)</f>
        <v>23000</v>
      </c>
      <c r="L27" s="32">
        <v>17000</v>
      </c>
      <c r="M27" s="31"/>
      <c r="N27" s="32"/>
      <c r="O27" s="32"/>
    </row>
    <row r="28" spans="1:15" ht="12.75" customHeight="1">
      <c r="A28" s="30">
        <v>46148</v>
      </c>
      <c r="B28" s="29" t="str">
        <f t="shared" si="16"/>
        <v>수</v>
      </c>
      <c r="C28" s="29" t="s">
        <v>1428</v>
      </c>
      <c r="D28" s="29" t="str">
        <f>VLOOKUP($C28,청소코드!$C$4:$J$188,3,FALSE)</f>
        <v>청광3차 1416</v>
      </c>
      <c r="E28" s="29">
        <f>VLOOKUP($C28,청소코드!$C$4:$J$188,4,FALSE)</f>
        <v>1</v>
      </c>
      <c r="F28" s="29" t="s">
        <v>1441</v>
      </c>
      <c r="G28" s="29"/>
      <c r="H28" s="29"/>
      <c r="I28" s="29" t="s">
        <v>431</v>
      </c>
      <c r="J28" s="47">
        <f t="shared" si="17"/>
        <v>18000</v>
      </c>
      <c r="K28" s="29">
        <f>VLOOKUP($C28,청소코드!$C$4:$J$188,8,FALSE)</f>
        <v>18000</v>
      </c>
      <c r="L28" s="32"/>
      <c r="M28" s="31"/>
      <c r="N28" s="32"/>
      <c r="O28" s="32"/>
    </row>
    <row r="29" spans="1:15" ht="12.75" customHeight="1">
      <c r="A29" s="30">
        <v>46148</v>
      </c>
      <c r="B29" s="29" t="str">
        <f t="shared" si="16"/>
        <v>수</v>
      </c>
      <c r="C29" s="29" t="s">
        <v>1429</v>
      </c>
      <c r="D29" s="29" t="str">
        <f>VLOOKUP($C29,청소코드!$C$4:$J$188,3,FALSE)</f>
        <v>렘브 204</v>
      </c>
      <c r="E29" s="29">
        <f>VLOOKUP($C29,청소코드!$C$4:$J$188,4,FALSE)</f>
        <v>1</v>
      </c>
      <c r="F29" s="29" t="s">
        <v>1441</v>
      </c>
      <c r="G29" s="29"/>
      <c r="H29" s="29"/>
      <c r="I29" s="29" t="s">
        <v>431</v>
      </c>
      <c r="J29" s="47">
        <f t="shared" si="17"/>
        <v>18000</v>
      </c>
      <c r="K29" s="29">
        <f>VLOOKUP($C29,청소코드!$C$4:$J$188,8,FALSE)</f>
        <v>18000</v>
      </c>
      <c r="L29" s="32"/>
      <c r="M29" s="31"/>
      <c r="N29" s="32"/>
      <c r="O29" s="32"/>
    </row>
    <row r="30" spans="1:15" ht="12.75" customHeight="1">
      <c r="A30" s="30">
        <v>46148</v>
      </c>
      <c r="B30" s="29" t="str">
        <f t="shared" si="16"/>
        <v>수</v>
      </c>
      <c r="C30" s="29" t="s">
        <v>1430</v>
      </c>
      <c r="D30" s="29" t="str">
        <f>VLOOKUP($C30,청소코드!$C$4:$J$188,3,FALSE)</f>
        <v>예건 205</v>
      </c>
      <c r="E30" s="29">
        <f>VLOOKUP($C30,청소코드!$C$4:$J$188,4,FALSE)</f>
        <v>1</v>
      </c>
      <c r="F30" s="29" t="s">
        <v>1442</v>
      </c>
      <c r="G30" s="29"/>
      <c r="H30" s="29"/>
      <c r="I30" s="29" t="s">
        <v>431</v>
      </c>
      <c r="J30" s="47">
        <f t="shared" si="17"/>
        <v>18000</v>
      </c>
      <c r="K30" s="29">
        <f>VLOOKUP($C30,청소코드!$C$4:$J$188,8,FALSE)</f>
        <v>18000</v>
      </c>
      <c r="L30" s="32"/>
      <c r="M30" s="31"/>
      <c r="N30" s="32"/>
      <c r="O30" s="32"/>
    </row>
    <row r="31" spans="1:15" ht="12.75" customHeight="1">
      <c r="A31" s="30">
        <v>46148</v>
      </c>
      <c r="B31" s="29" t="str">
        <f t="shared" si="16"/>
        <v>수</v>
      </c>
      <c r="C31" s="29" t="s">
        <v>1431</v>
      </c>
      <c r="D31" s="29" t="str">
        <f>VLOOKUP($C31,청소코드!$C$4:$J$188,3,FALSE)</f>
        <v>은성 603</v>
      </c>
      <c r="E31" s="29">
        <f>VLOOKUP($C31,청소코드!$C$4:$J$188,4,FALSE)</f>
        <v>1</v>
      </c>
      <c r="F31" s="29" t="s">
        <v>1442</v>
      </c>
      <c r="G31" s="29"/>
      <c r="H31" s="29"/>
      <c r="I31" s="29" t="s">
        <v>431</v>
      </c>
      <c r="J31" s="47">
        <f t="shared" si="17"/>
        <v>18000</v>
      </c>
      <c r="K31" s="29">
        <f>VLOOKUP($C31,청소코드!$C$4:$J$188,8,FALSE)</f>
        <v>18000</v>
      </c>
      <c r="L31" s="32"/>
      <c r="M31" s="31"/>
      <c r="N31" s="32"/>
      <c r="O31" s="32"/>
    </row>
    <row r="32" spans="1:15" ht="12.75" customHeight="1">
      <c r="A32" s="30">
        <v>46148</v>
      </c>
      <c r="B32" s="29" t="str">
        <f t="shared" si="16"/>
        <v>수</v>
      </c>
      <c r="C32" s="29" t="s">
        <v>1432</v>
      </c>
      <c r="D32" s="29" t="str">
        <f>VLOOKUP($C32,청소코드!$C$4:$J$188,3,FALSE)</f>
        <v>더하임 1004</v>
      </c>
      <c r="E32" s="29">
        <f>VLOOKUP($C32,청소코드!$C$4:$J$188,4,FALSE)</f>
        <v>1</v>
      </c>
      <c r="F32" s="29" t="s">
        <v>1443</v>
      </c>
      <c r="G32" s="29"/>
      <c r="H32" s="29"/>
      <c r="I32" s="29" t="s">
        <v>431</v>
      </c>
      <c r="J32" s="47">
        <f t="shared" si="17"/>
        <v>18000</v>
      </c>
      <c r="K32" s="29">
        <f>VLOOKUP($C32,청소코드!$C$4:$J$188,8,FALSE)</f>
        <v>18000</v>
      </c>
      <c r="L32" s="32"/>
      <c r="M32" s="31"/>
      <c r="N32" s="32"/>
      <c r="O32" s="32"/>
    </row>
    <row r="33" spans="1:15" ht="12.75" customHeight="1">
      <c r="A33" s="30">
        <v>46148</v>
      </c>
      <c r="B33" s="29" t="str">
        <f t="shared" si="16"/>
        <v>수</v>
      </c>
      <c r="C33" s="29" t="s">
        <v>1433</v>
      </c>
      <c r="D33" s="29" t="str">
        <f>VLOOKUP($C33,청소코드!$C$4:$J$188,3,FALSE)</f>
        <v>더하임 1005</v>
      </c>
      <c r="E33" s="29">
        <f>VLOOKUP($C33,청소코드!$C$4:$J$188,4,FALSE)</f>
        <v>1</v>
      </c>
      <c r="F33" s="29" t="s">
        <v>1443</v>
      </c>
      <c r="G33" s="29"/>
      <c r="H33" s="29"/>
      <c r="I33" s="29" t="s">
        <v>431</v>
      </c>
      <c r="J33" s="47">
        <f t="shared" si="17"/>
        <v>18000</v>
      </c>
      <c r="K33" s="29">
        <f>VLOOKUP($C33,청소코드!$C$4:$J$188,8,FALSE)</f>
        <v>18000</v>
      </c>
      <c r="L33" s="32"/>
      <c r="M33" s="31"/>
      <c r="N33" s="32"/>
      <c r="O33" s="32"/>
    </row>
    <row r="34" spans="1:15" ht="12.75" customHeight="1">
      <c r="A34" s="30">
        <v>46148</v>
      </c>
      <c r="B34" s="29" t="str">
        <f t="shared" si="16"/>
        <v>수</v>
      </c>
      <c r="C34" s="29" t="s">
        <v>1434</v>
      </c>
      <c r="D34" s="29" t="str">
        <f>VLOOKUP($C34,청소코드!$C$4:$J$188,3,FALSE)</f>
        <v>미사아름채 1310호</v>
      </c>
      <c r="E34" s="29">
        <f>VLOOKUP($C34,청소코드!$C$4:$J$188,4,FALSE)</f>
        <v>1.5</v>
      </c>
      <c r="F34" s="29" t="s">
        <v>1443</v>
      </c>
      <c r="G34" s="29"/>
      <c r="H34" s="29"/>
      <c r="I34" s="29" t="s">
        <v>431</v>
      </c>
      <c r="J34" s="47">
        <f t="shared" si="17"/>
        <v>20000</v>
      </c>
      <c r="K34" s="29">
        <f>VLOOKUP($C34,청소코드!$C$4:$J$188,8,FALSE)</f>
        <v>20000</v>
      </c>
      <c r="L34" s="32"/>
      <c r="M34" s="31"/>
      <c r="N34" s="32"/>
      <c r="O34" s="32"/>
    </row>
    <row r="35" spans="1:15" ht="12.75" customHeight="1">
      <c r="A35" s="30">
        <v>46148</v>
      </c>
      <c r="B35" s="29" t="str">
        <f t="shared" si="16"/>
        <v>수</v>
      </c>
      <c r="C35" s="29" t="s">
        <v>1435</v>
      </c>
      <c r="D35" s="29" t="str">
        <f>VLOOKUP($C35,청소코드!$C$4:$J$188,3,FALSE)</f>
        <v>더하임 204</v>
      </c>
      <c r="E35" s="29">
        <f>VLOOKUP($C35,청소코드!$C$4:$J$188,4,FALSE)</f>
        <v>1</v>
      </c>
      <c r="F35" s="29" t="s">
        <v>1444</v>
      </c>
      <c r="G35" s="29"/>
      <c r="H35" s="29"/>
      <c r="I35" s="29" t="s">
        <v>431</v>
      </c>
      <c r="J35" s="47">
        <f t="shared" si="17"/>
        <v>18000</v>
      </c>
      <c r="K35" s="29">
        <f>VLOOKUP($C35,청소코드!$C$4:$J$188,8,FALSE)</f>
        <v>18000</v>
      </c>
      <c r="L35" s="32"/>
      <c r="M35" s="31"/>
      <c r="N35" s="32"/>
      <c r="O35" s="32"/>
    </row>
    <row r="36" spans="1:15" ht="12.75" customHeight="1">
      <c r="A36" s="30">
        <v>46148</v>
      </c>
      <c r="B36" s="29" t="str">
        <f t="shared" si="16"/>
        <v>수</v>
      </c>
      <c r="C36" s="29" t="s">
        <v>1436</v>
      </c>
      <c r="D36" s="29" t="str">
        <f>VLOOKUP($C36,청소코드!$C$4:$J$188,3,FALSE)</f>
        <v>더하임 901</v>
      </c>
      <c r="E36" s="29">
        <f>VLOOKUP($C36,청소코드!$C$4:$J$188,4,FALSE)</f>
        <v>1</v>
      </c>
      <c r="F36" s="29" t="s">
        <v>1444</v>
      </c>
      <c r="G36" s="29"/>
      <c r="H36" s="29"/>
      <c r="I36" s="29" t="s">
        <v>431</v>
      </c>
      <c r="J36" s="47">
        <f t="shared" si="17"/>
        <v>18000</v>
      </c>
      <c r="K36" s="29">
        <f>VLOOKUP($C36,청소코드!$C$4:$J$188,8,FALSE)</f>
        <v>18000</v>
      </c>
      <c r="L36" s="32"/>
      <c r="M36" s="31"/>
      <c r="N36" s="32"/>
      <c r="O36" s="32"/>
    </row>
    <row r="37" spans="1:15" ht="12.75" customHeight="1">
      <c r="A37" s="30">
        <v>46148</v>
      </c>
      <c r="B37" s="29" t="str">
        <f t="shared" si="16"/>
        <v>수</v>
      </c>
      <c r="C37" s="29" t="s">
        <v>1437</v>
      </c>
      <c r="D37" s="29" t="str">
        <f>VLOOKUP($C37,청소코드!$C$4:$J$188,3,FALSE)</f>
        <v>더하임 905</v>
      </c>
      <c r="E37" s="29">
        <f>VLOOKUP($C37,청소코드!$C$4:$J$188,4,FALSE)</f>
        <v>1</v>
      </c>
      <c r="F37" s="29" t="s">
        <v>1444</v>
      </c>
      <c r="G37" s="29"/>
      <c r="H37" s="29"/>
      <c r="I37" s="29" t="s">
        <v>431</v>
      </c>
      <c r="J37" s="47">
        <f t="shared" si="17"/>
        <v>18000</v>
      </c>
      <c r="K37" s="29">
        <f>VLOOKUP($C37,청소코드!$C$4:$J$188,8,FALSE)</f>
        <v>18000</v>
      </c>
      <c r="L37" s="32"/>
      <c r="M37" s="31"/>
      <c r="N37" s="32"/>
      <c r="O37" s="32"/>
    </row>
    <row r="38" spans="1:15" ht="12.75" customHeight="1">
      <c r="A38" s="30">
        <v>46148</v>
      </c>
      <c r="B38" s="29" t="str">
        <f t="shared" si="16"/>
        <v>수</v>
      </c>
      <c r="C38" s="29" t="s">
        <v>1438</v>
      </c>
      <c r="D38" s="29" t="str">
        <f>VLOOKUP($C38,청소코드!$C$4:$J$188,3,FALSE)</f>
        <v>하람휴 1102</v>
      </c>
      <c r="E38" s="29">
        <f>VLOOKUP($C38,청소코드!$C$4:$J$188,4,FALSE)</f>
        <v>2</v>
      </c>
      <c r="F38" s="29" t="s">
        <v>1445</v>
      </c>
      <c r="G38" s="29"/>
      <c r="H38" s="29"/>
      <c r="I38" s="29" t="s">
        <v>431</v>
      </c>
      <c r="J38" s="47">
        <f t="shared" si="17"/>
        <v>23000</v>
      </c>
      <c r="K38" s="29">
        <f>VLOOKUP($C38,청소코드!$C$4:$J$188,8,FALSE)</f>
        <v>23000</v>
      </c>
      <c r="L38" s="32"/>
      <c r="M38" s="31"/>
      <c r="N38" s="32"/>
      <c r="O38" s="32"/>
    </row>
    <row r="39" spans="1:15" ht="12.75" customHeight="1">
      <c r="A39" s="30">
        <v>46148</v>
      </c>
      <c r="B39" s="29" t="str">
        <f t="shared" si="16"/>
        <v>수</v>
      </c>
      <c r="C39" s="29" t="s">
        <v>1439</v>
      </c>
      <c r="D39" s="29" t="str">
        <f>VLOOKUP($C39,청소코드!$C$4:$J$188,3,FALSE)</f>
        <v>대치동 102호</v>
      </c>
      <c r="E39" s="29">
        <f>VLOOKUP($C39,청소코드!$C$4:$J$188,4,FALSE)</f>
        <v>1</v>
      </c>
      <c r="F39" s="29" t="s">
        <v>1446</v>
      </c>
      <c r="G39" s="29"/>
      <c r="H39" s="29"/>
      <c r="I39" s="29" t="s">
        <v>431</v>
      </c>
      <c r="J39" s="47">
        <f t="shared" si="17"/>
        <v>18000</v>
      </c>
      <c r="K39" s="29">
        <f>VLOOKUP($C39,청소코드!$C$4:$J$188,8,FALSE)</f>
        <v>18000</v>
      </c>
      <c r="L39" s="32"/>
      <c r="M39" s="31"/>
      <c r="N39" s="32"/>
      <c r="O39" s="32"/>
    </row>
    <row r="40" spans="1:15" ht="12.75" customHeight="1">
      <c r="A40" s="30">
        <v>46148</v>
      </c>
      <c r="B40" s="29" t="str">
        <f t="shared" si="16"/>
        <v>수</v>
      </c>
      <c r="C40" s="29" t="s">
        <v>1440</v>
      </c>
      <c r="D40" s="29" t="str">
        <f>VLOOKUP($C40,청소코드!$C$4:$J$188,3,FALSE)</f>
        <v>청광1차 207</v>
      </c>
      <c r="E40" s="29">
        <f>VLOOKUP($C40,청소코드!$C$4:$J$188,4,FALSE)</f>
        <v>0</v>
      </c>
      <c r="F40" s="29" t="s">
        <v>426</v>
      </c>
      <c r="G40" s="29"/>
      <c r="H40" s="29"/>
      <c r="I40" s="29" t="s">
        <v>431</v>
      </c>
      <c r="J40" s="47">
        <f t="shared" si="17"/>
        <v>10000</v>
      </c>
      <c r="K40" s="29">
        <f>VLOOKUP($C40,청소코드!$C$4:$J$188,8,FALSE)</f>
        <v>10000</v>
      </c>
      <c r="L40" s="32"/>
      <c r="M40" s="31"/>
      <c r="N40" s="32"/>
      <c r="O40" s="32"/>
    </row>
    <row r="41" spans="1:15" ht="12.75" customHeight="1">
      <c r="A41" s="49">
        <v>46149</v>
      </c>
      <c r="B41" s="50" t="str">
        <f t="shared" si="16"/>
        <v>목</v>
      </c>
      <c r="C41" s="29"/>
      <c r="D41" s="29" t="e">
        <f>VLOOKUP($C41,청소코드!$C$4:$J$188,3,FALSE)</f>
        <v>#N/A</v>
      </c>
      <c r="E41" s="29" t="e">
        <f>VLOOKUP($C41,청소코드!$C$4:$J$188,4,FALSE)</f>
        <v>#N/A</v>
      </c>
      <c r="F41" s="29"/>
      <c r="G41" s="29"/>
      <c r="H41" s="29"/>
      <c r="I41" s="29"/>
      <c r="J41" s="47" t="e">
        <f t="shared" si="17"/>
        <v>#N/A</v>
      </c>
      <c r="K41" s="29" t="e">
        <f>VLOOKUP($C41,청소코드!$C$4:$J$188,8,FALSE)</f>
        <v>#N/A</v>
      </c>
      <c r="L41" s="32"/>
      <c r="M41" s="31"/>
      <c r="N41" s="32"/>
      <c r="O41" s="32"/>
    </row>
    <row r="42" spans="1:15" ht="12.75" customHeight="1">
      <c r="A42" s="30">
        <v>46149</v>
      </c>
      <c r="B42" s="29" t="str">
        <f t="shared" si="16"/>
        <v>목</v>
      </c>
      <c r="C42" s="29"/>
      <c r="D42" s="29" t="e">
        <f>VLOOKUP($C42,청소코드!$C$4:$J$188,3,FALSE)</f>
        <v>#N/A</v>
      </c>
      <c r="E42" s="29" t="e">
        <f>VLOOKUP($C42,청소코드!$C$4:$J$188,4,FALSE)</f>
        <v>#N/A</v>
      </c>
      <c r="F42" s="29"/>
      <c r="G42" s="29"/>
      <c r="H42" s="29"/>
      <c r="I42" s="29"/>
      <c r="J42" s="47" t="e">
        <f t="shared" si="17"/>
        <v>#N/A</v>
      </c>
      <c r="K42" s="29" t="e">
        <f>VLOOKUP($C42,청소코드!$C$4:$J$188,8,FALSE)</f>
        <v>#N/A</v>
      </c>
      <c r="L42" s="32"/>
      <c r="M42" s="31"/>
      <c r="N42" s="32"/>
      <c r="O42" s="32"/>
    </row>
    <row r="43" spans="1:15" ht="12.75" customHeight="1">
      <c r="A43" s="30"/>
      <c r="B43" s="29" t="str">
        <f t="shared" si="16"/>
        <v>토</v>
      </c>
      <c r="C43" s="29"/>
      <c r="D43" s="29" t="e">
        <f>VLOOKUP($C43,청소코드!$C$4:$J$188,3,FALSE)</f>
        <v>#N/A</v>
      </c>
      <c r="E43" s="29" t="e">
        <f>VLOOKUP($C43,청소코드!$C$4:$J$188,4,FALSE)</f>
        <v>#N/A</v>
      </c>
      <c r="F43" s="29"/>
      <c r="G43" s="29"/>
      <c r="H43" s="29"/>
      <c r="I43" s="29"/>
      <c r="J43" s="47" t="e">
        <f t="shared" si="17"/>
        <v>#N/A</v>
      </c>
      <c r="K43" s="29" t="e">
        <f>VLOOKUP($C43,청소코드!$C$4:$J$188,8,FALSE)</f>
        <v>#N/A</v>
      </c>
      <c r="L43" s="32"/>
      <c r="M43" s="31"/>
      <c r="N43" s="32"/>
      <c r="O43" s="32"/>
    </row>
    <row r="44" spans="1:15" ht="12.75" customHeight="1">
      <c r="A44" s="30"/>
      <c r="B44" s="29" t="str">
        <f t="shared" si="16"/>
        <v>토</v>
      </c>
      <c r="C44" s="29"/>
      <c r="D44" s="29" t="e">
        <f>VLOOKUP($C44,청소코드!$C$4:$J$188,3,FALSE)</f>
        <v>#N/A</v>
      </c>
      <c r="E44" s="29" t="e">
        <f>VLOOKUP($C44,청소코드!$C$4:$J$188,4,FALSE)</f>
        <v>#N/A</v>
      </c>
      <c r="F44" s="29"/>
      <c r="G44" s="29"/>
      <c r="H44" s="29"/>
      <c r="I44" s="29"/>
      <c r="J44" s="47" t="e">
        <f t="shared" si="17"/>
        <v>#N/A</v>
      </c>
      <c r="K44" s="29" t="e">
        <f>VLOOKUP($C44,청소코드!$C$4:$J$188,8,FALSE)</f>
        <v>#N/A</v>
      </c>
      <c r="L44" s="32"/>
      <c r="M44" s="31"/>
      <c r="N44" s="32"/>
      <c r="O44" s="32"/>
    </row>
    <row r="45" spans="1:15" ht="12.75" customHeight="1">
      <c r="A45" s="30"/>
      <c r="B45" s="29" t="str">
        <f t="shared" si="16"/>
        <v>토</v>
      </c>
      <c r="C45" s="29"/>
      <c r="D45" s="29" t="e">
        <f>VLOOKUP($C45,청소코드!$C$4:$J$188,3,FALSE)</f>
        <v>#N/A</v>
      </c>
      <c r="E45" s="29" t="e">
        <f>VLOOKUP($C45,청소코드!$C$4:$J$188,4,FALSE)</f>
        <v>#N/A</v>
      </c>
      <c r="F45" s="29"/>
      <c r="G45" s="29"/>
      <c r="H45" s="29"/>
      <c r="I45" s="29"/>
      <c r="J45" s="47" t="e">
        <f t="shared" si="17"/>
        <v>#N/A</v>
      </c>
      <c r="K45" s="29" t="e">
        <f>VLOOKUP($C45,청소코드!$C$4:$J$188,8,FALSE)</f>
        <v>#N/A</v>
      </c>
      <c r="L45" s="32"/>
      <c r="M45" s="31"/>
      <c r="N45" s="32"/>
      <c r="O45" s="32"/>
    </row>
    <row r="46" spans="1:15" ht="12.75" customHeight="1">
      <c r="A46" s="30"/>
      <c r="B46" s="29" t="str">
        <f t="shared" si="16"/>
        <v>토</v>
      </c>
      <c r="C46" s="29"/>
      <c r="D46" s="29" t="e">
        <f>VLOOKUP($C46,청소코드!$C$4:$J$188,3,FALSE)</f>
        <v>#N/A</v>
      </c>
      <c r="E46" s="29" t="e">
        <f>VLOOKUP($C46,청소코드!$C$4:$J$188,4,FALSE)</f>
        <v>#N/A</v>
      </c>
      <c r="F46" s="29"/>
      <c r="G46" s="29"/>
      <c r="H46" s="29"/>
      <c r="I46" s="29"/>
      <c r="J46" s="47" t="e">
        <f t="shared" si="17"/>
        <v>#N/A</v>
      </c>
      <c r="K46" s="29" t="e">
        <f>VLOOKUP($C46,청소코드!$C$4:$J$188,8,FALSE)</f>
        <v>#N/A</v>
      </c>
      <c r="L46" s="32"/>
      <c r="M46" s="31"/>
      <c r="N46" s="32"/>
      <c r="O46" s="32"/>
    </row>
    <row r="47" spans="1:15" ht="12.75" customHeight="1">
      <c r="A47" s="30"/>
      <c r="B47" s="29" t="str">
        <f t="shared" si="16"/>
        <v>토</v>
      </c>
      <c r="C47" s="29"/>
      <c r="D47" s="29" t="e">
        <f>VLOOKUP($C47,청소코드!$C$4:$J$188,3,FALSE)</f>
        <v>#N/A</v>
      </c>
      <c r="E47" s="29" t="e">
        <f>VLOOKUP($C47,청소코드!$C$4:$J$188,4,FALSE)</f>
        <v>#N/A</v>
      </c>
      <c r="F47" s="29"/>
      <c r="G47" s="29"/>
      <c r="H47" s="29"/>
      <c r="I47" s="29"/>
      <c r="J47" s="47" t="e">
        <f t="shared" si="17"/>
        <v>#N/A</v>
      </c>
      <c r="K47" s="29" t="e">
        <f>VLOOKUP($C47,청소코드!$C$4:$J$188,8,FALSE)</f>
        <v>#N/A</v>
      </c>
      <c r="L47" s="32"/>
      <c r="M47" s="31"/>
      <c r="N47" s="32"/>
      <c r="O47" s="32"/>
    </row>
    <row r="48" spans="1:15" ht="12.75" customHeight="1">
      <c r="A48" s="30"/>
      <c r="B48" s="29" t="str">
        <f t="shared" si="16"/>
        <v>토</v>
      </c>
      <c r="C48" s="29"/>
      <c r="D48" s="29" t="e">
        <f>VLOOKUP($C48,청소코드!$C$4:$J$188,3,FALSE)</f>
        <v>#N/A</v>
      </c>
      <c r="E48" s="29" t="e">
        <f>VLOOKUP($C48,청소코드!$C$4:$J$188,4,FALSE)</f>
        <v>#N/A</v>
      </c>
      <c r="F48" s="29"/>
      <c r="G48" s="29"/>
      <c r="H48" s="29"/>
      <c r="I48" s="29"/>
      <c r="J48" s="47" t="e">
        <f t="shared" si="17"/>
        <v>#N/A</v>
      </c>
      <c r="K48" s="29" t="e">
        <f>VLOOKUP($C48,청소코드!$C$4:$J$188,8,FALSE)</f>
        <v>#N/A</v>
      </c>
      <c r="L48" s="32"/>
      <c r="M48" s="31"/>
      <c r="N48" s="32"/>
      <c r="O48" s="32"/>
    </row>
    <row r="49" spans="1:15" ht="12.75" customHeight="1">
      <c r="A49" s="30"/>
      <c r="B49" s="29" t="str">
        <f t="shared" si="16"/>
        <v>토</v>
      </c>
      <c r="C49" s="29"/>
      <c r="D49" s="29" t="e">
        <f>VLOOKUP($C49,청소코드!$C$4:$J$188,3,FALSE)</f>
        <v>#N/A</v>
      </c>
      <c r="E49" s="29" t="e">
        <f>VLOOKUP($C49,청소코드!$C$4:$J$188,4,FALSE)</f>
        <v>#N/A</v>
      </c>
      <c r="F49" s="29"/>
      <c r="G49" s="29"/>
      <c r="H49" s="29"/>
      <c r="I49" s="29"/>
      <c r="J49" s="47" t="e">
        <f t="shared" si="17"/>
        <v>#N/A</v>
      </c>
      <c r="K49" s="29" t="e">
        <f>VLOOKUP($C49,청소코드!$C$4:$J$188,8,FALSE)</f>
        <v>#N/A</v>
      </c>
      <c r="L49" s="32"/>
      <c r="M49" s="31"/>
      <c r="N49" s="32"/>
      <c r="O49" s="32"/>
    </row>
    <row r="50" spans="1:15" ht="12.75" customHeight="1">
      <c r="A50" s="30"/>
      <c r="B50" s="29" t="str">
        <f t="shared" si="16"/>
        <v>토</v>
      </c>
      <c r="C50" s="29"/>
      <c r="D50" s="29" t="e">
        <f>VLOOKUP($C50,청소코드!$C$4:$J$188,3,FALSE)</f>
        <v>#N/A</v>
      </c>
      <c r="E50" s="29" t="e">
        <f>VLOOKUP($C50,청소코드!$C$4:$J$188,4,FALSE)</f>
        <v>#N/A</v>
      </c>
      <c r="F50" s="29"/>
      <c r="G50" s="29"/>
      <c r="H50" s="29"/>
      <c r="I50" s="29"/>
      <c r="J50" s="47" t="e">
        <f t="shared" si="17"/>
        <v>#N/A</v>
      </c>
      <c r="K50" s="29" t="e">
        <f>VLOOKUP($C50,청소코드!$C$4:$J$188,8,FALSE)</f>
        <v>#N/A</v>
      </c>
      <c r="L50" s="32"/>
      <c r="M50" s="31"/>
      <c r="N50" s="32"/>
      <c r="O50" s="32"/>
    </row>
    <row r="51" spans="1:15" ht="12.75" customHeight="1">
      <c r="A51" s="30"/>
      <c r="B51" s="29" t="str">
        <f t="shared" si="16"/>
        <v>토</v>
      </c>
      <c r="C51" s="29"/>
      <c r="D51" s="29" t="e">
        <f>VLOOKUP($C51,청소코드!$C$4:$J$188,3,FALSE)</f>
        <v>#N/A</v>
      </c>
      <c r="E51" s="29" t="e">
        <f>VLOOKUP($C51,청소코드!$C$4:$J$188,4,FALSE)</f>
        <v>#N/A</v>
      </c>
      <c r="F51" s="29"/>
      <c r="G51" s="29"/>
      <c r="H51" s="29"/>
      <c r="I51" s="29"/>
      <c r="J51" s="47" t="e">
        <f t="shared" si="17"/>
        <v>#N/A</v>
      </c>
      <c r="K51" s="29" t="e">
        <f>VLOOKUP($C51,청소코드!$C$4:$J$188,8,FALSE)</f>
        <v>#N/A</v>
      </c>
      <c r="L51" s="32"/>
      <c r="M51" s="31"/>
      <c r="N51" s="32"/>
      <c r="O51" s="32"/>
    </row>
    <row r="52" spans="1:15" ht="12.75" customHeight="1">
      <c r="A52" s="30"/>
      <c r="B52" s="29" t="str">
        <f t="shared" si="16"/>
        <v>토</v>
      </c>
      <c r="C52" s="29"/>
      <c r="D52" s="29" t="e">
        <f>VLOOKUP($C52,청소코드!$C$4:$J$188,3,FALSE)</f>
        <v>#N/A</v>
      </c>
      <c r="E52" s="29" t="e">
        <f>VLOOKUP($C52,청소코드!$C$4:$J$188,4,FALSE)</f>
        <v>#N/A</v>
      </c>
      <c r="F52" s="29"/>
      <c r="G52" s="29"/>
      <c r="H52" s="29"/>
      <c r="I52" s="29"/>
      <c r="J52" s="47" t="e">
        <f t="shared" si="17"/>
        <v>#N/A</v>
      </c>
      <c r="K52" s="29" t="e">
        <f>VLOOKUP($C52,청소코드!$C$4:$J$188,8,FALSE)</f>
        <v>#N/A</v>
      </c>
      <c r="L52" s="32"/>
      <c r="M52" s="31"/>
      <c r="N52" s="32"/>
      <c r="O52" s="32"/>
    </row>
    <row r="53" spans="1:15" ht="12.75" customHeight="1">
      <c r="A53" s="30"/>
      <c r="B53" s="29" t="str">
        <f t="shared" si="16"/>
        <v>토</v>
      </c>
      <c r="C53" s="29"/>
      <c r="D53" s="29" t="e">
        <f>VLOOKUP($C53,청소코드!$C$4:$J$188,3,FALSE)</f>
        <v>#N/A</v>
      </c>
      <c r="E53" s="29" t="e">
        <f>VLOOKUP($C53,청소코드!$C$4:$J$188,4,FALSE)</f>
        <v>#N/A</v>
      </c>
      <c r="F53" s="29"/>
      <c r="G53" s="29"/>
      <c r="H53" s="29"/>
      <c r="I53" s="29"/>
      <c r="J53" s="47" t="e">
        <f t="shared" si="17"/>
        <v>#N/A</v>
      </c>
      <c r="K53" s="29" t="e">
        <f>VLOOKUP($C53,청소코드!$C$4:$J$188,8,FALSE)</f>
        <v>#N/A</v>
      </c>
      <c r="L53" s="32"/>
      <c r="M53" s="31"/>
      <c r="N53" s="32"/>
      <c r="O53" s="32"/>
    </row>
    <row r="54" spans="1:15" ht="12.75" customHeight="1">
      <c r="A54" s="30"/>
      <c r="B54" s="29" t="str">
        <f t="shared" si="16"/>
        <v>토</v>
      </c>
      <c r="C54" s="29"/>
      <c r="D54" s="29" t="e">
        <f>VLOOKUP($C54,청소코드!$C$4:$J$188,3,FALSE)</f>
        <v>#N/A</v>
      </c>
      <c r="E54" s="29" t="e">
        <f>VLOOKUP($C54,청소코드!$C$4:$J$188,4,FALSE)</f>
        <v>#N/A</v>
      </c>
      <c r="F54" s="29"/>
      <c r="G54" s="29"/>
      <c r="H54" s="29"/>
      <c r="I54" s="29"/>
      <c r="J54" s="47" t="e">
        <f t="shared" si="17"/>
        <v>#N/A</v>
      </c>
      <c r="K54" s="29" t="e">
        <f>VLOOKUP($C54,청소코드!$C$4:$J$188,8,FALSE)</f>
        <v>#N/A</v>
      </c>
      <c r="L54" s="32"/>
      <c r="M54" s="31"/>
      <c r="N54" s="32"/>
      <c r="O54" s="32"/>
    </row>
    <row r="55" spans="1:15" ht="12.75" customHeight="1">
      <c r="A55" s="30"/>
      <c r="B55" s="29" t="str">
        <f t="shared" si="16"/>
        <v>토</v>
      </c>
      <c r="C55" s="29"/>
      <c r="D55" s="29" t="e">
        <f>VLOOKUP($C55,청소코드!$C$4:$J$188,3,FALSE)</f>
        <v>#N/A</v>
      </c>
      <c r="E55" s="29" t="e">
        <f>VLOOKUP($C55,청소코드!$C$4:$J$188,4,FALSE)</f>
        <v>#N/A</v>
      </c>
      <c r="F55" s="29"/>
      <c r="G55" s="29"/>
      <c r="H55" s="29"/>
      <c r="I55" s="29"/>
      <c r="J55" s="47" t="e">
        <f t="shared" si="17"/>
        <v>#N/A</v>
      </c>
      <c r="K55" s="29" t="e">
        <f>VLOOKUP($C55,청소코드!$C$4:$J$188,8,FALSE)</f>
        <v>#N/A</v>
      </c>
      <c r="L55" s="32"/>
      <c r="M55" s="31"/>
      <c r="N55" s="32"/>
      <c r="O55" s="32"/>
    </row>
    <row r="56" spans="1:15" ht="12.75" customHeight="1">
      <c r="A56" s="30"/>
      <c r="B56" s="29" t="str">
        <f t="shared" si="16"/>
        <v>토</v>
      </c>
      <c r="C56" s="29"/>
      <c r="D56" s="29" t="e">
        <f>VLOOKUP($C56,청소코드!$C$4:$J$188,3,FALSE)</f>
        <v>#N/A</v>
      </c>
      <c r="E56" s="29" t="e">
        <f>VLOOKUP($C56,청소코드!$C$4:$J$188,4,FALSE)</f>
        <v>#N/A</v>
      </c>
      <c r="F56" s="29"/>
      <c r="G56" s="29"/>
      <c r="H56" s="29"/>
      <c r="I56" s="29"/>
      <c r="J56" s="47" t="e">
        <f t="shared" si="17"/>
        <v>#N/A</v>
      </c>
      <c r="K56" s="29" t="e">
        <f>VLOOKUP($C56,청소코드!$C$4:$J$188,8,FALSE)</f>
        <v>#N/A</v>
      </c>
      <c r="L56" s="32"/>
      <c r="M56" s="31"/>
      <c r="N56" s="32"/>
      <c r="O56" s="32"/>
    </row>
    <row r="57" spans="1:15" ht="12.75" customHeight="1">
      <c r="A57" s="30"/>
      <c r="B57" s="29" t="str">
        <f t="shared" si="16"/>
        <v>토</v>
      </c>
      <c r="C57" s="29"/>
      <c r="D57" s="29" t="e">
        <f>VLOOKUP($C57,청소코드!$C$4:$J$188,3,FALSE)</f>
        <v>#N/A</v>
      </c>
      <c r="E57" s="29" t="e">
        <f>VLOOKUP($C57,청소코드!$C$4:$J$188,4,FALSE)</f>
        <v>#N/A</v>
      </c>
      <c r="F57" s="29"/>
      <c r="G57" s="29"/>
      <c r="H57" s="29"/>
      <c r="I57" s="29"/>
      <c r="J57" s="47" t="e">
        <f t="shared" si="17"/>
        <v>#N/A</v>
      </c>
      <c r="K57" s="29" t="e">
        <f>VLOOKUP($C57,청소코드!$C$4:$J$188,8,FALSE)</f>
        <v>#N/A</v>
      </c>
      <c r="L57" s="32"/>
      <c r="M57" s="31"/>
      <c r="N57" s="32"/>
      <c r="O57" s="32"/>
    </row>
    <row r="58" spans="1:15" ht="12.75" customHeight="1">
      <c r="A58" s="30"/>
      <c r="B58" s="29" t="str">
        <f t="shared" si="16"/>
        <v>토</v>
      </c>
      <c r="C58" s="29"/>
      <c r="D58" s="29" t="e">
        <f>VLOOKUP($C58,청소코드!$C$4:$J$188,3,FALSE)</f>
        <v>#N/A</v>
      </c>
      <c r="E58" s="29" t="e">
        <f>VLOOKUP($C58,청소코드!$C$4:$J$188,4,FALSE)</f>
        <v>#N/A</v>
      </c>
      <c r="F58" s="29"/>
      <c r="G58" s="29"/>
      <c r="H58" s="29"/>
      <c r="I58" s="29"/>
      <c r="J58" s="47" t="e">
        <f t="shared" si="17"/>
        <v>#N/A</v>
      </c>
      <c r="K58" s="29" t="e">
        <f>VLOOKUP($C58,청소코드!$C$4:$J$188,8,FALSE)</f>
        <v>#N/A</v>
      </c>
      <c r="L58" s="32"/>
      <c r="M58" s="31"/>
      <c r="N58" s="32"/>
      <c r="O58" s="32"/>
    </row>
    <row r="59" spans="1:15" ht="12.75" customHeight="1">
      <c r="A59" s="30"/>
      <c r="B59" s="29" t="str">
        <f t="shared" si="16"/>
        <v>토</v>
      </c>
      <c r="C59" s="29"/>
      <c r="D59" s="29" t="e">
        <f>VLOOKUP($C59,청소코드!$C$4:$J$188,3,FALSE)</f>
        <v>#N/A</v>
      </c>
      <c r="E59" s="29" t="e">
        <f>VLOOKUP($C59,청소코드!$C$4:$J$188,4,FALSE)</f>
        <v>#N/A</v>
      </c>
      <c r="F59" s="29"/>
      <c r="G59" s="29"/>
      <c r="H59" s="29"/>
      <c r="I59" s="29"/>
      <c r="J59" s="47" t="e">
        <f t="shared" si="17"/>
        <v>#N/A</v>
      </c>
      <c r="K59" s="29" t="e">
        <f>VLOOKUP($C59,청소코드!$C$4:$J$188,8,FALSE)</f>
        <v>#N/A</v>
      </c>
      <c r="L59" s="32"/>
      <c r="M59" s="31"/>
      <c r="N59" s="32"/>
      <c r="O59" s="32"/>
    </row>
    <row r="60" spans="1:15" ht="12.75" customHeight="1">
      <c r="A60" s="30"/>
      <c r="B60" s="29" t="str">
        <f t="shared" si="16"/>
        <v>토</v>
      </c>
      <c r="C60" s="29"/>
      <c r="D60" s="29" t="e">
        <f>VLOOKUP($C60,청소코드!$C$4:$J$188,3,FALSE)</f>
        <v>#N/A</v>
      </c>
      <c r="E60" s="29" t="e">
        <f>VLOOKUP($C60,청소코드!$C$4:$J$188,4,FALSE)</f>
        <v>#N/A</v>
      </c>
      <c r="F60" s="29"/>
      <c r="G60" s="29"/>
      <c r="H60" s="29"/>
      <c r="I60" s="29"/>
      <c r="J60" s="47" t="e">
        <f t="shared" si="17"/>
        <v>#N/A</v>
      </c>
      <c r="K60" s="29" t="e">
        <f>VLOOKUP($C60,청소코드!$C$4:$J$188,8,FALSE)</f>
        <v>#N/A</v>
      </c>
      <c r="L60" s="32"/>
      <c r="M60" s="31"/>
      <c r="N60" s="32"/>
      <c r="O60" s="32"/>
    </row>
    <row r="61" spans="1:15" ht="12.75" customHeight="1">
      <c r="A61" s="30"/>
      <c r="B61" s="29" t="str">
        <f t="shared" si="16"/>
        <v>토</v>
      </c>
      <c r="C61" s="29"/>
      <c r="D61" s="29" t="e">
        <f>VLOOKUP($C61,청소코드!$C$4:$J$188,3,FALSE)</f>
        <v>#N/A</v>
      </c>
      <c r="E61" s="29" t="e">
        <f>VLOOKUP($C61,청소코드!$C$4:$J$188,4,FALSE)</f>
        <v>#N/A</v>
      </c>
      <c r="F61" s="29"/>
      <c r="G61" s="29"/>
      <c r="H61" s="29"/>
      <c r="I61" s="29"/>
      <c r="J61" s="47" t="e">
        <f t="shared" si="17"/>
        <v>#N/A</v>
      </c>
      <c r="K61" s="29" t="e">
        <f>VLOOKUP($C61,청소코드!$C$4:$J$188,8,FALSE)</f>
        <v>#N/A</v>
      </c>
      <c r="L61" s="32"/>
      <c r="M61" s="31"/>
      <c r="N61" s="32"/>
      <c r="O61" s="32"/>
    </row>
    <row r="62" spans="1:15" ht="12.75" customHeight="1">
      <c r="A62" s="30"/>
      <c r="B62" s="29" t="str">
        <f t="shared" si="16"/>
        <v>토</v>
      </c>
      <c r="C62" s="29"/>
      <c r="D62" s="29" t="e">
        <f>VLOOKUP($C62,청소코드!$C$4:$J$188,3,FALSE)</f>
        <v>#N/A</v>
      </c>
      <c r="E62" s="29" t="e">
        <f>VLOOKUP($C62,청소코드!$C$4:$J$188,4,FALSE)</f>
        <v>#N/A</v>
      </c>
      <c r="F62" s="29"/>
      <c r="G62" s="29"/>
      <c r="H62" s="29"/>
      <c r="I62" s="29"/>
      <c r="J62" s="47" t="e">
        <f t="shared" si="17"/>
        <v>#N/A</v>
      </c>
      <c r="K62" s="29" t="e">
        <f>VLOOKUP($C62,청소코드!$C$4:$J$188,8,FALSE)</f>
        <v>#N/A</v>
      </c>
      <c r="L62" s="32"/>
      <c r="M62" s="31"/>
      <c r="N62" s="32"/>
      <c r="O62" s="32"/>
    </row>
    <row r="63" spans="1:15" ht="12.75" customHeight="1">
      <c r="A63" s="30"/>
      <c r="B63" s="29" t="str">
        <f t="shared" si="16"/>
        <v>토</v>
      </c>
      <c r="C63" s="29"/>
      <c r="D63" s="29" t="e">
        <f>VLOOKUP($C63,청소코드!$C$4:$J$188,3,FALSE)</f>
        <v>#N/A</v>
      </c>
      <c r="E63" s="29" t="e">
        <f>VLOOKUP($C63,청소코드!$C$4:$J$188,4,FALSE)</f>
        <v>#N/A</v>
      </c>
      <c r="F63" s="29"/>
      <c r="G63" s="29"/>
      <c r="H63" s="29"/>
      <c r="I63" s="29"/>
      <c r="J63" s="47" t="e">
        <f t="shared" si="17"/>
        <v>#N/A</v>
      </c>
      <c r="K63" s="29" t="e">
        <f>VLOOKUP($C63,청소코드!$C$4:$J$188,8,FALSE)</f>
        <v>#N/A</v>
      </c>
      <c r="L63" s="32"/>
      <c r="M63" s="31"/>
      <c r="N63" s="32"/>
      <c r="O63" s="32"/>
    </row>
    <row r="64" spans="1:15" ht="12.75" customHeight="1">
      <c r="A64" s="30"/>
      <c r="B64" s="29" t="str">
        <f t="shared" si="16"/>
        <v>토</v>
      </c>
      <c r="C64" s="29"/>
      <c r="D64" s="29" t="e">
        <f>VLOOKUP($C64,청소코드!$C$4:$J$188,3,FALSE)</f>
        <v>#N/A</v>
      </c>
      <c r="E64" s="29" t="e">
        <f>VLOOKUP($C64,청소코드!$C$4:$J$188,4,FALSE)</f>
        <v>#N/A</v>
      </c>
      <c r="F64" s="29"/>
      <c r="G64" s="29"/>
      <c r="H64" s="29"/>
      <c r="I64" s="29"/>
      <c r="J64" s="47" t="e">
        <f t="shared" si="17"/>
        <v>#N/A</v>
      </c>
      <c r="K64" s="29" t="e">
        <f>VLOOKUP($C64,청소코드!$C$4:$J$188,8,FALSE)</f>
        <v>#N/A</v>
      </c>
      <c r="L64" s="32"/>
      <c r="M64" s="31"/>
      <c r="N64" s="32"/>
      <c r="O64" s="32"/>
    </row>
    <row r="65" spans="1:15" ht="12.75" customHeight="1">
      <c r="A65" s="30"/>
      <c r="B65" s="29" t="str">
        <f t="shared" si="16"/>
        <v>토</v>
      </c>
      <c r="C65" s="29"/>
      <c r="D65" s="29" t="e">
        <f>VLOOKUP($C65,청소코드!$C$4:$J$188,3,FALSE)</f>
        <v>#N/A</v>
      </c>
      <c r="E65" s="29" t="e">
        <f>VLOOKUP($C65,청소코드!$C$4:$J$188,4,FALSE)</f>
        <v>#N/A</v>
      </c>
      <c r="F65" s="29"/>
      <c r="G65" s="29"/>
      <c r="H65" s="29"/>
      <c r="I65" s="29"/>
      <c r="J65" s="47" t="e">
        <f t="shared" si="17"/>
        <v>#N/A</v>
      </c>
      <c r="K65" s="29" t="e">
        <f>VLOOKUP($C65,청소코드!$C$4:$J$188,8,FALSE)</f>
        <v>#N/A</v>
      </c>
      <c r="L65" s="32"/>
      <c r="M65" s="31"/>
      <c r="N65" s="32"/>
      <c r="O65" s="32"/>
    </row>
    <row r="66" spans="1:15" ht="12.75" customHeight="1">
      <c r="A66" s="30"/>
      <c r="B66" s="29" t="str">
        <f t="shared" si="16"/>
        <v>토</v>
      </c>
      <c r="C66" s="29"/>
      <c r="D66" s="29" t="e">
        <f>VLOOKUP($C66,청소코드!$C$4:$J$188,3,FALSE)</f>
        <v>#N/A</v>
      </c>
      <c r="E66" s="29" t="e">
        <f>VLOOKUP($C66,청소코드!$C$4:$J$188,4,FALSE)</f>
        <v>#N/A</v>
      </c>
      <c r="F66" s="29"/>
      <c r="G66" s="29"/>
      <c r="H66" s="29"/>
      <c r="I66" s="29"/>
      <c r="J66" s="47" t="e">
        <f t="shared" si="17"/>
        <v>#N/A</v>
      </c>
      <c r="K66" s="29" t="e">
        <f>VLOOKUP($C66,청소코드!$C$4:$J$188,8,FALSE)</f>
        <v>#N/A</v>
      </c>
      <c r="L66" s="32"/>
      <c r="M66" s="31"/>
      <c r="N66" s="32"/>
      <c r="O66" s="32"/>
    </row>
    <row r="67" spans="1:15" ht="12.75" customHeight="1">
      <c r="A67" s="30"/>
      <c r="B67" s="29" t="str">
        <f t="shared" si="16"/>
        <v>토</v>
      </c>
      <c r="C67" s="29"/>
      <c r="D67" s="29" t="e">
        <f>VLOOKUP($C67,청소코드!$C$4:$J$188,3,FALSE)</f>
        <v>#N/A</v>
      </c>
      <c r="E67" s="29" t="e">
        <f>VLOOKUP($C67,청소코드!$C$4:$J$188,4,FALSE)</f>
        <v>#N/A</v>
      </c>
      <c r="F67" s="29"/>
      <c r="G67" s="29"/>
      <c r="H67" s="29"/>
      <c r="I67" s="29"/>
      <c r="J67" s="47" t="e">
        <f t="shared" si="17"/>
        <v>#N/A</v>
      </c>
      <c r="K67" s="29" t="e">
        <f>VLOOKUP($C67,청소코드!$C$4:$J$188,8,FALSE)</f>
        <v>#N/A</v>
      </c>
      <c r="L67" s="32"/>
      <c r="M67" s="31"/>
      <c r="N67" s="32"/>
      <c r="O67" s="32"/>
    </row>
    <row r="68" spans="1:15" ht="12.75" customHeight="1">
      <c r="A68" s="30"/>
      <c r="B68" s="29" t="str">
        <f t="shared" si="16"/>
        <v>토</v>
      </c>
      <c r="C68" s="29"/>
      <c r="D68" s="29" t="e">
        <f>VLOOKUP($C68,청소코드!$C$4:$J$188,3,FALSE)</f>
        <v>#N/A</v>
      </c>
      <c r="E68" s="29" t="e">
        <f>VLOOKUP($C68,청소코드!$C$4:$J$188,4,FALSE)</f>
        <v>#N/A</v>
      </c>
      <c r="F68" s="29"/>
      <c r="G68" s="29"/>
      <c r="H68" s="29"/>
      <c r="I68" s="29"/>
      <c r="J68" s="47" t="e">
        <f t="shared" si="17"/>
        <v>#N/A</v>
      </c>
      <c r="K68" s="29" t="e">
        <f>VLOOKUP($C68,청소코드!$C$4:$J$188,8,FALSE)</f>
        <v>#N/A</v>
      </c>
      <c r="L68" s="32"/>
      <c r="M68" s="31"/>
      <c r="N68" s="32"/>
      <c r="O68" s="32"/>
    </row>
    <row r="69" spans="1:15" ht="12.75" customHeight="1">
      <c r="A69" s="30"/>
      <c r="B69" s="29" t="str">
        <f t="shared" si="16"/>
        <v>토</v>
      </c>
      <c r="C69" s="29"/>
      <c r="D69" s="29" t="e">
        <f>VLOOKUP($C69,청소코드!$C$4:$J$188,3,FALSE)</f>
        <v>#N/A</v>
      </c>
      <c r="E69" s="29" t="e">
        <f>VLOOKUP($C69,청소코드!$C$4:$J$188,4,FALSE)</f>
        <v>#N/A</v>
      </c>
      <c r="F69" s="29"/>
      <c r="G69" s="29"/>
      <c r="H69" s="29"/>
      <c r="I69" s="29"/>
      <c r="J69" s="47" t="e">
        <f t="shared" si="17"/>
        <v>#N/A</v>
      </c>
      <c r="K69" s="29" t="e">
        <f>VLOOKUP($C69,청소코드!$C$4:$J$188,8,FALSE)</f>
        <v>#N/A</v>
      </c>
      <c r="L69" s="32"/>
      <c r="M69" s="31"/>
      <c r="N69" s="32"/>
      <c r="O69" s="32"/>
    </row>
    <row r="70" spans="1:15" ht="12.75" customHeight="1">
      <c r="A70" s="30"/>
      <c r="B70" s="29" t="str">
        <f t="shared" si="16"/>
        <v>토</v>
      </c>
      <c r="C70" s="29"/>
      <c r="D70" s="29" t="e">
        <f>VLOOKUP($C70,청소코드!$C$4:$J$188,3,FALSE)</f>
        <v>#N/A</v>
      </c>
      <c r="E70" s="29" t="e">
        <f>VLOOKUP($C70,청소코드!$C$4:$J$188,4,FALSE)</f>
        <v>#N/A</v>
      </c>
      <c r="F70" s="29"/>
      <c r="G70" s="29"/>
      <c r="H70" s="29"/>
      <c r="I70" s="29"/>
      <c r="J70" s="47" t="e">
        <f t="shared" si="17"/>
        <v>#N/A</v>
      </c>
      <c r="K70" s="29" t="e">
        <f>VLOOKUP($C70,청소코드!$C$4:$J$188,8,FALSE)</f>
        <v>#N/A</v>
      </c>
      <c r="L70" s="32"/>
      <c r="M70" s="31"/>
      <c r="N70" s="32"/>
      <c r="O70" s="32"/>
    </row>
    <row r="71" spans="1:15" ht="12.75" customHeight="1">
      <c r="A71" s="30"/>
      <c r="B71" s="29" t="str">
        <f t="shared" si="16"/>
        <v>토</v>
      </c>
      <c r="C71" s="29"/>
      <c r="D71" s="29" t="e">
        <f>VLOOKUP($C71,청소코드!$C$4:$J$188,3,FALSE)</f>
        <v>#N/A</v>
      </c>
      <c r="E71" s="29" t="e">
        <f>VLOOKUP($C71,청소코드!$C$4:$J$188,4,FALSE)</f>
        <v>#N/A</v>
      </c>
      <c r="F71" s="29"/>
      <c r="G71" s="29"/>
      <c r="H71" s="29"/>
      <c r="I71" s="29"/>
      <c r="J71" s="47" t="e">
        <f t="shared" si="17"/>
        <v>#N/A</v>
      </c>
      <c r="K71" s="29" t="e">
        <f>VLOOKUP($C71,청소코드!$C$4:$J$188,8,FALSE)</f>
        <v>#N/A</v>
      </c>
      <c r="L71" s="32"/>
      <c r="M71" s="31"/>
      <c r="N71" s="32"/>
      <c r="O71" s="32"/>
    </row>
    <row r="72" spans="1:15" ht="12.75" customHeight="1">
      <c r="A72" s="30"/>
      <c r="B72" s="29" t="str">
        <f t="shared" si="16"/>
        <v>토</v>
      </c>
      <c r="C72" s="29"/>
      <c r="D72" s="29" t="e">
        <f>VLOOKUP($C72,청소코드!$C$4:$J$188,3,FALSE)</f>
        <v>#N/A</v>
      </c>
      <c r="E72" s="29" t="e">
        <f>VLOOKUP($C72,청소코드!$C$4:$J$188,4,FALSE)</f>
        <v>#N/A</v>
      </c>
      <c r="F72" s="29"/>
      <c r="G72" s="29"/>
      <c r="H72" s="29"/>
      <c r="I72" s="29"/>
      <c r="J72" s="47" t="e">
        <f t="shared" si="17"/>
        <v>#N/A</v>
      </c>
      <c r="K72" s="29" t="e">
        <f>VLOOKUP($C72,청소코드!$C$4:$J$188,8,FALSE)</f>
        <v>#N/A</v>
      </c>
      <c r="L72" s="32"/>
      <c r="M72" s="31"/>
      <c r="N72" s="32"/>
      <c r="O72" s="32"/>
    </row>
    <row r="73" spans="1:15" ht="12.75" customHeight="1">
      <c r="A73" s="30"/>
      <c r="B73" s="29" t="str">
        <f t="shared" si="16"/>
        <v>토</v>
      </c>
      <c r="C73" s="29"/>
      <c r="D73" s="29" t="e">
        <f>VLOOKUP($C73,청소코드!$C$4:$J$188,3,FALSE)</f>
        <v>#N/A</v>
      </c>
      <c r="E73" s="29" t="e">
        <f>VLOOKUP($C73,청소코드!$C$4:$J$188,4,FALSE)</f>
        <v>#N/A</v>
      </c>
      <c r="F73" s="29"/>
      <c r="G73" s="29"/>
      <c r="H73" s="29"/>
      <c r="I73" s="29"/>
      <c r="J73" s="47" t="e">
        <f t="shared" si="17"/>
        <v>#N/A</v>
      </c>
      <c r="K73" s="29" t="e">
        <f>VLOOKUP($C73,청소코드!$C$4:$J$188,8,FALSE)</f>
        <v>#N/A</v>
      </c>
      <c r="L73" s="32"/>
      <c r="M73" s="31"/>
      <c r="N73" s="32"/>
      <c r="O73" s="32"/>
    </row>
    <row r="74" spans="1:15" ht="12.75" customHeight="1">
      <c r="A74" s="30"/>
      <c r="B74" s="29" t="str">
        <f t="shared" ref="B74" si="18">TEXT(A74,"aaa")</f>
        <v>토</v>
      </c>
      <c r="C74" s="29"/>
      <c r="D74" s="29" t="e">
        <f>VLOOKUP($C74,청소코드!$C$4:$J$188,3,FALSE)</f>
        <v>#N/A</v>
      </c>
      <c r="E74" s="29" t="e">
        <f>VLOOKUP($C74,청소코드!$C$4:$J$188,4,FALSE)</f>
        <v>#N/A</v>
      </c>
      <c r="F74" s="29"/>
      <c r="G74" s="29"/>
      <c r="H74" s="29"/>
      <c r="I74" s="29"/>
      <c r="J74" s="47" t="e">
        <f t="shared" ref="J74" si="19">SUM(K74:O74)</f>
        <v>#N/A</v>
      </c>
      <c r="K74" s="29" t="e">
        <f>VLOOKUP($C74,청소코드!$C$4:$J$188,8,FALSE)</f>
        <v>#N/A</v>
      </c>
      <c r="L74" s="32"/>
      <c r="M74" s="31"/>
      <c r="N74" s="32"/>
      <c r="O74" s="32"/>
    </row>
    <row r="75" spans="1:15" ht="12.75" customHeight="1">
      <c r="A75" s="30"/>
      <c r="B75" s="29" t="str">
        <f t="shared" ref="B75" si="20">TEXT(A75,"aaa")</f>
        <v>토</v>
      </c>
      <c r="C75" s="29"/>
      <c r="D75" s="29" t="e">
        <f>VLOOKUP($C75,청소코드!$C$4:$J$188,3,FALSE)</f>
        <v>#N/A</v>
      </c>
      <c r="E75" s="29" t="e">
        <f>VLOOKUP($C75,청소코드!$C$4:$J$188,4,FALSE)</f>
        <v>#N/A</v>
      </c>
      <c r="F75" s="29"/>
      <c r="G75" s="29"/>
      <c r="H75" s="29"/>
      <c r="I75" s="29"/>
      <c r="J75" s="47" t="e">
        <f t="shared" ref="J75" si="21">SUM(K75:O75)</f>
        <v>#N/A</v>
      </c>
      <c r="K75" s="29" t="e">
        <f>VLOOKUP($C75,청소코드!$C$4:$J$188,8,FALSE)</f>
        <v>#N/A</v>
      </c>
      <c r="L75" s="32"/>
      <c r="M75" s="31"/>
      <c r="N75" s="32"/>
      <c r="O75" s="32"/>
    </row>
    <row r="76" spans="1:15" ht="12.75" customHeight="1">
      <c r="A76" s="30"/>
      <c r="B76" s="29" t="str">
        <f t="shared" ref="B76" si="22">TEXT(A76,"aaa")</f>
        <v>토</v>
      </c>
      <c r="C76" s="29"/>
      <c r="D76" s="29" t="e">
        <f>VLOOKUP($C76,청소코드!$C$4:$J$188,3,FALSE)</f>
        <v>#N/A</v>
      </c>
      <c r="E76" s="29" t="e">
        <f>VLOOKUP($C76,청소코드!$C$4:$J$188,4,FALSE)</f>
        <v>#N/A</v>
      </c>
      <c r="F76" s="29"/>
      <c r="G76" s="29"/>
      <c r="H76" s="29"/>
      <c r="I76" s="29"/>
      <c r="J76" s="47" t="e">
        <f t="shared" ref="J76" si="23">SUM(K76:O76)</f>
        <v>#N/A</v>
      </c>
      <c r="K76" s="29" t="e">
        <f>VLOOKUP($C76,청소코드!$C$4:$J$188,8,FALSE)</f>
        <v>#N/A</v>
      </c>
      <c r="L76" s="32"/>
      <c r="M76" s="31"/>
      <c r="N76" s="32"/>
      <c r="O76" s="32"/>
    </row>
    <row r="77" spans="1:15" ht="12.75" customHeight="1">
      <c r="A77" s="30"/>
      <c r="B77" s="29" t="str">
        <f t="shared" ref="B77" si="24">TEXT(A77,"aaa")</f>
        <v>토</v>
      </c>
      <c r="C77" s="29"/>
      <c r="D77" s="29" t="e">
        <f>VLOOKUP($C77,청소코드!$C$4:$J$188,3,FALSE)</f>
        <v>#N/A</v>
      </c>
      <c r="E77" s="29" t="e">
        <f>VLOOKUP($C77,청소코드!$C$4:$J$188,4,FALSE)</f>
        <v>#N/A</v>
      </c>
      <c r="F77" s="29"/>
      <c r="G77" s="29"/>
      <c r="H77" s="29"/>
      <c r="I77" s="29"/>
      <c r="J77" s="47" t="e">
        <f t="shared" ref="J77" si="25">SUM(K77:O77)</f>
        <v>#N/A</v>
      </c>
      <c r="K77" s="29" t="e">
        <f>VLOOKUP($C77,청소코드!$C$4:$J$188,8,FALSE)</f>
        <v>#N/A</v>
      </c>
      <c r="L77" s="32"/>
      <c r="M77" s="31"/>
      <c r="N77" s="32"/>
      <c r="O77" s="32"/>
    </row>
    <row r="78" spans="1:15" ht="12.75" customHeight="1">
      <c r="A78" s="30"/>
      <c r="B78" s="29" t="str">
        <f t="shared" ref="B78" si="26">TEXT(A78,"aaa")</f>
        <v>토</v>
      </c>
      <c r="C78" s="29"/>
      <c r="D78" s="29" t="e">
        <f>VLOOKUP($C78,청소코드!$C$4:$J$188,3,FALSE)</f>
        <v>#N/A</v>
      </c>
      <c r="E78" s="29" t="e">
        <f>VLOOKUP($C78,청소코드!$C$4:$J$188,4,FALSE)</f>
        <v>#N/A</v>
      </c>
      <c r="F78" s="29"/>
      <c r="G78" s="29"/>
      <c r="H78" s="29"/>
      <c r="I78" s="29"/>
      <c r="J78" s="47" t="e">
        <f t="shared" ref="J78" si="27">SUM(K78:O78)</f>
        <v>#N/A</v>
      </c>
      <c r="K78" s="29" t="e">
        <f>VLOOKUP($C78,청소코드!$C$4:$J$188,8,FALSE)</f>
        <v>#N/A</v>
      </c>
      <c r="L78" s="32"/>
      <c r="M78" s="31"/>
      <c r="N78" s="32"/>
      <c r="O78" s="32"/>
    </row>
    <row r="79" spans="1:15" ht="12.75" customHeight="1">
      <c r="A79" s="30"/>
      <c r="B79" s="29" t="str">
        <f t="shared" ref="B79" si="28">TEXT(A79,"aaa")</f>
        <v>토</v>
      </c>
      <c r="C79" s="29"/>
      <c r="D79" s="29" t="e">
        <f>VLOOKUP($C79,청소코드!$C$4:$J$188,3,FALSE)</f>
        <v>#N/A</v>
      </c>
      <c r="E79" s="29" t="e">
        <f>VLOOKUP($C79,청소코드!$C$4:$J$188,4,FALSE)</f>
        <v>#N/A</v>
      </c>
      <c r="F79" s="29"/>
      <c r="G79" s="29"/>
      <c r="H79" s="29"/>
      <c r="I79" s="29"/>
      <c r="J79" s="47" t="e">
        <f t="shared" ref="J79" si="29">SUM(K79:O79)</f>
        <v>#N/A</v>
      </c>
      <c r="K79" s="29" t="e">
        <f>VLOOKUP($C79,청소코드!$C$4:$J$188,8,FALSE)</f>
        <v>#N/A</v>
      </c>
      <c r="L79" s="32"/>
      <c r="M79" s="31"/>
      <c r="N79" s="32"/>
      <c r="O79" s="32"/>
    </row>
    <row r="80" spans="1:15" ht="12.75" customHeight="1">
      <c r="A80" s="30"/>
      <c r="B80" s="29" t="str">
        <f t="shared" ref="B80" si="30">TEXT(A80,"aaa")</f>
        <v>토</v>
      </c>
      <c r="C80" s="29"/>
      <c r="D80" s="29" t="e">
        <f>VLOOKUP($C80,청소코드!$C$4:$J$188,3,FALSE)</f>
        <v>#N/A</v>
      </c>
      <c r="E80" s="29" t="e">
        <f>VLOOKUP($C80,청소코드!$C$4:$J$188,4,FALSE)</f>
        <v>#N/A</v>
      </c>
      <c r="F80" s="29"/>
      <c r="G80" s="29"/>
      <c r="H80" s="29"/>
      <c r="I80" s="29"/>
      <c r="J80" s="47" t="e">
        <f t="shared" ref="J80" si="31">SUM(K80:O80)</f>
        <v>#N/A</v>
      </c>
      <c r="K80" s="29" t="e">
        <f>VLOOKUP($C80,청소코드!$C$4:$J$188,8,FALSE)</f>
        <v>#N/A</v>
      </c>
      <c r="L80" s="32"/>
      <c r="M80" s="31"/>
      <c r="N80" s="32"/>
      <c r="O80" s="32"/>
    </row>
    <row r="81" spans="1:15" ht="12.75" customHeight="1">
      <c r="A81" s="30"/>
      <c r="B81" s="29" t="str">
        <f t="shared" ref="B81" si="32">TEXT(A81,"aaa")</f>
        <v>토</v>
      </c>
      <c r="C81" s="29"/>
      <c r="D81" s="29" t="e">
        <f>VLOOKUP($C81,청소코드!$C$4:$J$188,3,FALSE)</f>
        <v>#N/A</v>
      </c>
      <c r="E81" s="29" t="e">
        <f>VLOOKUP($C81,청소코드!$C$4:$J$188,4,FALSE)</f>
        <v>#N/A</v>
      </c>
      <c r="F81" s="29"/>
      <c r="G81" s="29"/>
      <c r="H81" s="29"/>
      <c r="I81" s="29"/>
      <c r="J81" s="47" t="e">
        <f t="shared" ref="J81" si="33">SUM(K81:O81)</f>
        <v>#N/A</v>
      </c>
      <c r="K81" s="29" t="e">
        <f>VLOOKUP($C81,청소코드!$C$4:$J$188,8,FALSE)</f>
        <v>#N/A</v>
      </c>
      <c r="L81" s="32"/>
      <c r="M81" s="31"/>
      <c r="N81" s="32"/>
      <c r="O81" s="32"/>
    </row>
    <row r="82" spans="1:15" ht="12.75" customHeight="1">
      <c r="A82" s="30"/>
      <c r="B82" s="29" t="str">
        <f t="shared" ref="B82" si="34">TEXT(A82,"aaa")</f>
        <v>토</v>
      </c>
      <c r="C82" s="29"/>
      <c r="D82" s="29" t="e">
        <f>VLOOKUP($C82,청소코드!$C$4:$J$188,3,FALSE)</f>
        <v>#N/A</v>
      </c>
      <c r="E82" s="29" t="e">
        <f>VLOOKUP($C82,청소코드!$C$4:$J$188,4,FALSE)</f>
        <v>#N/A</v>
      </c>
      <c r="F82" s="29"/>
      <c r="G82" s="29"/>
      <c r="H82" s="29"/>
      <c r="I82" s="29"/>
      <c r="J82" s="47" t="e">
        <f t="shared" ref="J82" si="35">SUM(K82:O82)</f>
        <v>#N/A</v>
      </c>
      <c r="K82" s="29" t="e">
        <f>VLOOKUP($C82,청소코드!$C$4:$J$188,8,FALSE)</f>
        <v>#N/A</v>
      </c>
      <c r="L82" s="32"/>
      <c r="M82" s="31"/>
      <c r="N82" s="32"/>
      <c r="O82" s="32"/>
    </row>
    <row r="83" spans="1:15" ht="12.75" customHeight="1">
      <c r="A83" s="30"/>
      <c r="B83" s="29" t="str">
        <f t="shared" ref="B83" si="36">TEXT(A83,"aaa")</f>
        <v>토</v>
      </c>
      <c r="C83" s="29"/>
      <c r="D83" s="29" t="e">
        <f>VLOOKUP($C83,청소코드!$C$4:$J$188,3,FALSE)</f>
        <v>#N/A</v>
      </c>
      <c r="E83" s="29" t="e">
        <f>VLOOKUP($C83,청소코드!$C$4:$J$188,4,FALSE)</f>
        <v>#N/A</v>
      </c>
      <c r="F83" s="29"/>
      <c r="G83" s="29"/>
      <c r="H83" s="29"/>
      <c r="I83" s="29"/>
      <c r="J83" s="47" t="e">
        <f t="shared" ref="J83" si="37">SUM(K83:O83)</f>
        <v>#N/A</v>
      </c>
      <c r="K83" s="29" t="e">
        <f>VLOOKUP($C83,청소코드!$C$4:$J$188,8,FALSE)</f>
        <v>#N/A</v>
      </c>
      <c r="L83" s="32"/>
      <c r="M83" s="31"/>
      <c r="N83" s="32"/>
      <c r="O83" s="32"/>
    </row>
    <row r="84" spans="1:15" ht="12.75" customHeight="1">
      <c r="A84" s="30"/>
      <c r="B84" s="29" t="str">
        <f t="shared" ref="B84" si="38">TEXT(A84,"aaa")</f>
        <v>토</v>
      </c>
      <c r="C84" s="29"/>
      <c r="D84" s="29" t="e">
        <f>VLOOKUP($C84,청소코드!$C$4:$J$188,3,FALSE)</f>
        <v>#N/A</v>
      </c>
      <c r="E84" s="29" t="e">
        <f>VLOOKUP($C84,청소코드!$C$4:$J$188,4,FALSE)</f>
        <v>#N/A</v>
      </c>
      <c r="F84" s="29"/>
      <c r="G84" s="29"/>
      <c r="H84" s="29"/>
      <c r="I84" s="29"/>
      <c r="J84" s="47" t="e">
        <f t="shared" ref="J84" si="39">SUM(K84:O84)</f>
        <v>#N/A</v>
      </c>
      <c r="K84" s="29" t="e">
        <f>VLOOKUP($C84,청소코드!$C$4:$J$188,8,FALSE)</f>
        <v>#N/A</v>
      </c>
      <c r="L84" s="32"/>
      <c r="M84" s="31"/>
      <c r="N84" s="32"/>
      <c r="O84" s="32"/>
    </row>
    <row r="85" spans="1:15" ht="12.75" customHeight="1">
      <c r="A85" s="30"/>
      <c r="B85" s="29" t="str">
        <f t="shared" ref="B85" si="40">TEXT(A85,"aaa")</f>
        <v>토</v>
      </c>
      <c r="C85" s="29"/>
      <c r="D85" s="29" t="e">
        <f>VLOOKUP($C85,청소코드!$C$4:$J$188,3,FALSE)</f>
        <v>#N/A</v>
      </c>
      <c r="E85" s="29" t="e">
        <f>VLOOKUP($C85,청소코드!$C$4:$J$188,4,FALSE)</f>
        <v>#N/A</v>
      </c>
      <c r="F85" s="29"/>
      <c r="G85" s="29"/>
      <c r="H85" s="29"/>
      <c r="I85" s="29"/>
      <c r="J85" s="47" t="e">
        <f t="shared" ref="J85" si="41">SUM(K85:O85)</f>
        <v>#N/A</v>
      </c>
      <c r="K85" s="29" t="e">
        <f>VLOOKUP($C85,청소코드!$C$4:$J$188,8,FALSE)</f>
        <v>#N/A</v>
      </c>
      <c r="L85" s="32"/>
      <c r="M85" s="31"/>
      <c r="N85" s="32"/>
      <c r="O85" s="32"/>
    </row>
    <row r="86" spans="1:15" ht="12.75" customHeight="1">
      <c r="A86" s="30"/>
      <c r="B86" s="29" t="str">
        <f t="shared" ref="B86" si="42">TEXT(A86,"aaa")</f>
        <v>토</v>
      </c>
      <c r="C86" s="29"/>
      <c r="D86" s="29" t="e">
        <f>VLOOKUP($C86,청소코드!$C$4:$J$188,3,FALSE)</f>
        <v>#N/A</v>
      </c>
      <c r="E86" s="29" t="e">
        <f>VLOOKUP($C86,청소코드!$C$4:$J$188,4,FALSE)</f>
        <v>#N/A</v>
      </c>
      <c r="F86" s="29"/>
      <c r="G86" s="29"/>
      <c r="H86" s="29"/>
      <c r="I86" s="29"/>
      <c r="J86" s="47" t="e">
        <f t="shared" ref="J86" si="43">SUM(K86:O86)</f>
        <v>#N/A</v>
      </c>
      <c r="K86" s="29" t="e">
        <f>VLOOKUP($C86,청소코드!$C$4:$J$188,8,FALSE)</f>
        <v>#N/A</v>
      </c>
      <c r="L86" s="32"/>
      <c r="M86" s="31"/>
      <c r="N86" s="32"/>
      <c r="O86" s="32"/>
    </row>
    <row r="87" spans="1:15" ht="12.75" customHeight="1">
      <c r="A87" s="30"/>
      <c r="B87" s="29" t="str">
        <f t="shared" ref="B87" si="44">TEXT(A87,"aaa")</f>
        <v>토</v>
      </c>
      <c r="C87" s="29"/>
      <c r="D87" s="29" t="e">
        <f>VLOOKUP($C87,청소코드!$C$4:$J$188,3,FALSE)</f>
        <v>#N/A</v>
      </c>
      <c r="E87" s="29" t="e">
        <f>VLOOKUP($C87,청소코드!$C$4:$J$188,4,FALSE)</f>
        <v>#N/A</v>
      </c>
      <c r="F87" s="29"/>
      <c r="G87" s="29"/>
      <c r="H87" s="29"/>
      <c r="I87" s="29"/>
      <c r="J87" s="47" t="e">
        <f t="shared" ref="J87" si="45">SUM(K87:O87)</f>
        <v>#N/A</v>
      </c>
      <c r="K87" s="29" t="e">
        <f>VLOOKUP($C87,청소코드!$C$4:$J$188,8,FALSE)</f>
        <v>#N/A</v>
      </c>
      <c r="L87" s="32"/>
      <c r="M87" s="31"/>
      <c r="N87" s="32"/>
      <c r="O87" s="32"/>
    </row>
    <row r="88" spans="1:15" ht="12.75" customHeight="1">
      <c r="A88" s="30"/>
      <c r="B88" s="29" t="str">
        <f t="shared" ref="B88" si="46">TEXT(A88,"aaa")</f>
        <v>토</v>
      </c>
      <c r="C88" s="29"/>
      <c r="D88" s="29" t="e">
        <f>VLOOKUP($C88,청소코드!$C$4:$J$188,3,FALSE)</f>
        <v>#N/A</v>
      </c>
      <c r="E88" s="29" t="e">
        <f>VLOOKUP($C88,청소코드!$C$4:$J$188,4,FALSE)</f>
        <v>#N/A</v>
      </c>
      <c r="F88" s="29"/>
      <c r="G88" s="29"/>
      <c r="H88" s="29"/>
      <c r="I88" s="29"/>
      <c r="J88" s="47" t="e">
        <f t="shared" ref="J88" si="47">SUM(K88:O88)</f>
        <v>#N/A</v>
      </c>
      <c r="K88" s="29" t="e">
        <f>VLOOKUP($C88,청소코드!$C$4:$J$188,8,FALSE)</f>
        <v>#N/A</v>
      </c>
      <c r="L88" s="32"/>
      <c r="M88" s="31"/>
      <c r="N88" s="32"/>
      <c r="O88" s="32"/>
    </row>
    <row r="89" spans="1:15" ht="12.75" customHeight="1">
      <c r="A89" s="30"/>
      <c r="B89" s="29" t="str">
        <f t="shared" ref="B89" si="48">TEXT(A89,"aaa")</f>
        <v>토</v>
      </c>
      <c r="C89" s="29"/>
      <c r="D89" s="29" t="e">
        <f>VLOOKUP($C89,청소코드!$C$4:$J$188,3,FALSE)</f>
        <v>#N/A</v>
      </c>
      <c r="E89" s="29" t="e">
        <f>VLOOKUP($C89,청소코드!$C$4:$J$188,4,FALSE)</f>
        <v>#N/A</v>
      </c>
      <c r="F89" s="29"/>
      <c r="G89" s="29"/>
      <c r="H89" s="29"/>
      <c r="I89" s="29"/>
      <c r="J89" s="47" t="e">
        <f t="shared" ref="J89" si="49">SUM(K89:O89)</f>
        <v>#N/A</v>
      </c>
      <c r="K89" s="29" t="e">
        <f>VLOOKUP($C89,청소코드!$C$4:$J$188,8,FALSE)</f>
        <v>#N/A</v>
      </c>
      <c r="L89" s="32"/>
      <c r="M89" s="31"/>
      <c r="N89" s="32"/>
      <c r="O89" s="32"/>
    </row>
    <row r="90" spans="1:15" ht="12.75" customHeight="1">
      <c r="A90" s="30"/>
      <c r="B90" s="29" t="str">
        <f t="shared" ref="B90" si="50">TEXT(A90,"aaa")</f>
        <v>토</v>
      </c>
      <c r="C90" s="29"/>
      <c r="D90" s="29" t="e">
        <f>VLOOKUP($C90,청소코드!$C$4:$J$188,3,FALSE)</f>
        <v>#N/A</v>
      </c>
      <c r="E90" s="29" t="e">
        <f>VLOOKUP($C90,청소코드!$C$4:$J$188,4,FALSE)</f>
        <v>#N/A</v>
      </c>
      <c r="F90" s="29"/>
      <c r="G90" s="29"/>
      <c r="H90" s="29"/>
      <c r="I90" s="29"/>
      <c r="J90" s="47" t="e">
        <f t="shared" ref="J90" si="51">SUM(K90:O90)</f>
        <v>#N/A</v>
      </c>
      <c r="K90" s="29" t="e">
        <f>VLOOKUP($C90,청소코드!$C$4:$J$188,8,FALSE)</f>
        <v>#N/A</v>
      </c>
      <c r="L90" s="32"/>
      <c r="M90" s="31"/>
      <c r="N90" s="32"/>
      <c r="O90" s="32"/>
    </row>
    <row r="91" spans="1:15" ht="12.75" customHeight="1">
      <c r="A91" s="30"/>
      <c r="B91" s="29" t="str">
        <f t="shared" ref="B91" si="52">TEXT(A91,"aaa")</f>
        <v>토</v>
      </c>
      <c r="C91" s="29"/>
      <c r="D91" s="29" t="e">
        <f>VLOOKUP($C91,청소코드!$C$4:$J$188,3,FALSE)</f>
        <v>#N/A</v>
      </c>
      <c r="E91" s="29" t="e">
        <f>VLOOKUP($C91,청소코드!$C$4:$J$188,4,FALSE)</f>
        <v>#N/A</v>
      </c>
      <c r="F91" s="29"/>
      <c r="G91" s="29"/>
      <c r="H91" s="29"/>
      <c r="I91" s="29"/>
      <c r="J91" s="47" t="e">
        <f t="shared" ref="J91" si="53">SUM(K91:O91)</f>
        <v>#N/A</v>
      </c>
      <c r="K91" s="29" t="e">
        <f>VLOOKUP($C91,청소코드!$C$4:$J$188,8,FALSE)</f>
        <v>#N/A</v>
      </c>
      <c r="L91" s="32"/>
      <c r="M91" s="31"/>
      <c r="N91" s="32"/>
      <c r="O91" s="32"/>
    </row>
    <row r="92" spans="1:15" ht="12.75" customHeight="1">
      <c r="A92" s="30"/>
      <c r="B92" s="29" t="str">
        <f t="shared" ref="B92" si="54">TEXT(A92,"aaa")</f>
        <v>토</v>
      </c>
      <c r="C92" s="29"/>
      <c r="D92" s="29" t="e">
        <f>VLOOKUP($C92,청소코드!$C$4:$J$188,3,FALSE)</f>
        <v>#N/A</v>
      </c>
      <c r="E92" s="29" t="e">
        <f>VLOOKUP($C92,청소코드!$C$4:$J$188,4,FALSE)</f>
        <v>#N/A</v>
      </c>
      <c r="F92" s="29"/>
      <c r="G92" s="29"/>
      <c r="H92" s="29"/>
      <c r="I92" s="29"/>
      <c r="J92" s="47" t="e">
        <f t="shared" ref="J92" si="55">SUM(K92:O92)</f>
        <v>#N/A</v>
      </c>
      <c r="K92" s="29" t="e">
        <f>VLOOKUP($C92,청소코드!$C$4:$J$188,8,FALSE)</f>
        <v>#N/A</v>
      </c>
      <c r="L92" s="32"/>
      <c r="M92" s="31"/>
      <c r="N92" s="32"/>
      <c r="O92" s="32"/>
    </row>
    <row r="93" spans="1:15" ht="12.75" customHeight="1">
      <c r="A93" s="30"/>
      <c r="B93" s="29" t="str">
        <f t="shared" ref="B93" si="56">TEXT(A93,"aaa")</f>
        <v>토</v>
      </c>
      <c r="C93" s="29"/>
      <c r="D93" s="29" t="e">
        <f>VLOOKUP($C93,청소코드!$C$4:$J$188,3,FALSE)</f>
        <v>#N/A</v>
      </c>
      <c r="E93" s="29" t="e">
        <f>VLOOKUP($C93,청소코드!$C$4:$J$188,4,FALSE)</f>
        <v>#N/A</v>
      </c>
      <c r="F93" s="29"/>
      <c r="G93" s="29"/>
      <c r="H93" s="29"/>
      <c r="I93" s="29"/>
      <c r="J93" s="47" t="e">
        <f t="shared" ref="J93" si="57">SUM(K93:O93)</f>
        <v>#N/A</v>
      </c>
      <c r="K93" s="29" t="e">
        <f>VLOOKUP($C93,청소코드!$C$4:$J$188,8,FALSE)</f>
        <v>#N/A</v>
      </c>
      <c r="L93" s="32"/>
      <c r="M93" s="31"/>
      <c r="N93" s="32"/>
      <c r="O93" s="32"/>
    </row>
    <row r="94" spans="1:15" ht="12.75" customHeight="1">
      <c r="A94" s="30"/>
      <c r="B94" s="29" t="str">
        <f t="shared" ref="B94" si="58">TEXT(A94,"aaa")</f>
        <v>토</v>
      </c>
      <c r="C94" s="29"/>
      <c r="D94" s="29" t="e">
        <f>VLOOKUP($C94,청소코드!$C$4:$J$188,3,FALSE)</f>
        <v>#N/A</v>
      </c>
      <c r="E94" s="29" t="e">
        <f>VLOOKUP($C94,청소코드!$C$4:$J$188,4,FALSE)</f>
        <v>#N/A</v>
      </c>
      <c r="F94" s="29"/>
      <c r="G94" s="29"/>
      <c r="H94" s="29"/>
      <c r="I94" s="29"/>
      <c r="J94" s="47" t="e">
        <f t="shared" ref="J94" si="59">SUM(K94:O94)</f>
        <v>#N/A</v>
      </c>
      <c r="K94" s="29" t="e">
        <f>VLOOKUP($C94,청소코드!$C$4:$J$188,8,FALSE)</f>
        <v>#N/A</v>
      </c>
      <c r="L94" s="32"/>
      <c r="M94" s="31"/>
      <c r="N94" s="32"/>
      <c r="O94" s="32"/>
    </row>
    <row r="95" spans="1:15" ht="12.75" customHeight="1">
      <c r="A95" s="30"/>
      <c r="B95" s="29" t="str">
        <f t="shared" ref="B95" si="60">TEXT(A95,"aaa")</f>
        <v>토</v>
      </c>
      <c r="C95" s="29"/>
      <c r="D95" s="29" t="e">
        <f>VLOOKUP($C95,청소코드!$C$4:$J$188,3,FALSE)</f>
        <v>#N/A</v>
      </c>
      <c r="E95" s="29" t="e">
        <f>VLOOKUP($C95,청소코드!$C$4:$J$188,4,FALSE)</f>
        <v>#N/A</v>
      </c>
      <c r="F95" s="29"/>
      <c r="G95" s="29"/>
      <c r="H95" s="29"/>
      <c r="I95" s="29"/>
      <c r="J95" s="47" t="e">
        <f t="shared" ref="J95" si="61">SUM(K95:O95)</f>
        <v>#N/A</v>
      </c>
      <c r="K95" s="29" t="e">
        <f>VLOOKUP($C95,청소코드!$C$4:$J$188,8,FALSE)</f>
        <v>#N/A</v>
      </c>
      <c r="L95" s="32"/>
      <c r="M95" s="31"/>
      <c r="N95" s="32"/>
      <c r="O95" s="32"/>
    </row>
    <row r="96" spans="1:15" ht="12.75" customHeight="1">
      <c r="A96" s="30"/>
      <c r="B96" s="29" t="str">
        <f t="shared" ref="B96" si="62">TEXT(A96,"aaa")</f>
        <v>토</v>
      </c>
      <c r="C96" s="29"/>
      <c r="D96" s="29" t="e">
        <f>VLOOKUP($C96,청소코드!$C$4:$J$188,3,FALSE)</f>
        <v>#N/A</v>
      </c>
      <c r="E96" s="29" t="e">
        <f>VLOOKUP($C96,청소코드!$C$4:$J$188,4,FALSE)</f>
        <v>#N/A</v>
      </c>
      <c r="F96" s="29"/>
      <c r="G96" s="29"/>
      <c r="H96" s="29"/>
      <c r="I96" s="29"/>
      <c r="J96" s="47" t="e">
        <f t="shared" ref="J96" si="63">SUM(K96:O96)</f>
        <v>#N/A</v>
      </c>
      <c r="K96" s="29" t="e">
        <f>VLOOKUP($C96,청소코드!$C$4:$J$188,8,FALSE)</f>
        <v>#N/A</v>
      </c>
      <c r="L96" s="32"/>
      <c r="M96" s="31"/>
      <c r="N96" s="32"/>
      <c r="O96" s="32"/>
    </row>
    <row r="97" spans="1:15" ht="12.75" customHeight="1">
      <c r="A97" s="30"/>
      <c r="B97" s="29" t="str">
        <f t="shared" ref="B97" si="64">TEXT(A97,"aaa")</f>
        <v>토</v>
      </c>
      <c r="C97" s="29"/>
      <c r="D97" s="29" t="e">
        <f>VLOOKUP($C97,청소코드!$C$4:$J$188,3,FALSE)</f>
        <v>#N/A</v>
      </c>
      <c r="E97" s="29" t="e">
        <f>VLOOKUP($C97,청소코드!$C$4:$J$188,4,FALSE)</f>
        <v>#N/A</v>
      </c>
      <c r="F97" s="29"/>
      <c r="G97" s="29"/>
      <c r="H97" s="29"/>
      <c r="I97" s="29"/>
      <c r="J97" s="47" t="e">
        <f t="shared" ref="J97" si="65">SUM(K97:O97)</f>
        <v>#N/A</v>
      </c>
      <c r="K97" s="29" t="e">
        <f>VLOOKUP($C97,청소코드!$C$4:$J$188,8,FALSE)</f>
        <v>#N/A</v>
      </c>
      <c r="L97" s="32"/>
      <c r="M97" s="31"/>
      <c r="N97" s="32"/>
      <c r="O97" s="32"/>
    </row>
    <row r="98" spans="1:15" ht="12.75" customHeight="1">
      <c r="A98" s="30"/>
      <c r="B98" s="29" t="str">
        <f t="shared" ref="B98" si="66">TEXT(A98,"aaa")</f>
        <v>토</v>
      </c>
      <c r="C98" s="29"/>
      <c r="D98" s="29" t="e">
        <f>VLOOKUP($C98,청소코드!$C$4:$J$188,3,FALSE)</f>
        <v>#N/A</v>
      </c>
      <c r="E98" s="29" t="e">
        <f>VLOOKUP($C98,청소코드!$C$4:$J$188,4,FALSE)</f>
        <v>#N/A</v>
      </c>
      <c r="F98" s="29"/>
      <c r="G98" s="29"/>
      <c r="H98" s="29"/>
      <c r="I98" s="29"/>
      <c r="J98" s="47" t="e">
        <f t="shared" ref="J98" si="67">SUM(K98:O98)</f>
        <v>#N/A</v>
      </c>
      <c r="K98" s="29" t="e">
        <f>VLOOKUP($C98,청소코드!$C$4:$J$188,8,FALSE)</f>
        <v>#N/A</v>
      </c>
      <c r="L98" s="32"/>
      <c r="M98" s="31"/>
      <c r="N98" s="32"/>
      <c r="O98" s="32"/>
    </row>
    <row r="99" spans="1:15" ht="12.75" customHeight="1">
      <c r="A99" s="30"/>
      <c r="B99" s="29" t="str">
        <f t="shared" ref="B99" si="68">TEXT(A99,"aaa")</f>
        <v>토</v>
      </c>
      <c r="C99" s="29"/>
      <c r="D99" s="29" t="e">
        <f>VLOOKUP($C99,청소코드!$C$4:$J$188,3,FALSE)</f>
        <v>#N/A</v>
      </c>
      <c r="E99" s="29" t="e">
        <f>VLOOKUP($C99,청소코드!$C$4:$J$188,4,FALSE)</f>
        <v>#N/A</v>
      </c>
      <c r="F99" s="29"/>
      <c r="G99" s="29"/>
      <c r="H99" s="29"/>
      <c r="I99" s="29"/>
      <c r="J99" s="47" t="e">
        <f t="shared" ref="J99" si="69">SUM(K99:O99)</f>
        <v>#N/A</v>
      </c>
      <c r="K99" s="29" t="e">
        <f>VLOOKUP($C99,청소코드!$C$4:$J$188,8,FALSE)</f>
        <v>#N/A</v>
      </c>
      <c r="L99" s="32"/>
      <c r="M99" s="31"/>
      <c r="N99" s="32"/>
      <c r="O99" s="32"/>
    </row>
    <row r="100" spans="1:15" ht="12.75" customHeight="1">
      <c r="A100" s="30"/>
      <c r="B100" s="29" t="str">
        <f t="shared" ref="B100" si="70">TEXT(A100,"aaa")</f>
        <v>토</v>
      </c>
      <c r="C100" s="29"/>
      <c r="D100" s="29" t="e">
        <f>VLOOKUP($C100,청소코드!$C$4:$J$188,3,FALSE)</f>
        <v>#N/A</v>
      </c>
      <c r="E100" s="29" t="e">
        <f>VLOOKUP($C100,청소코드!$C$4:$J$188,4,FALSE)</f>
        <v>#N/A</v>
      </c>
      <c r="F100" s="29"/>
      <c r="G100" s="29"/>
      <c r="H100" s="29"/>
      <c r="I100" s="29"/>
      <c r="J100" s="47" t="e">
        <f t="shared" ref="J100" si="71">SUM(K100:O100)</f>
        <v>#N/A</v>
      </c>
      <c r="K100" s="29" t="e">
        <f>VLOOKUP($C100,청소코드!$C$4:$J$188,8,FALSE)</f>
        <v>#N/A</v>
      </c>
      <c r="L100" s="32"/>
      <c r="M100" s="31"/>
      <c r="N100" s="32"/>
      <c r="O100" s="32"/>
    </row>
    <row r="101" spans="1:15" ht="12.75" customHeight="1">
      <c r="A101" s="30"/>
      <c r="B101" s="29" t="str">
        <f t="shared" ref="B101" si="72">TEXT(A101,"aaa")</f>
        <v>토</v>
      </c>
      <c r="C101" s="29"/>
      <c r="D101" s="29" t="e">
        <f>VLOOKUP($C101,청소코드!$C$4:$J$188,3,FALSE)</f>
        <v>#N/A</v>
      </c>
      <c r="E101" s="29" t="e">
        <f>VLOOKUP($C101,청소코드!$C$4:$J$188,4,FALSE)</f>
        <v>#N/A</v>
      </c>
      <c r="F101" s="29"/>
      <c r="G101" s="29"/>
      <c r="H101" s="29"/>
      <c r="I101" s="29"/>
      <c r="J101" s="47" t="e">
        <f t="shared" ref="J101" si="73">SUM(K101:O101)</f>
        <v>#N/A</v>
      </c>
      <c r="K101" s="29" t="e">
        <f>VLOOKUP($C101,청소코드!$C$4:$J$188,8,FALSE)</f>
        <v>#N/A</v>
      </c>
      <c r="L101" s="32"/>
      <c r="M101" s="31"/>
      <c r="N101" s="32"/>
      <c r="O101" s="32"/>
    </row>
    <row r="102" spans="1:15" ht="12.75" customHeight="1">
      <c r="A102" s="30"/>
      <c r="B102" s="29" t="str">
        <f t="shared" ref="B102" si="74">TEXT(A102,"aaa")</f>
        <v>토</v>
      </c>
      <c r="C102" s="29"/>
      <c r="D102" s="29" t="e">
        <f>VLOOKUP($C102,청소코드!$C$4:$J$188,3,FALSE)</f>
        <v>#N/A</v>
      </c>
      <c r="E102" s="29" t="e">
        <f>VLOOKUP($C102,청소코드!$C$4:$J$188,4,FALSE)</f>
        <v>#N/A</v>
      </c>
      <c r="F102" s="29"/>
      <c r="G102" s="29"/>
      <c r="H102" s="29"/>
      <c r="I102" s="29"/>
      <c r="J102" s="47" t="e">
        <f t="shared" ref="J102" si="75">SUM(K102:O102)</f>
        <v>#N/A</v>
      </c>
      <c r="K102" s="29" t="e">
        <f>VLOOKUP($C102,청소코드!$C$4:$J$188,8,FALSE)</f>
        <v>#N/A</v>
      </c>
      <c r="L102" s="32"/>
      <c r="M102" s="31"/>
      <c r="N102" s="32"/>
      <c r="O102" s="32"/>
    </row>
    <row r="103" spans="1:15" ht="12.75" customHeight="1">
      <c r="A103" s="30"/>
      <c r="B103" s="29" t="str">
        <f t="shared" ref="B103" si="76">TEXT(A103,"aaa")</f>
        <v>토</v>
      </c>
      <c r="C103" s="29"/>
      <c r="D103" s="29" t="e">
        <f>VLOOKUP($C103,청소코드!$C$4:$J$188,3,FALSE)</f>
        <v>#N/A</v>
      </c>
      <c r="E103" s="29" t="e">
        <f>VLOOKUP($C103,청소코드!$C$4:$J$188,4,FALSE)</f>
        <v>#N/A</v>
      </c>
      <c r="F103" s="29"/>
      <c r="G103" s="29"/>
      <c r="H103" s="29"/>
      <c r="I103" s="29"/>
      <c r="J103" s="47" t="e">
        <f t="shared" ref="J103" si="77">SUM(K103:O103)</f>
        <v>#N/A</v>
      </c>
      <c r="K103" s="29" t="e">
        <f>VLOOKUP($C103,청소코드!$C$4:$J$188,8,FALSE)</f>
        <v>#N/A</v>
      </c>
      <c r="L103" s="32"/>
      <c r="M103" s="31"/>
      <c r="N103" s="32"/>
      <c r="O103" s="32"/>
    </row>
    <row r="104" spans="1:15" ht="12.75" customHeight="1">
      <c r="A104" s="30"/>
      <c r="B104" s="29" t="str">
        <f t="shared" ref="B104" si="78">TEXT(A104,"aaa")</f>
        <v>토</v>
      </c>
      <c r="C104" s="29"/>
      <c r="D104" s="29" t="e">
        <f>VLOOKUP($C104,청소코드!$C$4:$J$188,3,FALSE)</f>
        <v>#N/A</v>
      </c>
      <c r="E104" s="29" t="e">
        <f>VLOOKUP($C104,청소코드!$C$4:$J$188,4,FALSE)</f>
        <v>#N/A</v>
      </c>
      <c r="F104" s="29"/>
      <c r="G104" s="29"/>
      <c r="H104" s="29"/>
      <c r="I104" s="29"/>
      <c r="J104" s="47" t="e">
        <f t="shared" ref="J104" si="79">SUM(K104:O104)</f>
        <v>#N/A</v>
      </c>
      <c r="K104" s="29" t="e">
        <f>VLOOKUP($C104,청소코드!$C$4:$J$188,8,FALSE)</f>
        <v>#N/A</v>
      </c>
      <c r="L104" s="32"/>
      <c r="M104" s="31"/>
      <c r="N104" s="32"/>
      <c r="O104" s="32"/>
    </row>
    <row r="105" spans="1:15" ht="12.75" customHeight="1">
      <c r="A105" s="30"/>
      <c r="B105" s="29" t="str">
        <f t="shared" ref="B105" si="80">TEXT(A105,"aaa")</f>
        <v>토</v>
      </c>
      <c r="C105" s="29"/>
      <c r="D105" s="29" t="e">
        <f>VLOOKUP($C105,청소코드!$C$4:$J$188,3,FALSE)</f>
        <v>#N/A</v>
      </c>
      <c r="E105" s="29" t="e">
        <f>VLOOKUP($C105,청소코드!$C$4:$J$188,4,FALSE)</f>
        <v>#N/A</v>
      </c>
      <c r="F105" s="29"/>
      <c r="G105" s="29"/>
      <c r="H105" s="29"/>
      <c r="I105" s="29"/>
      <c r="J105" s="47" t="e">
        <f t="shared" ref="J105" si="81">SUM(K105:O105)</f>
        <v>#N/A</v>
      </c>
      <c r="K105" s="29" t="e">
        <f>VLOOKUP($C105,청소코드!$C$4:$J$188,8,FALSE)</f>
        <v>#N/A</v>
      </c>
      <c r="L105" s="32"/>
      <c r="M105" s="31"/>
      <c r="N105" s="32"/>
      <c r="O105" s="32"/>
    </row>
    <row r="106" spans="1:15" ht="12.75" customHeight="1">
      <c r="A106" s="30"/>
      <c r="B106" s="29" t="str">
        <f t="shared" ref="B106" si="82">TEXT(A106,"aaa")</f>
        <v>토</v>
      </c>
      <c r="C106" s="29"/>
      <c r="D106" s="29" t="e">
        <f>VLOOKUP($C106,청소코드!$C$4:$J$188,3,FALSE)</f>
        <v>#N/A</v>
      </c>
      <c r="E106" s="29" t="e">
        <f>VLOOKUP($C106,청소코드!$C$4:$J$188,4,FALSE)</f>
        <v>#N/A</v>
      </c>
      <c r="F106" s="29"/>
      <c r="G106" s="29"/>
      <c r="H106" s="29"/>
      <c r="I106" s="29"/>
      <c r="J106" s="47" t="e">
        <f t="shared" ref="J106" si="83">SUM(K106:O106)</f>
        <v>#N/A</v>
      </c>
      <c r="K106" s="29" t="e">
        <f>VLOOKUP($C106,청소코드!$C$4:$J$188,8,FALSE)</f>
        <v>#N/A</v>
      </c>
      <c r="L106" s="32"/>
      <c r="M106" s="31"/>
      <c r="N106" s="32"/>
      <c r="O106" s="32"/>
    </row>
    <row r="107" spans="1:15" ht="12.75" customHeight="1">
      <c r="A107" s="30"/>
      <c r="B107" s="29" t="str">
        <f t="shared" ref="B107" si="84">TEXT(A107,"aaa")</f>
        <v>토</v>
      </c>
      <c r="C107" s="29"/>
      <c r="D107" s="29" t="e">
        <f>VLOOKUP($C107,청소코드!$C$4:$J$188,3,FALSE)</f>
        <v>#N/A</v>
      </c>
      <c r="E107" s="29" t="e">
        <f>VLOOKUP($C107,청소코드!$C$4:$J$188,4,FALSE)</f>
        <v>#N/A</v>
      </c>
      <c r="F107" s="29"/>
      <c r="G107" s="29"/>
      <c r="H107" s="29"/>
      <c r="I107" s="29"/>
      <c r="J107" s="47" t="e">
        <f t="shared" ref="J107" si="85">SUM(K107:O107)</f>
        <v>#N/A</v>
      </c>
      <c r="K107" s="29" t="e">
        <f>VLOOKUP($C107,청소코드!$C$4:$J$188,8,FALSE)</f>
        <v>#N/A</v>
      </c>
      <c r="L107" s="32"/>
      <c r="M107" s="31"/>
      <c r="N107" s="32"/>
      <c r="O107" s="32"/>
    </row>
    <row r="108" spans="1:15" ht="12.75" customHeight="1">
      <c r="A108" s="30"/>
      <c r="B108" s="29" t="str">
        <f t="shared" ref="B108" si="86">TEXT(A108,"aaa")</f>
        <v>토</v>
      </c>
      <c r="C108" s="29"/>
      <c r="D108" s="29" t="e">
        <f>VLOOKUP($C108,청소코드!$C$4:$J$188,3,FALSE)</f>
        <v>#N/A</v>
      </c>
      <c r="E108" s="29" t="e">
        <f>VLOOKUP($C108,청소코드!$C$4:$J$188,4,FALSE)</f>
        <v>#N/A</v>
      </c>
      <c r="F108" s="29"/>
      <c r="G108" s="29"/>
      <c r="H108" s="29"/>
      <c r="I108" s="29"/>
      <c r="J108" s="47" t="e">
        <f t="shared" ref="J108" si="87">SUM(K108:O108)</f>
        <v>#N/A</v>
      </c>
      <c r="K108" s="29" t="e">
        <f>VLOOKUP($C108,청소코드!$C$4:$J$188,8,FALSE)</f>
        <v>#N/A</v>
      </c>
      <c r="L108" s="32"/>
      <c r="M108" s="31"/>
      <c r="N108" s="32"/>
      <c r="O108" s="32"/>
    </row>
    <row r="109" spans="1:15" ht="12.75" customHeight="1">
      <c r="A109" s="30"/>
      <c r="B109" s="29" t="str">
        <f t="shared" ref="B109" si="88">TEXT(A109,"aaa")</f>
        <v>토</v>
      </c>
      <c r="C109" s="29"/>
      <c r="D109" s="29" t="e">
        <f>VLOOKUP($C109,청소코드!$C$4:$J$188,3,FALSE)</f>
        <v>#N/A</v>
      </c>
      <c r="E109" s="29" t="e">
        <f>VLOOKUP($C109,청소코드!$C$4:$J$188,4,FALSE)</f>
        <v>#N/A</v>
      </c>
      <c r="F109" s="29"/>
      <c r="G109" s="29"/>
      <c r="H109" s="29"/>
      <c r="I109" s="29"/>
      <c r="J109" s="47" t="e">
        <f t="shared" ref="J109" si="89">SUM(K109:O109)</f>
        <v>#N/A</v>
      </c>
      <c r="K109" s="29" t="e">
        <f>VLOOKUP($C109,청소코드!$C$4:$J$188,8,FALSE)</f>
        <v>#N/A</v>
      </c>
      <c r="L109" s="32"/>
      <c r="M109" s="31"/>
      <c r="N109" s="32"/>
      <c r="O109" s="32"/>
    </row>
    <row r="110" spans="1:15" ht="12.75" customHeight="1">
      <c r="A110" s="30"/>
      <c r="B110" s="29" t="str">
        <f t="shared" ref="B110" si="90">TEXT(A110,"aaa")</f>
        <v>토</v>
      </c>
      <c r="C110" s="29"/>
      <c r="D110" s="29" t="e">
        <f>VLOOKUP($C110,청소코드!$C$4:$J$188,3,FALSE)</f>
        <v>#N/A</v>
      </c>
      <c r="E110" s="29" t="e">
        <f>VLOOKUP($C110,청소코드!$C$4:$J$188,4,FALSE)</f>
        <v>#N/A</v>
      </c>
      <c r="F110" s="29"/>
      <c r="G110" s="29"/>
      <c r="H110" s="29"/>
      <c r="I110" s="29"/>
      <c r="J110" s="47" t="e">
        <f t="shared" ref="J110" si="91">SUM(K110:O110)</f>
        <v>#N/A</v>
      </c>
      <c r="K110" s="29" t="e">
        <f>VLOOKUP($C110,청소코드!$C$4:$J$188,8,FALSE)</f>
        <v>#N/A</v>
      </c>
      <c r="L110" s="32"/>
      <c r="M110" s="31"/>
      <c r="N110" s="32"/>
      <c r="O110" s="32"/>
    </row>
    <row r="111" spans="1:15" ht="12.75" customHeight="1">
      <c r="A111" s="30"/>
      <c r="B111" s="29" t="str">
        <f t="shared" ref="B111" si="92">TEXT(A111,"aaa")</f>
        <v>토</v>
      </c>
      <c r="C111" s="29"/>
      <c r="D111" s="29" t="e">
        <f>VLOOKUP($C111,청소코드!$C$4:$J$188,3,FALSE)</f>
        <v>#N/A</v>
      </c>
      <c r="E111" s="29" t="e">
        <f>VLOOKUP($C111,청소코드!$C$4:$J$188,4,FALSE)</f>
        <v>#N/A</v>
      </c>
      <c r="F111" s="29"/>
      <c r="G111" s="29"/>
      <c r="H111" s="29"/>
      <c r="I111" s="29"/>
      <c r="J111" s="47" t="e">
        <f t="shared" ref="J111" si="93">SUM(K111:O111)</f>
        <v>#N/A</v>
      </c>
      <c r="K111" s="29" t="e">
        <f>VLOOKUP($C111,청소코드!$C$4:$J$188,8,FALSE)</f>
        <v>#N/A</v>
      </c>
      <c r="L111" s="32"/>
      <c r="M111" s="31"/>
      <c r="N111" s="32"/>
      <c r="O111" s="32"/>
    </row>
    <row r="112" spans="1:15" ht="12.75" customHeight="1">
      <c r="A112" s="30"/>
      <c r="B112" s="29" t="str">
        <f t="shared" ref="B112" si="94">TEXT(A112,"aaa")</f>
        <v>토</v>
      </c>
      <c r="C112" s="29"/>
      <c r="D112" s="29" t="e">
        <f>VLOOKUP($C112,청소코드!$C$4:$J$188,3,FALSE)</f>
        <v>#N/A</v>
      </c>
      <c r="E112" s="29" t="e">
        <f>VLOOKUP($C112,청소코드!$C$4:$J$188,4,FALSE)</f>
        <v>#N/A</v>
      </c>
      <c r="F112" s="29"/>
      <c r="G112" s="29"/>
      <c r="H112" s="29"/>
      <c r="I112" s="29"/>
      <c r="J112" s="47" t="e">
        <f t="shared" ref="J112" si="95">SUM(K112:O112)</f>
        <v>#N/A</v>
      </c>
      <c r="K112" s="29" t="e">
        <f>VLOOKUP($C112,청소코드!$C$4:$J$188,8,FALSE)</f>
        <v>#N/A</v>
      </c>
      <c r="L112" s="32"/>
      <c r="M112" s="31"/>
      <c r="N112" s="32"/>
      <c r="O112" s="32"/>
    </row>
    <row r="113" spans="1:15" ht="12.75" customHeight="1">
      <c r="A113" s="30"/>
      <c r="B113" s="29" t="str">
        <f t="shared" ref="B113" si="96">TEXT(A113,"aaa")</f>
        <v>토</v>
      </c>
      <c r="C113" s="29"/>
      <c r="D113" s="29" t="e">
        <f>VLOOKUP($C113,청소코드!$C$4:$J$188,3,FALSE)</f>
        <v>#N/A</v>
      </c>
      <c r="E113" s="29" t="e">
        <f>VLOOKUP($C113,청소코드!$C$4:$J$188,4,FALSE)</f>
        <v>#N/A</v>
      </c>
      <c r="F113" s="29"/>
      <c r="G113" s="29"/>
      <c r="H113" s="29"/>
      <c r="I113" s="29"/>
      <c r="J113" s="47" t="e">
        <f t="shared" ref="J113" si="97">SUM(K113:O113)</f>
        <v>#N/A</v>
      </c>
      <c r="K113" s="29" t="e">
        <f>VLOOKUP($C113,청소코드!$C$4:$J$188,8,FALSE)</f>
        <v>#N/A</v>
      </c>
      <c r="L113" s="32"/>
      <c r="M113" s="31"/>
      <c r="N113" s="32"/>
      <c r="O113" s="32"/>
    </row>
    <row r="114" spans="1:15" ht="12.75" customHeight="1">
      <c r="A114" s="30"/>
      <c r="B114" s="29" t="str">
        <f t="shared" ref="B114" si="98">TEXT(A114,"aaa")</f>
        <v>토</v>
      </c>
      <c r="C114" s="29"/>
      <c r="D114" s="29" t="e">
        <f>VLOOKUP($C114,청소코드!$C$4:$J$188,3,FALSE)</f>
        <v>#N/A</v>
      </c>
      <c r="E114" s="29" t="e">
        <f>VLOOKUP($C114,청소코드!$C$4:$J$188,4,FALSE)</f>
        <v>#N/A</v>
      </c>
      <c r="F114" s="29"/>
      <c r="G114" s="29"/>
      <c r="H114" s="29"/>
      <c r="I114" s="29"/>
      <c r="J114" s="47" t="e">
        <f t="shared" ref="J114" si="99">SUM(K114:O114)</f>
        <v>#N/A</v>
      </c>
      <c r="K114" s="29" t="e">
        <f>VLOOKUP($C114,청소코드!$C$4:$J$188,8,FALSE)</f>
        <v>#N/A</v>
      </c>
      <c r="L114" s="32"/>
      <c r="M114" s="31"/>
      <c r="N114" s="32"/>
      <c r="O114" s="32"/>
    </row>
    <row r="115" spans="1:15" ht="12.75" customHeight="1">
      <c r="A115" s="30"/>
      <c r="B115" s="29" t="str">
        <f t="shared" ref="B115" si="100">TEXT(A115,"aaa")</f>
        <v>토</v>
      </c>
      <c r="C115" s="29"/>
      <c r="D115" s="29" t="e">
        <f>VLOOKUP($C115,청소코드!$C$4:$J$188,3,FALSE)</f>
        <v>#N/A</v>
      </c>
      <c r="E115" s="29" t="e">
        <f>VLOOKUP($C115,청소코드!$C$4:$J$188,4,FALSE)</f>
        <v>#N/A</v>
      </c>
      <c r="F115" s="29"/>
      <c r="G115" s="29"/>
      <c r="H115" s="29"/>
      <c r="I115" s="29"/>
      <c r="J115" s="47" t="e">
        <f t="shared" ref="J115" si="101">SUM(K115:O115)</f>
        <v>#N/A</v>
      </c>
      <c r="K115" s="29" t="e">
        <f>VLOOKUP($C115,청소코드!$C$4:$J$188,8,FALSE)</f>
        <v>#N/A</v>
      </c>
      <c r="L115" s="32"/>
      <c r="M115" s="31"/>
      <c r="N115" s="32"/>
      <c r="O115" s="32"/>
    </row>
    <row r="116" spans="1:15" ht="12.75" customHeight="1">
      <c r="A116" s="30"/>
      <c r="B116" s="29" t="str">
        <f t="shared" ref="B116" si="102">TEXT(A116,"aaa")</f>
        <v>토</v>
      </c>
      <c r="C116" s="29"/>
      <c r="D116" s="29" t="e">
        <f>VLOOKUP($C116,청소코드!$C$4:$J$188,3,FALSE)</f>
        <v>#N/A</v>
      </c>
      <c r="E116" s="29" t="e">
        <f>VLOOKUP($C116,청소코드!$C$4:$J$188,4,FALSE)</f>
        <v>#N/A</v>
      </c>
      <c r="F116" s="29"/>
      <c r="G116" s="29"/>
      <c r="H116" s="29"/>
      <c r="I116" s="29"/>
      <c r="J116" s="47" t="e">
        <f t="shared" ref="J116" si="103">SUM(K116:O116)</f>
        <v>#N/A</v>
      </c>
      <c r="K116" s="29" t="e">
        <f>VLOOKUP($C116,청소코드!$C$4:$J$188,8,FALSE)</f>
        <v>#N/A</v>
      </c>
      <c r="L116" s="32"/>
      <c r="M116" s="31"/>
      <c r="N116" s="32"/>
      <c r="O116" s="32"/>
    </row>
    <row r="117" spans="1:15" ht="12.75" customHeight="1">
      <c r="A117" s="30"/>
      <c r="B117" s="29" t="str">
        <f t="shared" ref="B117" si="104">TEXT(A117,"aaa")</f>
        <v>토</v>
      </c>
      <c r="C117" s="29"/>
      <c r="D117" s="29" t="e">
        <f>VLOOKUP($C117,청소코드!$C$4:$J$188,3,FALSE)</f>
        <v>#N/A</v>
      </c>
      <c r="E117" s="29" t="e">
        <f>VLOOKUP($C117,청소코드!$C$4:$J$188,4,FALSE)</f>
        <v>#N/A</v>
      </c>
      <c r="F117" s="29"/>
      <c r="G117" s="29"/>
      <c r="H117" s="29"/>
      <c r="I117" s="29"/>
      <c r="J117" s="47" t="e">
        <f t="shared" ref="J117" si="105">SUM(K117:O117)</f>
        <v>#N/A</v>
      </c>
      <c r="K117" s="29" t="e">
        <f>VLOOKUP($C117,청소코드!$C$4:$J$188,8,FALSE)</f>
        <v>#N/A</v>
      </c>
      <c r="L117" s="32"/>
      <c r="M117" s="31"/>
      <c r="N117" s="32"/>
      <c r="O117" s="32"/>
    </row>
    <row r="118" spans="1:15" ht="12.75" customHeight="1">
      <c r="A118" s="30"/>
      <c r="B118" s="29" t="str">
        <f t="shared" ref="B118" si="106">TEXT(A118,"aaa")</f>
        <v>토</v>
      </c>
      <c r="C118" s="29"/>
      <c r="D118" s="29" t="e">
        <f>VLOOKUP($C118,청소코드!$C$4:$J$188,3,FALSE)</f>
        <v>#N/A</v>
      </c>
      <c r="E118" s="29" t="e">
        <f>VLOOKUP($C118,청소코드!$C$4:$J$188,4,FALSE)</f>
        <v>#N/A</v>
      </c>
      <c r="F118" s="29"/>
      <c r="G118" s="29"/>
      <c r="H118" s="29"/>
      <c r="I118" s="29"/>
      <c r="J118" s="47" t="e">
        <f t="shared" ref="J118" si="107">SUM(K118:O118)</f>
        <v>#N/A</v>
      </c>
      <c r="K118" s="29" t="e">
        <f>VLOOKUP($C118,청소코드!$C$4:$J$188,8,FALSE)</f>
        <v>#N/A</v>
      </c>
      <c r="L118" s="32"/>
      <c r="M118" s="31"/>
      <c r="N118" s="32"/>
      <c r="O118" s="32"/>
    </row>
    <row r="119" spans="1:15" ht="12.75" customHeight="1">
      <c r="A119" s="30"/>
      <c r="B119" s="29" t="str">
        <f t="shared" ref="B119" si="108">TEXT(A119,"aaa")</f>
        <v>토</v>
      </c>
      <c r="C119" s="29"/>
      <c r="D119" s="29" t="e">
        <f>VLOOKUP($C119,청소코드!$C$4:$J$188,3,FALSE)</f>
        <v>#N/A</v>
      </c>
      <c r="E119" s="29" t="e">
        <f>VLOOKUP($C119,청소코드!$C$4:$J$188,4,FALSE)</f>
        <v>#N/A</v>
      </c>
      <c r="F119" s="29"/>
      <c r="G119" s="29"/>
      <c r="H119" s="29"/>
      <c r="I119" s="29"/>
      <c r="J119" s="47" t="e">
        <f t="shared" ref="J119" si="109">SUM(K119:O119)</f>
        <v>#N/A</v>
      </c>
      <c r="K119" s="29" t="e">
        <f>VLOOKUP($C119,청소코드!$C$4:$J$188,8,FALSE)</f>
        <v>#N/A</v>
      </c>
      <c r="L119" s="32"/>
      <c r="M119" s="31"/>
      <c r="N119" s="32"/>
      <c r="O119" s="32"/>
    </row>
    <row r="120" spans="1:15" ht="12.75" customHeight="1">
      <c r="A120" s="30"/>
      <c r="B120" s="29" t="str">
        <f t="shared" ref="B120" si="110">TEXT(A120,"aaa")</f>
        <v>토</v>
      </c>
      <c r="C120" s="29"/>
      <c r="D120" s="29" t="e">
        <f>VLOOKUP($C120,청소코드!$C$4:$J$188,3,FALSE)</f>
        <v>#N/A</v>
      </c>
      <c r="E120" s="29" t="e">
        <f>VLOOKUP($C120,청소코드!$C$4:$J$188,4,FALSE)</f>
        <v>#N/A</v>
      </c>
      <c r="F120" s="29"/>
      <c r="G120" s="29"/>
      <c r="H120" s="29"/>
      <c r="I120" s="29"/>
      <c r="J120" s="47" t="e">
        <f t="shared" ref="J120" si="111">SUM(K120:O120)</f>
        <v>#N/A</v>
      </c>
      <c r="K120" s="29" t="e">
        <f>VLOOKUP($C120,청소코드!$C$4:$J$188,8,FALSE)</f>
        <v>#N/A</v>
      </c>
      <c r="L120" s="32"/>
      <c r="M120" s="31"/>
      <c r="N120" s="32"/>
      <c r="O120" s="32"/>
    </row>
    <row r="121" spans="1:15" ht="12.75" customHeight="1">
      <c r="A121" s="30"/>
      <c r="B121" s="29" t="str">
        <f t="shared" ref="B121" si="112">TEXT(A121,"aaa")</f>
        <v>토</v>
      </c>
      <c r="C121" s="29"/>
      <c r="D121" s="29" t="e">
        <f>VLOOKUP($C121,청소코드!$C$4:$J$188,3,FALSE)</f>
        <v>#N/A</v>
      </c>
      <c r="E121" s="29" t="e">
        <f>VLOOKUP($C121,청소코드!$C$4:$J$188,4,FALSE)</f>
        <v>#N/A</v>
      </c>
      <c r="F121" s="29"/>
      <c r="G121" s="29"/>
      <c r="H121" s="29"/>
      <c r="I121" s="29"/>
      <c r="J121" s="47" t="e">
        <f t="shared" ref="J121" si="113">SUM(K121:O121)</f>
        <v>#N/A</v>
      </c>
      <c r="K121" s="29" t="e">
        <f>VLOOKUP($C121,청소코드!$C$4:$J$188,8,FALSE)</f>
        <v>#N/A</v>
      </c>
      <c r="L121" s="32"/>
      <c r="M121" s="31"/>
      <c r="N121" s="32"/>
      <c r="O121" s="32"/>
    </row>
    <row r="122" spans="1:15" ht="12.75" customHeight="1">
      <c r="A122" s="30"/>
      <c r="B122" s="29" t="str">
        <f t="shared" ref="B122" si="114">TEXT(A122,"aaa")</f>
        <v>토</v>
      </c>
      <c r="C122" s="29"/>
      <c r="D122" s="29" t="e">
        <f>VLOOKUP($C122,청소코드!$C$4:$J$188,3,FALSE)</f>
        <v>#N/A</v>
      </c>
      <c r="E122" s="29" t="e">
        <f>VLOOKUP($C122,청소코드!$C$4:$J$188,4,FALSE)</f>
        <v>#N/A</v>
      </c>
      <c r="F122" s="29"/>
      <c r="G122" s="29"/>
      <c r="H122" s="29"/>
      <c r="I122" s="29"/>
      <c r="J122" s="47" t="e">
        <f t="shared" ref="J122" si="115">SUM(K122:O122)</f>
        <v>#N/A</v>
      </c>
      <c r="K122" s="29" t="e">
        <f>VLOOKUP($C122,청소코드!$C$4:$J$188,8,FALSE)</f>
        <v>#N/A</v>
      </c>
      <c r="L122" s="32"/>
      <c r="M122" s="31"/>
      <c r="N122" s="32"/>
      <c r="O122" s="32"/>
    </row>
    <row r="123" spans="1:15" ht="12.75" customHeight="1">
      <c r="A123" s="30"/>
      <c r="B123" s="29" t="str">
        <f t="shared" ref="B123" si="116">TEXT(A123,"aaa")</f>
        <v>토</v>
      </c>
      <c r="C123" s="29"/>
      <c r="D123" s="29" t="e">
        <f>VLOOKUP($C123,청소코드!$C$4:$J$188,3,FALSE)</f>
        <v>#N/A</v>
      </c>
      <c r="E123" s="29" t="e">
        <f>VLOOKUP($C123,청소코드!$C$4:$J$188,4,FALSE)</f>
        <v>#N/A</v>
      </c>
      <c r="F123" s="29"/>
      <c r="G123" s="29"/>
      <c r="H123" s="29"/>
      <c r="I123" s="29"/>
      <c r="J123" s="47" t="e">
        <f t="shared" ref="J123" si="117">SUM(K123:O123)</f>
        <v>#N/A</v>
      </c>
      <c r="K123" s="29" t="e">
        <f>VLOOKUP($C123,청소코드!$C$4:$J$188,8,FALSE)</f>
        <v>#N/A</v>
      </c>
      <c r="L123" s="32"/>
      <c r="M123" s="31"/>
      <c r="N123" s="32"/>
      <c r="O123" s="32"/>
    </row>
    <row r="124" spans="1:15" ht="12.75" customHeight="1">
      <c r="A124" s="30"/>
      <c r="B124" s="29" t="str">
        <f t="shared" ref="B124" si="118">TEXT(A124,"aaa")</f>
        <v>토</v>
      </c>
      <c r="C124" s="29"/>
      <c r="D124" s="29" t="e">
        <f>VLOOKUP($C124,청소코드!$C$4:$J$188,3,FALSE)</f>
        <v>#N/A</v>
      </c>
      <c r="E124" s="29" t="e">
        <f>VLOOKUP($C124,청소코드!$C$4:$J$188,4,FALSE)</f>
        <v>#N/A</v>
      </c>
      <c r="F124" s="29"/>
      <c r="G124" s="29"/>
      <c r="H124" s="29"/>
      <c r="I124" s="29"/>
      <c r="J124" s="47" t="e">
        <f t="shared" ref="J124" si="119">SUM(K124:O124)</f>
        <v>#N/A</v>
      </c>
      <c r="K124" s="29" t="e">
        <f>VLOOKUP($C124,청소코드!$C$4:$J$188,8,FALSE)</f>
        <v>#N/A</v>
      </c>
      <c r="L124" s="32"/>
      <c r="M124" s="31"/>
      <c r="N124" s="32"/>
      <c r="O124" s="32"/>
    </row>
    <row r="125" spans="1:15" ht="12.75" customHeight="1">
      <c r="A125" s="30"/>
      <c r="B125" s="29" t="str">
        <f t="shared" ref="B125" si="120">TEXT(A125,"aaa")</f>
        <v>토</v>
      </c>
      <c r="C125" s="29"/>
      <c r="D125" s="29" t="e">
        <f>VLOOKUP($C125,청소코드!$C$4:$J$188,3,FALSE)</f>
        <v>#N/A</v>
      </c>
      <c r="E125" s="29" t="e">
        <f>VLOOKUP($C125,청소코드!$C$4:$J$188,4,FALSE)</f>
        <v>#N/A</v>
      </c>
      <c r="F125" s="29"/>
      <c r="G125" s="29"/>
      <c r="H125" s="29"/>
      <c r="I125" s="29"/>
      <c r="J125" s="47" t="e">
        <f t="shared" ref="J125" si="121">SUM(K125:O125)</f>
        <v>#N/A</v>
      </c>
      <c r="K125" s="29" t="e">
        <f>VLOOKUP($C125,청소코드!$C$4:$J$188,8,FALSE)</f>
        <v>#N/A</v>
      </c>
      <c r="L125" s="32"/>
      <c r="M125" s="31"/>
      <c r="N125" s="32"/>
      <c r="O125" s="32"/>
    </row>
    <row r="126" spans="1:15" ht="12.75" customHeight="1">
      <c r="A126" s="30"/>
      <c r="B126" s="29" t="str">
        <f t="shared" ref="B126" si="122">TEXT(A126,"aaa")</f>
        <v>토</v>
      </c>
      <c r="C126" s="29"/>
      <c r="D126" s="29" t="e">
        <f>VLOOKUP($C126,청소코드!$C$4:$J$188,3,FALSE)</f>
        <v>#N/A</v>
      </c>
      <c r="E126" s="29" t="e">
        <f>VLOOKUP($C126,청소코드!$C$4:$J$188,4,FALSE)</f>
        <v>#N/A</v>
      </c>
      <c r="F126" s="29"/>
      <c r="G126" s="29"/>
      <c r="H126" s="29"/>
      <c r="I126" s="29"/>
      <c r="J126" s="47" t="e">
        <f t="shared" ref="J126" si="123">SUM(K126:O126)</f>
        <v>#N/A</v>
      </c>
      <c r="K126" s="29" t="e">
        <f>VLOOKUP($C126,청소코드!$C$4:$J$188,8,FALSE)</f>
        <v>#N/A</v>
      </c>
      <c r="L126" s="32"/>
      <c r="M126" s="31"/>
      <c r="N126" s="32"/>
      <c r="O126" s="32"/>
    </row>
    <row r="127" spans="1:15" ht="12.75" customHeight="1">
      <c r="A127" s="30"/>
      <c r="B127" s="29" t="str">
        <f t="shared" ref="B127" si="124">TEXT(A127,"aaa")</f>
        <v>토</v>
      </c>
      <c r="C127" s="29"/>
      <c r="D127" s="29" t="e">
        <f>VLOOKUP($C127,청소코드!$C$4:$J$188,3,FALSE)</f>
        <v>#N/A</v>
      </c>
      <c r="E127" s="29" t="e">
        <f>VLOOKUP($C127,청소코드!$C$4:$J$188,4,FALSE)</f>
        <v>#N/A</v>
      </c>
      <c r="F127" s="29"/>
      <c r="G127" s="29"/>
      <c r="H127" s="29"/>
      <c r="I127" s="29"/>
      <c r="J127" s="47" t="e">
        <f t="shared" ref="J127" si="125">SUM(K127:O127)</f>
        <v>#N/A</v>
      </c>
      <c r="K127" s="29" t="e">
        <f>VLOOKUP($C127,청소코드!$C$4:$J$188,8,FALSE)</f>
        <v>#N/A</v>
      </c>
      <c r="L127" s="32"/>
      <c r="M127" s="31"/>
      <c r="N127" s="32"/>
      <c r="O127" s="32"/>
    </row>
    <row r="128" spans="1:15" ht="12.75" customHeight="1">
      <c r="A128" s="30"/>
      <c r="B128" s="29" t="str">
        <f t="shared" ref="B128" si="126">TEXT(A128,"aaa")</f>
        <v>토</v>
      </c>
      <c r="C128" s="29"/>
      <c r="D128" s="29" t="e">
        <f>VLOOKUP($C128,청소코드!$C$4:$J$188,3,FALSE)</f>
        <v>#N/A</v>
      </c>
      <c r="E128" s="29" t="e">
        <f>VLOOKUP($C128,청소코드!$C$4:$J$188,4,FALSE)</f>
        <v>#N/A</v>
      </c>
      <c r="F128" s="29"/>
      <c r="G128" s="29"/>
      <c r="H128" s="29"/>
      <c r="I128" s="29"/>
      <c r="J128" s="47" t="e">
        <f t="shared" ref="J128" si="127">SUM(K128:O128)</f>
        <v>#N/A</v>
      </c>
      <c r="K128" s="29" t="e">
        <f>VLOOKUP($C128,청소코드!$C$4:$J$188,8,FALSE)</f>
        <v>#N/A</v>
      </c>
      <c r="L128" s="32"/>
      <c r="M128" s="31"/>
      <c r="N128" s="32"/>
      <c r="O128" s="32"/>
    </row>
    <row r="129" spans="1:15" ht="12.75" customHeight="1">
      <c r="A129" s="30"/>
      <c r="B129" s="29" t="str">
        <f t="shared" ref="B129" si="128">TEXT(A129,"aaa")</f>
        <v>토</v>
      </c>
      <c r="C129" s="29"/>
      <c r="D129" s="29" t="e">
        <f>VLOOKUP($C129,청소코드!$C$4:$J$188,3,FALSE)</f>
        <v>#N/A</v>
      </c>
      <c r="E129" s="29" t="e">
        <f>VLOOKUP($C129,청소코드!$C$4:$J$188,4,FALSE)</f>
        <v>#N/A</v>
      </c>
      <c r="F129" s="29"/>
      <c r="G129" s="29"/>
      <c r="H129" s="29"/>
      <c r="I129" s="29"/>
      <c r="J129" s="47" t="e">
        <f t="shared" ref="J129" si="129">SUM(K129:O129)</f>
        <v>#N/A</v>
      </c>
      <c r="K129" s="29" t="e">
        <f>VLOOKUP($C129,청소코드!$C$4:$J$188,8,FALSE)</f>
        <v>#N/A</v>
      </c>
      <c r="L129" s="32"/>
      <c r="M129" s="31"/>
      <c r="N129" s="32"/>
      <c r="O129" s="32"/>
    </row>
    <row r="130" spans="1:15" ht="12.75" customHeight="1">
      <c r="A130" s="30"/>
      <c r="B130" s="29" t="str">
        <f t="shared" ref="B130" si="130">TEXT(A130,"aaa")</f>
        <v>토</v>
      </c>
      <c r="C130" s="29"/>
      <c r="D130" s="29" t="e">
        <f>VLOOKUP($C130,청소코드!$C$4:$J$188,3,FALSE)</f>
        <v>#N/A</v>
      </c>
      <c r="E130" s="29" t="e">
        <f>VLOOKUP($C130,청소코드!$C$4:$J$188,4,FALSE)</f>
        <v>#N/A</v>
      </c>
      <c r="F130" s="29"/>
      <c r="G130" s="29"/>
      <c r="H130" s="29"/>
      <c r="I130" s="29"/>
      <c r="J130" s="47" t="e">
        <f t="shared" ref="J130" si="131">SUM(K130:O130)</f>
        <v>#N/A</v>
      </c>
      <c r="K130" s="29" t="e">
        <f>VLOOKUP($C130,청소코드!$C$4:$J$188,8,FALSE)</f>
        <v>#N/A</v>
      </c>
      <c r="L130" s="32"/>
      <c r="M130" s="31"/>
      <c r="N130" s="32"/>
      <c r="O130" s="32"/>
    </row>
    <row r="131" spans="1:15" ht="12.75" customHeight="1">
      <c r="A131" s="30"/>
      <c r="B131" s="29" t="str">
        <f t="shared" ref="B131" si="132">TEXT(A131,"aaa")</f>
        <v>토</v>
      </c>
      <c r="C131" s="29"/>
      <c r="D131" s="29" t="e">
        <f>VLOOKUP($C131,청소코드!$C$4:$J$188,3,FALSE)</f>
        <v>#N/A</v>
      </c>
      <c r="E131" s="29" t="e">
        <f>VLOOKUP($C131,청소코드!$C$4:$J$188,4,FALSE)</f>
        <v>#N/A</v>
      </c>
      <c r="F131" s="29"/>
      <c r="G131" s="29"/>
      <c r="H131" s="29"/>
      <c r="I131" s="29"/>
      <c r="J131" s="47" t="e">
        <f t="shared" ref="J131" si="133">SUM(K131:O131)</f>
        <v>#N/A</v>
      </c>
      <c r="K131" s="29" t="e">
        <f>VLOOKUP($C131,청소코드!$C$4:$J$188,8,FALSE)</f>
        <v>#N/A</v>
      </c>
      <c r="L131" s="32"/>
      <c r="M131" s="31"/>
      <c r="N131" s="32"/>
      <c r="O131" s="32"/>
    </row>
    <row r="132" spans="1:15" ht="12.75" customHeight="1">
      <c r="A132" s="30"/>
      <c r="B132" s="29" t="str">
        <f t="shared" ref="B132" si="134">TEXT(A132,"aaa")</f>
        <v>토</v>
      </c>
      <c r="C132" s="29"/>
      <c r="D132" s="29" t="e">
        <f>VLOOKUP($C132,청소코드!$C$4:$J$188,3,FALSE)</f>
        <v>#N/A</v>
      </c>
      <c r="E132" s="29" t="e">
        <f>VLOOKUP($C132,청소코드!$C$4:$J$188,4,FALSE)</f>
        <v>#N/A</v>
      </c>
      <c r="F132" s="29"/>
      <c r="G132" s="29"/>
      <c r="H132" s="29"/>
      <c r="I132" s="29"/>
      <c r="J132" s="47" t="e">
        <f t="shared" ref="J132" si="135">SUM(K132:O132)</f>
        <v>#N/A</v>
      </c>
      <c r="K132" s="29" t="e">
        <f>VLOOKUP($C132,청소코드!$C$4:$J$188,8,FALSE)</f>
        <v>#N/A</v>
      </c>
      <c r="L132" s="32"/>
      <c r="M132" s="31"/>
      <c r="N132" s="32"/>
      <c r="O132" s="32"/>
    </row>
    <row r="133" spans="1:15" ht="12.75" customHeight="1">
      <c r="A133" s="30"/>
      <c r="B133" s="29" t="str">
        <f t="shared" ref="B133" si="136">TEXT(A133,"aaa")</f>
        <v>토</v>
      </c>
      <c r="C133" s="29"/>
      <c r="D133" s="29" t="e">
        <f>VLOOKUP($C133,청소코드!$C$4:$J$188,3,FALSE)</f>
        <v>#N/A</v>
      </c>
      <c r="E133" s="29" t="e">
        <f>VLOOKUP($C133,청소코드!$C$4:$J$188,4,FALSE)</f>
        <v>#N/A</v>
      </c>
      <c r="F133" s="29"/>
      <c r="G133" s="29"/>
      <c r="H133" s="29"/>
      <c r="I133" s="29"/>
      <c r="J133" s="47" t="e">
        <f t="shared" ref="J133" si="137">SUM(K133:O133)</f>
        <v>#N/A</v>
      </c>
      <c r="K133" s="29" t="e">
        <f>VLOOKUP($C133,청소코드!$C$4:$J$188,8,FALSE)</f>
        <v>#N/A</v>
      </c>
      <c r="L133" s="32"/>
      <c r="M133" s="31"/>
      <c r="N133" s="32"/>
      <c r="O133" s="32"/>
    </row>
    <row r="134" spans="1:15" ht="12.75" customHeight="1">
      <c r="A134" s="30"/>
      <c r="B134" s="29" t="str">
        <f t="shared" ref="B134" si="138">TEXT(A134,"aaa")</f>
        <v>토</v>
      </c>
      <c r="C134" s="29"/>
      <c r="D134" s="29" t="e">
        <f>VLOOKUP($C134,청소코드!$C$4:$J$188,3,FALSE)</f>
        <v>#N/A</v>
      </c>
      <c r="E134" s="29" t="e">
        <f>VLOOKUP($C134,청소코드!$C$4:$J$188,4,FALSE)</f>
        <v>#N/A</v>
      </c>
      <c r="F134" s="29"/>
      <c r="G134" s="29"/>
      <c r="H134" s="29"/>
      <c r="I134" s="29"/>
      <c r="J134" s="47" t="e">
        <f t="shared" ref="J134" si="139">SUM(K134:O134)</f>
        <v>#N/A</v>
      </c>
      <c r="K134" s="29" t="e">
        <f>VLOOKUP($C134,청소코드!$C$4:$J$188,8,FALSE)</f>
        <v>#N/A</v>
      </c>
      <c r="L134" s="32"/>
      <c r="M134" s="31"/>
      <c r="N134" s="32"/>
      <c r="O134" s="32"/>
    </row>
    <row r="135" spans="1:15" ht="12.75" customHeight="1">
      <c r="A135" s="30"/>
      <c r="B135" s="29" t="str">
        <f t="shared" ref="B135" si="140">TEXT(A135,"aaa")</f>
        <v>토</v>
      </c>
      <c r="C135" s="29"/>
      <c r="D135" s="29" t="e">
        <f>VLOOKUP($C135,청소코드!$C$4:$J$188,3,FALSE)</f>
        <v>#N/A</v>
      </c>
      <c r="E135" s="29" t="e">
        <f>VLOOKUP($C135,청소코드!$C$4:$J$188,4,FALSE)</f>
        <v>#N/A</v>
      </c>
      <c r="F135" s="29"/>
      <c r="G135" s="29"/>
      <c r="H135" s="29"/>
      <c r="I135" s="29"/>
      <c r="J135" s="47" t="e">
        <f t="shared" ref="J135" si="141">SUM(K135:O135)</f>
        <v>#N/A</v>
      </c>
      <c r="K135" s="29" t="e">
        <f>VLOOKUP($C135,청소코드!$C$4:$J$188,8,FALSE)</f>
        <v>#N/A</v>
      </c>
      <c r="L135" s="32"/>
      <c r="M135" s="31"/>
      <c r="N135" s="32"/>
      <c r="O135" s="32"/>
    </row>
    <row r="136" spans="1:15" ht="12.75" customHeight="1">
      <c r="A136" s="30"/>
      <c r="B136" s="29" t="str">
        <f t="shared" ref="B136" si="142">TEXT(A136,"aaa")</f>
        <v>토</v>
      </c>
      <c r="C136" s="29"/>
      <c r="D136" s="29" t="e">
        <f>VLOOKUP($C136,청소코드!$C$4:$J$188,3,FALSE)</f>
        <v>#N/A</v>
      </c>
      <c r="E136" s="29" t="e">
        <f>VLOOKUP($C136,청소코드!$C$4:$J$188,4,FALSE)</f>
        <v>#N/A</v>
      </c>
      <c r="F136" s="29"/>
      <c r="G136" s="29"/>
      <c r="H136" s="29"/>
      <c r="I136" s="29"/>
      <c r="J136" s="47" t="e">
        <f t="shared" ref="J136" si="143">SUM(K136:O136)</f>
        <v>#N/A</v>
      </c>
      <c r="K136" s="29" t="e">
        <f>VLOOKUP($C136,청소코드!$C$4:$J$188,8,FALSE)</f>
        <v>#N/A</v>
      </c>
      <c r="L136" s="32"/>
      <c r="M136" s="31"/>
      <c r="N136" s="32"/>
      <c r="O136" s="32"/>
    </row>
    <row r="137" spans="1:15" ht="12.75" customHeight="1">
      <c r="A137" s="30"/>
      <c r="B137" s="29" t="str">
        <f t="shared" ref="B137" si="144">TEXT(A137,"aaa")</f>
        <v>토</v>
      </c>
      <c r="C137" s="29"/>
      <c r="D137" s="29" t="e">
        <f>VLOOKUP($C137,청소코드!$C$4:$J$188,3,FALSE)</f>
        <v>#N/A</v>
      </c>
      <c r="E137" s="29" t="e">
        <f>VLOOKUP($C137,청소코드!$C$4:$J$188,4,FALSE)</f>
        <v>#N/A</v>
      </c>
      <c r="F137" s="29"/>
      <c r="G137" s="29"/>
      <c r="H137" s="29"/>
      <c r="I137" s="29"/>
      <c r="J137" s="47" t="e">
        <f t="shared" ref="J137" si="145">SUM(K137:O137)</f>
        <v>#N/A</v>
      </c>
      <c r="K137" s="29" t="e">
        <f>VLOOKUP($C137,청소코드!$C$4:$J$188,8,FALSE)</f>
        <v>#N/A</v>
      </c>
      <c r="L137" s="32"/>
      <c r="M137" s="31"/>
      <c r="N137" s="32"/>
      <c r="O137" s="32"/>
    </row>
    <row r="138" spans="1:15" ht="12.75" customHeight="1">
      <c r="A138" s="30"/>
      <c r="B138" s="29" t="str">
        <f t="shared" ref="B138" si="146">TEXT(A138,"aaa")</f>
        <v>토</v>
      </c>
      <c r="C138" s="29"/>
      <c r="D138" s="29" t="e">
        <f>VLOOKUP($C138,청소코드!$C$4:$J$188,3,FALSE)</f>
        <v>#N/A</v>
      </c>
      <c r="E138" s="29" t="e">
        <f>VLOOKUP($C138,청소코드!$C$4:$J$188,4,FALSE)</f>
        <v>#N/A</v>
      </c>
      <c r="F138" s="29"/>
      <c r="G138" s="29"/>
      <c r="H138" s="29"/>
      <c r="I138" s="29"/>
      <c r="J138" s="47" t="e">
        <f t="shared" ref="J138" si="147">SUM(K138:O138)</f>
        <v>#N/A</v>
      </c>
      <c r="K138" s="29" t="e">
        <f>VLOOKUP($C138,청소코드!$C$4:$J$188,8,FALSE)</f>
        <v>#N/A</v>
      </c>
      <c r="L138" s="32"/>
      <c r="M138" s="31"/>
      <c r="N138" s="32"/>
      <c r="O138" s="32"/>
    </row>
    <row r="139" spans="1:15" ht="12.75" customHeight="1">
      <c r="A139" s="30"/>
      <c r="B139" s="29" t="str">
        <f t="shared" ref="B139" si="148">TEXT(A139,"aaa")</f>
        <v>토</v>
      </c>
      <c r="C139" s="29"/>
      <c r="D139" s="29" t="e">
        <f>VLOOKUP($C139,청소코드!$C$4:$J$188,3,FALSE)</f>
        <v>#N/A</v>
      </c>
      <c r="E139" s="29" t="e">
        <f>VLOOKUP($C139,청소코드!$C$4:$J$188,4,FALSE)</f>
        <v>#N/A</v>
      </c>
      <c r="F139" s="29"/>
      <c r="G139" s="29"/>
      <c r="H139" s="29"/>
      <c r="I139" s="29"/>
      <c r="J139" s="47" t="e">
        <f t="shared" ref="J139" si="149">SUM(K139:O139)</f>
        <v>#N/A</v>
      </c>
      <c r="K139" s="29" t="e">
        <f>VLOOKUP($C139,청소코드!$C$4:$J$188,8,FALSE)</f>
        <v>#N/A</v>
      </c>
      <c r="L139" s="32"/>
      <c r="M139" s="31"/>
      <c r="N139" s="32"/>
      <c r="O139" s="32"/>
    </row>
    <row r="140" spans="1:15" ht="12.75" customHeight="1">
      <c r="A140" s="30"/>
      <c r="B140" s="29" t="str">
        <f t="shared" ref="B140" si="150">TEXT(A140,"aaa")</f>
        <v>토</v>
      </c>
      <c r="C140" s="29"/>
      <c r="D140" s="29" t="e">
        <f>VLOOKUP($C140,청소코드!$C$4:$J$188,3,FALSE)</f>
        <v>#N/A</v>
      </c>
      <c r="E140" s="29" t="e">
        <f>VLOOKUP($C140,청소코드!$C$4:$J$188,4,FALSE)</f>
        <v>#N/A</v>
      </c>
      <c r="F140" s="29"/>
      <c r="G140" s="29"/>
      <c r="H140" s="29"/>
      <c r="I140" s="29"/>
      <c r="J140" s="47" t="e">
        <f t="shared" ref="J140" si="151">SUM(K140:O140)</f>
        <v>#N/A</v>
      </c>
      <c r="K140" s="29" t="e">
        <f>VLOOKUP($C140,청소코드!$C$4:$J$188,8,FALSE)</f>
        <v>#N/A</v>
      </c>
      <c r="L140" s="32"/>
      <c r="M140" s="31"/>
      <c r="N140" s="32"/>
      <c r="O140" s="32"/>
    </row>
    <row r="141" spans="1:15" ht="12.75" customHeight="1">
      <c r="A141" s="30"/>
      <c r="B141" s="29" t="str">
        <f t="shared" ref="B141" si="152">TEXT(A141,"aaa")</f>
        <v>토</v>
      </c>
      <c r="C141" s="29"/>
      <c r="D141" s="29" t="e">
        <f>VLOOKUP($C141,청소코드!$C$4:$J$188,3,FALSE)</f>
        <v>#N/A</v>
      </c>
      <c r="E141" s="29" t="e">
        <f>VLOOKUP($C141,청소코드!$C$4:$J$188,4,FALSE)</f>
        <v>#N/A</v>
      </c>
      <c r="F141" s="29"/>
      <c r="G141" s="29"/>
      <c r="H141" s="29"/>
      <c r="I141" s="29"/>
      <c r="J141" s="47" t="e">
        <f t="shared" ref="J141" si="153">SUM(K141:O141)</f>
        <v>#N/A</v>
      </c>
      <c r="K141" s="29" t="e">
        <f>VLOOKUP($C141,청소코드!$C$4:$J$188,8,FALSE)</f>
        <v>#N/A</v>
      </c>
      <c r="L141" s="32"/>
      <c r="M141" s="31"/>
      <c r="N141" s="32"/>
      <c r="O141" s="32"/>
    </row>
    <row r="142" spans="1:15" ht="12.75" customHeight="1">
      <c r="A142" s="30"/>
      <c r="B142" s="29" t="str">
        <f t="shared" ref="B142" si="154">TEXT(A142,"aaa")</f>
        <v>토</v>
      </c>
      <c r="C142" s="29"/>
      <c r="D142" s="29" t="e">
        <f>VLOOKUP($C142,청소코드!$C$4:$J$188,3,FALSE)</f>
        <v>#N/A</v>
      </c>
      <c r="E142" s="29" t="e">
        <f>VLOOKUP($C142,청소코드!$C$4:$J$188,4,FALSE)</f>
        <v>#N/A</v>
      </c>
      <c r="F142" s="29"/>
      <c r="G142" s="29"/>
      <c r="H142" s="29"/>
      <c r="I142" s="29"/>
      <c r="J142" s="47" t="e">
        <f t="shared" ref="J142" si="155">SUM(K142:O142)</f>
        <v>#N/A</v>
      </c>
      <c r="K142" s="29" t="e">
        <f>VLOOKUP($C142,청소코드!$C$4:$J$188,8,FALSE)</f>
        <v>#N/A</v>
      </c>
      <c r="L142" s="32"/>
      <c r="M142" s="31"/>
      <c r="N142" s="32"/>
      <c r="O142" s="32"/>
    </row>
    <row r="143" spans="1:15" ht="12.75" customHeight="1">
      <c r="A143" s="30"/>
      <c r="B143" s="29" t="str">
        <f t="shared" ref="B143" si="156">TEXT(A143,"aaa")</f>
        <v>토</v>
      </c>
      <c r="C143" s="29"/>
      <c r="D143" s="29" t="e">
        <f>VLOOKUP($C143,청소코드!$C$4:$J$188,3,FALSE)</f>
        <v>#N/A</v>
      </c>
      <c r="E143" s="29" t="e">
        <f>VLOOKUP($C143,청소코드!$C$4:$J$188,4,FALSE)</f>
        <v>#N/A</v>
      </c>
      <c r="F143" s="29"/>
      <c r="G143" s="29"/>
      <c r="H143" s="29"/>
      <c r="I143" s="29"/>
      <c r="J143" s="47" t="e">
        <f t="shared" ref="J143" si="157">SUM(K143:O143)</f>
        <v>#N/A</v>
      </c>
      <c r="K143" s="29" t="e">
        <f>VLOOKUP($C143,청소코드!$C$4:$J$188,8,FALSE)</f>
        <v>#N/A</v>
      </c>
      <c r="L143" s="32"/>
      <c r="M143" s="31"/>
      <c r="N143" s="32"/>
      <c r="O143" s="32"/>
    </row>
    <row r="144" spans="1:15" ht="12.75" customHeight="1">
      <c r="A144" s="30"/>
      <c r="B144" s="29" t="str">
        <f t="shared" ref="B144" si="158">TEXT(A144,"aaa")</f>
        <v>토</v>
      </c>
      <c r="C144" s="29"/>
      <c r="D144" s="29" t="e">
        <f>VLOOKUP($C144,청소코드!$C$4:$J$188,3,FALSE)</f>
        <v>#N/A</v>
      </c>
      <c r="E144" s="29" t="e">
        <f>VLOOKUP($C144,청소코드!$C$4:$J$188,4,FALSE)</f>
        <v>#N/A</v>
      </c>
      <c r="F144" s="29"/>
      <c r="G144" s="29"/>
      <c r="H144" s="29"/>
      <c r="I144" s="29"/>
      <c r="J144" s="47" t="e">
        <f t="shared" ref="J144" si="159">SUM(K144:O144)</f>
        <v>#N/A</v>
      </c>
      <c r="K144" s="29" t="e">
        <f>VLOOKUP($C144,청소코드!$C$4:$J$188,8,FALSE)</f>
        <v>#N/A</v>
      </c>
      <c r="L144" s="32"/>
      <c r="M144" s="31"/>
      <c r="N144" s="32"/>
      <c r="O144" s="32"/>
    </row>
    <row r="145" spans="1:15" ht="12.75" customHeight="1">
      <c r="A145" s="30"/>
      <c r="B145" s="29" t="str">
        <f t="shared" ref="B145" si="160">TEXT(A145,"aaa")</f>
        <v>토</v>
      </c>
      <c r="C145" s="29"/>
      <c r="D145" s="29" t="e">
        <f>VLOOKUP($C145,청소코드!$C$4:$J$188,3,FALSE)</f>
        <v>#N/A</v>
      </c>
      <c r="E145" s="29" t="e">
        <f>VLOOKUP($C145,청소코드!$C$4:$J$188,4,FALSE)</f>
        <v>#N/A</v>
      </c>
      <c r="F145" s="29"/>
      <c r="G145" s="29"/>
      <c r="H145" s="29"/>
      <c r="I145" s="29"/>
      <c r="J145" s="47" t="e">
        <f t="shared" ref="J145" si="161">SUM(K145:O145)</f>
        <v>#N/A</v>
      </c>
      <c r="K145" s="29" t="e">
        <f>VLOOKUP($C145,청소코드!$C$4:$J$188,8,FALSE)</f>
        <v>#N/A</v>
      </c>
      <c r="L145" s="32"/>
      <c r="M145" s="31"/>
      <c r="N145" s="32"/>
      <c r="O145" s="32"/>
    </row>
    <row r="146" spans="1:15" ht="12.75" customHeight="1">
      <c r="A146" s="30"/>
      <c r="B146" s="29" t="str">
        <f t="shared" ref="B146" si="162">TEXT(A146,"aaa")</f>
        <v>토</v>
      </c>
      <c r="C146" s="29"/>
      <c r="D146" s="29" t="e">
        <f>VLOOKUP($C146,청소코드!$C$4:$J$188,3,FALSE)</f>
        <v>#N/A</v>
      </c>
      <c r="E146" s="29" t="e">
        <f>VLOOKUP($C146,청소코드!$C$4:$J$188,4,FALSE)</f>
        <v>#N/A</v>
      </c>
      <c r="F146" s="29"/>
      <c r="G146" s="29"/>
      <c r="H146" s="29"/>
      <c r="I146" s="29"/>
      <c r="J146" s="47" t="e">
        <f t="shared" ref="J146" si="163">SUM(K146:O146)</f>
        <v>#N/A</v>
      </c>
      <c r="K146" s="29" t="e">
        <f>VLOOKUP($C146,청소코드!$C$4:$J$188,8,FALSE)</f>
        <v>#N/A</v>
      </c>
      <c r="L146" s="32"/>
      <c r="M146" s="31"/>
      <c r="N146" s="32"/>
      <c r="O146" s="32"/>
    </row>
    <row r="147" spans="1:15" ht="12.75" customHeight="1">
      <c r="A147" s="30"/>
      <c r="B147" s="29" t="str">
        <f t="shared" ref="B147" si="164">TEXT(A147,"aaa")</f>
        <v>토</v>
      </c>
      <c r="C147" s="29"/>
      <c r="D147" s="29" t="e">
        <f>VLOOKUP($C147,청소코드!$C$4:$J$188,3,FALSE)</f>
        <v>#N/A</v>
      </c>
      <c r="E147" s="29" t="e">
        <f>VLOOKUP($C147,청소코드!$C$4:$J$188,4,FALSE)</f>
        <v>#N/A</v>
      </c>
      <c r="F147" s="29"/>
      <c r="G147" s="29"/>
      <c r="H147" s="29"/>
      <c r="I147" s="29"/>
      <c r="J147" s="47" t="e">
        <f t="shared" ref="J147" si="165">SUM(K147:O147)</f>
        <v>#N/A</v>
      </c>
      <c r="K147" s="29" t="e">
        <f>VLOOKUP($C147,청소코드!$C$4:$J$188,8,FALSE)</f>
        <v>#N/A</v>
      </c>
      <c r="L147" s="32"/>
      <c r="M147" s="31"/>
      <c r="N147" s="32"/>
      <c r="O147" s="32"/>
    </row>
    <row r="148" spans="1:15" ht="12.75" customHeight="1">
      <c r="A148" s="30"/>
      <c r="B148" s="29" t="str">
        <f t="shared" ref="B148" si="166">TEXT(A148,"aaa")</f>
        <v>토</v>
      </c>
      <c r="C148" s="29"/>
      <c r="D148" s="29" t="e">
        <f>VLOOKUP($C148,청소코드!$C$4:$J$188,3,FALSE)</f>
        <v>#N/A</v>
      </c>
      <c r="E148" s="29" t="e">
        <f>VLOOKUP($C148,청소코드!$C$4:$J$188,4,FALSE)</f>
        <v>#N/A</v>
      </c>
      <c r="F148" s="29"/>
      <c r="G148" s="29"/>
      <c r="H148" s="29"/>
      <c r="I148" s="29"/>
      <c r="J148" s="47" t="e">
        <f t="shared" ref="J148" si="167">SUM(K148:O148)</f>
        <v>#N/A</v>
      </c>
      <c r="K148" s="29" t="e">
        <f>VLOOKUP($C148,청소코드!$C$4:$J$188,8,FALSE)</f>
        <v>#N/A</v>
      </c>
      <c r="L148" s="32"/>
      <c r="M148" s="31"/>
      <c r="N148" s="32"/>
      <c r="O148" s="32"/>
    </row>
    <row r="149" spans="1:15" ht="12.75" customHeight="1">
      <c r="A149" s="30"/>
      <c r="B149" s="29" t="str">
        <f t="shared" ref="B149" si="168">TEXT(A149,"aaa")</f>
        <v>토</v>
      </c>
      <c r="C149" s="29"/>
      <c r="D149" s="29" t="e">
        <f>VLOOKUP($C149,청소코드!$C$4:$J$188,3,FALSE)</f>
        <v>#N/A</v>
      </c>
      <c r="E149" s="29" t="e">
        <f>VLOOKUP($C149,청소코드!$C$4:$J$188,4,FALSE)</f>
        <v>#N/A</v>
      </c>
      <c r="F149" s="29"/>
      <c r="G149" s="29"/>
      <c r="H149" s="29"/>
      <c r="I149" s="29"/>
      <c r="J149" s="47" t="e">
        <f t="shared" ref="J149" si="169">SUM(K149:O149)</f>
        <v>#N/A</v>
      </c>
      <c r="K149" s="29" t="e">
        <f>VLOOKUP($C149,청소코드!$C$4:$J$188,8,FALSE)</f>
        <v>#N/A</v>
      </c>
      <c r="L149" s="32"/>
      <c r="M149" s="31"/>
      <c r="N149" s="32"/>
      <c r="O149" s="32"/>
    </row>
    <row r="150" spans="1:15" ht="12.75" customHeight="1">
      <c r="A150" s="30"/>
      <c r="B150" s="29" t="str">
        <f t="shared" ref="B150" si="170">TEXT(A150,"aaa")</f>
        <v>토</v>
      </c>
      <c r="C150" s="29"/>
      <c r="D150" s="29" t="e">
        <f>VLOOKUP($C150,청소코드!$C$4:$J$188,3,FALSE)</f>
        <v>#N/A</v>
      </c>
      <c r="E150" s="29" t="e">
        <f>VLOOKUP($C150,청소코드!$C$4:$J$188,4,FALSE)</f>
        <v>#N/A</v>
      </c>
      <c r="F150" s="29"/>
      <c r="G150" s="29"/>
      <c r="H150" s="29"/>
      <c r="I150" s="29"/>
      <c r="J150" s="47" t="e">
        <f t="shared" ref="J150" si="171">SUM(K150:O150)</f>
        <v>#N/A</v>
      </c>
      <c r="K150" s="29" t="e">
        <f>VLOOKUP($C150,청소코드!$C$4:$J$188,8,FALSE)</f>
        <v>#N/A</v>
      </c>
      <c r="L150" s="32"/>
      <c r="M150" s="31"/>
      <c r="N150" s="32"/>
      <c r="O150" s="32"/>
    </row>
    <row r="151" spans="1:15" ht="12.75" customHeight="1">
      <c r="A151" s="30"/>
      <c r="B151" s="29" t="str">
        <f t="shared" ref="B151" si="172">TEXT(A151,"aaa")</f>
        <v>토</v>
      </c>
      <c r="C151" s="29"/>
      <c r="D151" s="29" t="e">
        <f>VLOOKUP($C151,청소코드!$C$4:$J$188,3,FALSE)</f>
        <v>#N/A</v>
      </c>
      <c r="E151" s="29" t="e">
        <f>VLOOKUP($C151,청소코드!$C$4:$J$188,4,FALSE)</f>
        <v>#N/A</v>
      </c>
      <c r="F151" s="29"/>
      <c r="G151" s="29"/>
      <c r="H151" s="29"/>
      <c r="I151" s="29"/>
      <c r="J151" s="47" t="e">
        <f t="shared" ref="J151" si="173">SUM(K151:O151)</f>
        <v>#N/A</v>
      </c>
      <c r="K151" s="29" t="e">
        <f>VLOOKUP($C151,청소코드!$C$4:$J$188,8,FALSE)</f>
        <v>#N/A</v>
      </c>
      <c r="L151" s="32"/>
      <c r="M151" s="31"/>
      <c r="N151" s="32"/>
      <c r="O151" s="32"/>
    </row>
    <row r="152" spans="1:15" ht="12.75" customHeight="1">
      <c r="A152" s="30"/>
      <c r="B152" s="29" t="str">
        <f t="shared" ref="B152" si="174">TEXT(A152,"aaa")</f>
        <v>토</v>
      </c>
      <c r="C152" s="29"/>
      <c r="D152" s="29" t="e">
        <f>VLOOKUP($C152,청소코드!$C$4:$J$188,3,FALSE)</f>
        <v>#N/A</v>
      </c>
      <c r="E152" s="29" t="e">
        <f>VLOOKUP($C152,청소코드!$C$4:$J$188,4,FALSE)</f>
        <v>#N/A</v>
      </c>
      <c r="F152" s="29"/>
      <c r="G152" s="29"/>
      <c r="H152" s="29"/>
      <c r="I152" s="29"/>
      <c r="J152" s="47" t="e">
        <f t="shared" ref="J152" si="175">SUM(K152:O152)</f>
        <v>#N/A</v>
      </c>
      <c r="K152" s="29" t="e">
        <f>VLOOKUP($C152,청소코드!$C$4:$J$188,8,FALSE)</f>
        <v>#N/A</v>
      </c>
      <c r="L152" s="32"/>
      <c r="M152" s="31"/>
      <c r="N152" s="32"/>
      <c r="O152" s="32"/>
    </row>
    <row r="153" spans="1:15" ht="12.75" customHeight="1">
      <c r="A153" s="30"/>
      <c r="B153" s="29" t="str">
        <f t="shared" ref="B153" si="176">TEXT(A153,"aaa")</f>
        <v>토</v>
      </c>
      <c r="C153" s="29"/>
      <c r="D153" s="29" t="e">
        <f>VLOOKUP($C153,청소코드!$C$4:$J$188,3,FALSE)</f>
        <v>#N/A</v>
      </c>
      <c r="E153" s="29" t="e">
        <f>VLOOKUP($C153,청소코드!$C$4:$J$188,4,FALSE)</f>
        <v>#N/A</v>
      </c>
      <c r="F153" s="29"/>
      <c r="G153" s="29"/>
      <c r="H153" s="29"/>
      <c r="I153" s="29"/>
      <c r="J153" s="47" t="e">
        <f t="shared" ref="J153" si="177">SUM(K153:O153)</f>
        <v>#N/A</v>
      </c>
      <c r="K153" s="29" t="e">
        <f>VLOOKUP($C153,청소코드!$C$4:$J$188,8,FALSE)</f>
        <v>#N/A</v>
      </c>
      <c r="L153" s="32"/>
      <c r="M153" s="31"/>
      <c r="N153" s="32"/>
      <c r="O153" s="32"/>
    </row>
    <row r="154" spans="1:15" ht="12.75" customHeight="1">
      <c r="A154" s="30"/>
      <c r="B154" s="29" t="str">
        <f t="shared" ref="B154" si="178">TEXT(A154,"aaa")</f>
        <v>토</v>
      </c>
      <c r="C154" s="29"/>
      <c r="D154" s="29" t="e">
        <f>VLOOKUP($C154,청소코드!$C$4:$J$188,3,FALSE)</f>
        <v>#N/A</v>
      </c>
      <c r="E154" s="29" t="e">
        <f>VLOOKUP($C154,청소코드!$C$4:$J$188,4,FALSE)</f>
        <v>#N/A</v>
      </c>
      <c r="F154" s="29"/>
      <c r="G154" s="29"/>
      <c r="H154" s="29"/>
      <c r="I154" s="29"/>
      <c r="J154" s="47" t="e">
        <f t="shared" ref="J154" si="179">SUM(K154:O154)</f>
        <v>#N/A</v>
      </c>
      <c r="K154" s="29" t="e">
        <f>VLOOKUP($C154,청소코드!$C$4:$J$188,8,FALSE)</f>
        <v>#N/A</v>
      </c>
      <c r="L154" s="32"/>
      <c r="M154" s="31"/>
      <c r="N154" s="32"/>
      <c r="O154" s="32"/>
    </row>
    <row r="155" spans="1:15" ht="12.75" customHeight="1">
      <c r="A155" s="30"/>
      <c r="B155" s="29" t="str">
        <f t="shared" ref="B155" si="180">TEXT(A155,"aaa")</f>
        <v>토</v>
      </c>
      <c r="C155" s="29"/>
      <c r="D155" s="29" t="e">
        <f>VLOOKUP($C155,청소코드!$C$4:$J$188,3,FALSE)</f>
        <v>#N/A</v>
      </c>
      <c r="E155" s="29" t="e">
        <f>VLOOKUP($C155,청소코드!$C$4:$J$188,4,FALSE)</f>
        <v>#N/A</v>
      </c>
      <c r="F155" s="29"/>
      <c r="G155" s="29"/>
      <c r="H155" s="29"/>
      <c r="I155" s="29"/>
      <c r="J155" s="47" t="e">
        <f t="shared" ref="J155" si="181">SUM(K155:O155)</f>
        <v>#N/A</v>
      </c>
      <c r="K155" s="29" t="e">
        <f>VLOOKUP($C155,청소코드!$C$4:$J$188,8,FALSE)</f>
        <v>#N/A</v>
      </c>
      <c r="L155" s="32"/>
      <c r="M155" s="31"/>
      <c r="N155" s="32"/>
      <c r="O155" s="32"/>
    </row>
    <row r="156" spans="1:15" ht="12.75" customHeight="1">
      <c r="A156" s="30"/>
      <c r="B156" s="29" t="str">
        <f t="shared" ref="B156" si="182">TEXT(A156,"aaa")</f>
        <v>토</v>
      </c>
      <c r="C156" s="29"/>
      <c r="D156" s="29" t="e">
        <f>VLOOKUP($C156,청소코드!$C$4:$J$188,3,FALSE)</f>
        <v>#N/A</v>
      </c>
      <c r="E156" s="29" t="e">
        <f>VLOOKUP($C156,청소코드!$C$4:$J$188,4,FALSE)</f>
        <v>#N/A</v>
      </c>
      <c r="F156" s="29"/>
      <c r="G156" s="29"/>
      <c r="H156" s="29"/>
      <c r="I156" s="29"/>
      <c r="J156" s="47" t="e">
        <f t="shared" ref="J156" si="183">SUM(K156:O156)</f>
        <v>#N/A</v>
      </c>
      <c r="K156" s="29" t="e">
        <f>VLOOKUP($C156,청소코드!$C$4:$J$188,8,FALSE)</f>
        <v>#N/A</v>
      </c>
      <c r="L156" s="32"/>
      <c r="M156" s="31"/>
      <c r="N156" s="32"/>
      <c r="O156" s="32"/>
    </row>
    <row r="157" spans="1:15" ht="12.75" customHeight="1">
      <c r="A157" s="30"/>
      <c r="B157" s="29" t="str">
        <f t="shared" ref="B157" si="184">TEXT(A157,"aaa")</f>
        <v>토</v>
      </c>
      <c r="C157" s="29"/>
      <c r="D157" s="29" t="e">
        <f>VLOOKUP($C157,청소코드!$C$4:$J$188,3,FALSE)</f>
        <v>#N/A</v>
      </c>
      <c r="E157" s="29" t="e">
        <f>VLOOKUP($C157,청소코드!$C$4:$J$188,4,FALSE)</f>
        <v>#N/A</v>
      </c>
      <c r="F157" s="29"/>
      <c r="G157" s="29"/>
      <c r="H157" s="29"/>
      <c r="I157" s="29"/>
      <c r="J157" s="47" t="e">
        <f t="shared" ref="J157" si="185">SUM(K157:O157)</f>
        <v>#N/A</v>
      </c>
      <c r="K157" s="29" t="e">
        <f>VLOOKUP($C157,청소코드!$C$4:$J$188,8,FALSE)</f>
        <v>#N/A</v>
      </c>
      <c r="L157" s="32"/>
      <c r="M157" s="31"/>
      <c r="N157" s="32"/>
      <c r="O157" s="32"/>
    </row>
    <row r="158" spans="1:15" ht="12.75" customHeight="1">
      <c r="A158" s="30"/>
      <c r="B158" s="29" t="str">
        <f t="shared" ref="B158" si="186">TEXT(A158,"aaa")</f>
        <v>토</v>
      </c>
      <c r="C158" s="29"/>
      <c r="D158" s="29" t="e">
        <f>VLOOKUP($C158,청소코드!$C$4:$J$188,3,FALSE)</f>
        <v>#N/A</v>
      </c>
      <c r="E158" s="29" t="e">
        <f>VLOOKUP($C158,청소코드!$C$4:$J$188,4,FALSE)</f>
        <v>#N/A</v>
      </c>
      <c r="F158" s="29"/>
      <c r="G158" s="29"/>
      <c r="H158" s="29"/>
      <c r="I158" s="29"/>
      <c r="J158" s="47" t="e">
        <f t="shared" ref="J158" si="187">SUM(K158:O158)</f>
        <v>#N/A</v>
      </c>
      <c r="K158" s="29" t="e">
        <f>VLOOKUP($C158,청소코드!$C$4:$J$188,8,FALSE)</f>
        <v>#N/A</v>
      </c>
      <c r="L158" s="32"/>
      <c r="M158" s="31"/>
      <c r="N158" s="32"/>
      <c r="O158" s="32"/>
    </row>
    <row r="159" spans="1:15" ht="12.75" customHeight="1">
      <c r="A159" s="30"/>
      <c r="B159" s="29" t="str">
        <f t="shared" ref="B159" si="188">TEXT(A159,"aaa")</f>
        <v>토</v>
      </c>
      <c r="C159" s="29"/>
      <c r="D159" s="29" t="e">
        <f>VLOOKUP($C159,청소코드!$C$4:$J$188,3,FALSE)</f>
        <v>#N/A</v>
      </c>
      <c r="E159" s="29" t="e">
        <f>VLOOKUP($C159,청소코드!$C$4:$J$188,4,FALSE)</f>
        <v>#N/A</v>
      </c>
      <c r="F159" s="29"/>
      <c r="G159" s="29"/>
      <c r="H159" s="29"/>
      <c r="I159" s="29"/>
      <c r="J159" s="47" t="e">
        <f t="shared" ref="J159" si="189">SUM(K159:O159)</f>
        <v>#N/A</v>
      </c>
      <c r="K159" s="29" t="e">
        <f>VLOOKUP($C159,청소코드!$C$4:$J$188,8,FALSE)</f>
        <v>#N/A</v>
      </c>
      <c r="L159" s="32"/>
      <c r="M159" s="31"/>
      <c r="N159" s="32"/>
      <c r="O159" s="32"/>
    </row>
    <row r="160" spans="1:15" ht="12.75" customHeight="1">
      <c r="A160" s="30"/>
      <c r="B160" s="29" t="str">
        <f t="shared" ref="B160" si="190">TEXT(A160,"aaa")</f>
        <v>토</v>
      </c>
      <c r="C160" s="29"/>
      <c r="D160" s="29" t="e">
        <f>VLOOKUP($C160,청소코드!$C$4:$J$188,3,FALSE)</f>
        <v>#N/A</v>
      </c>
      <c r="E160" s="29" t="e">
        <f>VLOOKUP($C160,청소코드!$C$4:$J$188,4,FALSE)</f>
        <v>#N/A</v>
      </c>
      <c r="F160" s="29"/>
      <c r="G160" s="29"/>
      <c r="H160" s="29"/>
      <c r="I160" s="29"/>
      <c r="J160" s="47" t="e">
        <f t="shared" ref="J160" si="191">SUM(K160:O160)</f>
        <v>#N/A</v>
      </c>
      <c r="K160" s="29" t="e">
        <f>VLOOKUP($C160,청소코드!$C$4:$J$188,8,FALSE)</f>
        <v>#N/A</v>
      </c>
      <c r="L160" s="32"/>
      <c r="M160" s="31"/>
      <c r="N160" s="32"/>
      <c r="O160" s="32"/>
    </row>
    <row r="161" spans="1:15" ht="12.75" customHeight="1">
      <c r="A161" s="30"/>
      <c r="B161" s="29" t="str">
        <f t="shared" ref="B161" si="192">TEXT(A161,"aaa")</f>
        <v>토</v>
      </c>
      <c r="C161" s="29"/>
      <c r="D161" s="29" t="e">
        <f>VLOOKUP($C161,청소코드!$C$4:$J$188,3,FALSE)</f>
        <v>#N/A</v>
      </c>
      <c r="E161" s="29" t="e">
        <f>VLOOKUP($C161,청소코드!$C$4:$J$188,4,FALSE)</f>
        <v>#N/A</v>
      </c>
      <c r="F161" s="29"/>
      <c r="G161" s="29"/>
      <c r="H161" s="29"/>
      <c r="I161" s="29"/>
      <c r="J161" s="47" t="e">
        <f t="shared" ref="J161" si="193">SUM(K161:O161)</f>
        <v>#N/A</v>
      </c>
      <c r="K161" s="29" t="e">
        <f>VLOOKUP($C161,청소코드!$C$4:$J$188,8,FALSE)</f>
        <v>#N/A</v>
      </c>
      <c r="L161" s="32"/>
      <c r="M161" s="31"/>
      <c r="N161" s="32"/>
      <c r="O161" s="32"/>
    </row>
    <row r="162" spans="1:15" ht="12.75" customHeight="1">
      <c r="A162" s="30"/>
      <c r="B162" s="29" t="str">
        <f t="shared" ref="B162" si="194">TEXT(A162,"aaa")</f>
        <v>토</v>
      </c>
      <c r="C162" s="29"/>
      <c r="D162" s="29" t="e">
        <f>VLOOKUP($C162,청소코드!$C$4:$J$188,3,FALSE)</f>
        <v>#N/A</v>
      </c>
      <c r="E162" s="29" t="e">
        <f>VLOOKUP($C162,청소코드!$C$4:$J$188,4,FALSE)</f>
        <v>#N/A</v>
      </c>
      <c r="F162" s="29"/>
      <c r="G162" s="29"/>
      <c r="H162" s="29"/>
      <c r="I162" s="29"/>
      <c r="J162" s="47" t="e">
        <f t="shared" ref="J162" si="195">SUM(K162:O162)</f>
        <v>#N/A</v>
      </c>
      <c r="K162" s="29" t="e">
        <f>VLOOKUP($C162,청소코드!$C$4:$J$188,8,FALSE)</f>
        <v>#N/A</v>
      </c>
      <c r="L162" s="32"/>
      <c r="M162" s="31"/>
      <c r="N162" s="32"/>
      <c r="O162" s="32"/>
    </row>
    <row r="163" spans="1:15" ht="12.75" customHeight="1">
      <c r="A163" s="30"/>
      <c r="B163" s="29" t="str">
        <f t="shared" ref="B163" si="196">TEXT(A163,"aaa")</f>
        <v>토</v>
      </c>
      <c r="C163" s="29"/>
      <c r="D163" s="29" t="e">
        <f>VLOOKUP($C163,청소코드!$C$4:$J$188,3,FALSE)</f>
        <v>#N/A</v>
      </c>
      <c r="E163" s="29" t="e">
        <f>VLOOKUP($C163,청소코드!$C$4:$J$188,4,FALSE)</f>
        <v>#N/A</v>
      </c>
      <c r="F163" s="29"/>
      <c r="G163" s="29"/>
      <c r="H163" s="29"/>
      <c r="I163" s="29"/>
      <c r="J163" s="47" t="e">
        <f t="shared" ref="J163" si="197">SUM(K163:O163)</f>
        <v>#N/A</v>
      </c>
      <c r="K163" s="29" t="e">
        <f>VLOOKUP($C163,청소코드!$C$4:$J$188,8,FALSE)</f>
        <v>#N/A</v>
      </c>
      <c r="L163" s="32"/>
      <c r="M163" s="31"/>
      <c r="N163" s="32"/>
      <c r="O163" s="32"/>
    </row>
    <row r="164" spans="1:15" ht="12.75" customHeight="1">
      <c r="A164" s="30"/>
      <c r="B164" s="29" t="str">
        <f t="shared" ref="B164" si="198">TEXT(A164,"aaa")</f>
        <v>토</v>
      </c>
      <c r="C164" s="29"/>
      <c r="D164" s="29" t="e">
        <f>VLOOKUP($C164,청소코드!$C$4:$J$188,3,FALSE)</f>
        <v>#N/A</v>
      </c>
      <c r="E164" s="29" t="e">
        <f>VLOOKUP($C164,청소코드!$C$4:$J$188,4,FALSE)</f>
        <v>#N/A</v>
      </c>
      <c r="F164" s="29"/>
      <c r="G164" s="29"/>
      <c r="H164" s="29"/>
      <c r="I164" s="29"/>
      <c r="J164" s="47" t="e">
        <f t="shared" ref="J164" si="199">SUM(K164:O164)</f>
        <v>#N/A</v>
      </c>
      <c r="K164" s="29" t="e">
        <f>VLOOKUP($C164,청소코드!$C$4:$J$188,8,FALSE)</f>
        <v>#N/A</v>
      </c>
      <c r="L164" s="32"/>
      <c r="M164" s="31"/>
      <c r="N164" s="32"/>
      <c r="O164" s="32"/>
    </row>
    <row r="165" spans="1:15" ht="12.75" customHeight="1">
      <c r="A165" s="30"/>
      <c r="B165" s="29" t="str">
        <f t="shared" ref="B165" si="200">TEXT(A165,"aaa")</f>
        <v>토</v>
      </c>
      <c r="C165" s="29"/>
      <c r="D165" s="29" t="e">
        <f>VLOOKUP($C165,청소코드!$C$4:$J$188,3,FALSE)</f>
        <v>#N/A</v>
      </c>
      <c r="E165" s="29" t="e">
        <f>VLOOKUP($C165,청소코드!$C$4:$J$188,4,FALSE)</f>
        <v>#N/A</v>
      </c>
      <c r="F165" s="29"/>
      <c r="G165" s="29"/>
      <c r="H165" s="29"/>
      <c r="I165" s="29"/>
      <c r="J165" s="47" t="e">
        <f t="shared" ref="J165" si="201">SUM(K165:O165)</f>
        <v>#N/A</v>
      </c>
      <c r="K165" s="29" t="e">
        <f>VLOOKUP($C165,청소코드!$C$4:$J$188,8,FALSE)</f>
        <v>#N/A</v>
      </c>
      <c r="L165" s="32"/>
      <c r="M165" s="31"/>
      <c r="N165" s="32"/>
      <c r="O165" s="32"/>
    </row>
    <row r="166" spans="1:15" ht="12.75" customHeight="1">
      <c r="A166" s="30"/>
      <c r="B166" s="29" t="str">
        <f t="shared" ref="B166" si="202">TEXT(A166,"aaa")</f>
        <v>토</v>
      </c>
      <c r="C166" s="29"/>
      <c r="D166" s="29" t="e">
        <f>VLOOKUP($C166,청소코드!$C$4:$J$188,3,FALSE)</f>
        <v>#N/A</v>
      </c>
      <c r="E166" s="29" t="e">
        <f>VLOOKUP($C166,청소코드!$C$4:$J$188,4,FALSE)</f>
        <v>#N/A</v>
      </c>
      <c r="F166" s="29"/>
      <c r="G166" s="29"/>
      <c r="H166" s="29"/>
      <c r="I166" s="29"/>
      <c r="J166" s="47" t="e">
        <f t="shared" ref="J166" si="203">SUM(K166:O166)</f>
        <v>#N/A</v>
      </c>
      <c r="K166" s="29" t="e">
        <f>VLOOKUP($C166,청소코드!$C$4:$J$188,8,FALSE)</f>
        <v>#N/A</v>
      </c>
      <c r="L166" s="32"/>
      <c r="M166" s="31"/>
      <c r="N166" s="32"/>
      <c r="O166" s="32"/>
    </row>
    <row r="167" spans="1:15" ht="12.75" customHeight="1">
      <c r="A167" s="30"/>
      <c r="B167" s="29" t="str">
        <f t="shared" ref="B167" si="204">TEXT(A167,"aaa")</f>
        <v>토</v>
      </c>
      <c r="C167" s="29"/>
      <c r="D167" s="29" t="e">
        <f>VLOOKUP($C167,청소코드!$C$4:$J$188,3,FALSE)</f>
        <v>#N/A</v>
      </c>
      <c r="E167" s="29" t="e">
        <f>VLOOKUP($C167,청소코드!$C$4:$J$188,4,FALSE)</f>
        <v>#N/A</v>
      </c>
      <c r="F167" s="29"/>
      <c r="G167" s="29"/>
      <c r="H167" s="29"/>
      <c r="I167" s="29"/>
      <c r="J167" s="47" t="e">
        <f t="shared" ref="J167" si="205">SUM(K167:O167)</f>
        <v>#N/A</v>
      </c>
      <c r="K167" s="29" t="e">
        <f>VLOOKUP($C167,청소코드!$C$4:$J$188,8,FALSE)</f>
        <v>#N/A</v>
      </c>
      <c r="L167" s="32"/>
      <c r="M167" s="31"/>
      <c r="N167" s="32"/>
      <c r="O167" s="32"/>
    </row>
    <row r="168" spans="1:15" ht="12.75" customHeight="1">
      <c r="A168" s="30"/>
      <c r="B168" s="29" t="str">
        <f t="shared" ref="B168" si="206">TEXT(A168,"aaa")</f>
        <v>토</v>
      </c>
      <c r="C168" s="29"/>
      <c r="D168" s="29" t="e">
        <f>VLOOKUP($C168,청소코드!$C$4:$J$188,3,FALSE)</f>
        <v>#N/A</v>
      </c>
      <c r="E168" s="29" t="e">
        <f>VLOOKUP($C168,청소코드!$C$4:$J$188,4,FALSE)</f>
        <v>#N/A</v>
      </c>
      <c r="F168" s="29"/>
      <c r="G168" s="29"/>
      <c r="H168" s="29"/>
      <c r="I168" s="29"/>
      <c r="J168" s="47" t="e">
        <f t="shared" ref="J168" si="207">SUM(K168:O168)</f>
        <v>#N/A</v>
      </c>
      <c r="K168" s="29" t="e">
        <f>VLOOKUP($C168,청소코드!$C$4:$J$188,8,FALSE)</f>
        <v>#N/A</v>
      </c>
      <c r="L168" s="32"/>
      <c r="M168" s="31"/>
      <c r="N168" s="32"/>
      <c r="O168" s="32"/>
    </row>
    <row r="169" spans="1:15" ht="12.75" customHeight="1">
      <c r="A169" s="30"/>
      <c r="B169" s="29" t="str">
        <f t="shared" ref="B169" si="208">TEXT(A169,"aaa")</f>
        <v>토</v>
      </c>
      <c r="C169" s="29"/>
      <c r="D169" s="29" t="e">
        <f>VLOOKUP($C169,청소코드!$C$4:$J$188,3,FALSE)</f>
        <v>#N/A</v>
      </c>
      <c r="E169" s="29" t="e">
        <f>VLOOKUP($C169,청소코드!$C$4:$J$188,4,FALSE)</f>
        <v>#N/A</v>
      </c>
      <c r="F169" s="29"/>
      <c r="G169" s="29"/>
      <c r="H169" s="29"/>
      <c r="I169" s="29"/>
      <c r="J169" s="47" t="e">
        <f t="shared" ref="J169" si="209">SUM(K169:O169)</f>
        <v>#N/A</v>
      </c>
      <c r="K169" s="29" t="e">
        <f>VLOOKUP($C169,청소코드!$C$4:$J$188,8,FALSE)</f>
        <v>#N/A</v>
      </c>
      <c r="L169" s="32"/>
      <c r="M169" s="31"/>
      <c r="N169" s="32"/>
      <c r="O169" s="32"/>
    </row>
    <row r="170" spans="1:15" ht="12.75" customHeight="1">
      <c r="A170" s="30"/>
      <c r="B170" s="29" t="str">
        <f t="shared" ref="B170" si="210">TEXT(A170,"aaa")</f>
        <v>토</v>
      </c>
      <c r="C170" s="29"/>
      <c r="D170" s="29" t="e">
        <f>VLOOKUP($C170,청소코드!$C$4:$J$188,3,FALSE)</f>
        <v>#N/A</v>
      </c>
      <c r="E170" s="29" t="e">
        <f>VLOOKUP($C170,청소코드!$C$4:$J$188,4,FALSE)</f>
        <v>#N/A</v>
      </c>
      <c r="F170" s="29"/>
      <c r="G170" s="29"/>
      <c r="H170" s="29"/>
      <c r="I170" s="29"/>
      <c r="J170" s="47" t="e">
        <f t="shared" ref="J170" si="211">SUM(K170:O170)</f>
        <v>#N/A</v>
      </c>
      <c r="K170" s="29" t="e">
        <f>VLOOKUP($C170,청소코드!$C$4:$J$188,8,FALSE)</f>
        <v>#N/A</v>
      </c>
      <c r="L170" s="32"/>
      <c r="M170" s="31"/>
      <c r="N170" s="32"/>
      <c r="O170" s="32"/>
    </row>
    <row r="171" spans="1:15" ht="12.75" customHeight="1">
      <c r="A171" s="30"/>
      <c r="B171" s="29" t="str">
        <f t="shared" ref="B171" si="212">TEXT(A171,"aaa")</f>
        <v>토</v>
      </c>
      <c r="C171" s="29"/>
      <c r="D171" s="29" t="e">
        <f>VLOOKUP($C171,청소코드!$C$4:$J$188,3,FALSE)</f>
        <v>#N/A</v>
      </c>
      <c r="E171" s="29" t="e">
        <f>VLOOKUP($C171,청소코드!$C$4:$J$188,4,FALSE)</f>
        <v>#N/A</v>
      </c>
      <c r="F171" s="29"/>
      <c r="G171" s="29"/>
      <c r="H171" s="29"/>
      <c r="I171" s="29"/>
      <c r="J171" s="47" t="e">
        <f t="shared" ref="J171" si="213">SUM(K171:O171)</f>
        <v>#N/A</v>
      </c>
      <c r="K171" s="29" t="e">
        <f>VLOOKUP($C171,청소코드!$C$4:$J$188,8,FALSE)</f>
        <v>#N/A</v>
      </c>
      <c r="L171" s="32"/>
      <c r="M171" s="31"/>
      <c r="N171" s="32"/>
      <c r="O171" s="32"/>
    </row>
    <row r="172" spans="1:15" ht="12.75" customHeight="1">
      <c r="A172" s="30"/>
      <c r="B172" s="29" t="str">
        <f t="shared" ref="B172" si="214">TEXT(A172,"aaa")</f>
        <v>토</v>
      </c>
      <c r="C172" s="29"/>
      <c r="D172" s="29" t="e">
        <f>VLOOKUP($C172,청소코드!$C$4:$J$188,3,FALSE)</f>
        <v>#N/A</v>
      </c>
      <c r="E172" s="29" t="e">
        <f>VLOOKUP($C172,청소코드!$C$4:$J$188,4,FALSE)</f>
        <v>#N/A</v>
      </c>
      <c r="F172" s="29"/>
      <c r="G172" s="29"/>
      <c r="H172" s="29"/>
      <c r="I172" s="29"/>
      <c r="J172" s="47" t="e">
        <f t="shared" ref="J172" si="215">SUM(K172:O172)</f>
        <v>#N/A</v>
      </c>
      <c r="K172" s="29" t="e">
        <f>VLOOKUP($C172,청소코드!$C$4:$J$188,8,FALSE)</f>
        <v>#N/A</v>
      </c>
      <c r="L172" s="32"/>
      <c r="M172" s="31"/>
      <c r="N172" s="32"/>
      <c r="O172" s="32"/>
    </row>
    <row r="173" spans="1:15" ht="12.75" customHeight="1">
      <c r="A173" s="30"/>
      <c r="B173" s="29" t="str">
        <f t="shared" ref="B173" si="216">TEXT(A173,"aaa")</f>
        <v>토</v>
      </c>
      <c r="C173" s="29"/>
      <c r="D173" s="29" t="e">
        <f>VLOOKUP($C173,청소코드!$C$4:$J$188,3,FALSE)</f>
        <v>#N/A</v>
      </c>
      <c r="E173" s="29" t="e">
        <f>VLOOKUP($C173,청소코드!$C$4:$J$188,4,FALSE)</f>
        <v>#N/A</v>
      </c>
      <c r="F173" s="29"/>
      <c r="G173" s="29"/>
      <c r="H173" s="29"/>
      <c r="I173" s="29"/>
      <c r="J173" s="47" t="e">
        <f t="shared" ref="J173" si="217">SUM(K173:O173)</f>
        <v>#N/A</v>
      </c>
      <c r="K173" s="29" t="e">
        <f>VLOOKUP($C173,청소코드!$C$4:$J$188,8,FALSE)</f>
        <v>#N/A</v>
      </c>
      <c r="L173" s="32"/>
      <c r="M173" s="31"/>
      <c r="N173" s="32"/>
      <c r="O173" s="32"/>
    </row>
    <row r="174" spans="1:15" ht="12.75" customHeight="1">
      <c r="A174" s="30"/>
      <c r="B174" s="29" t="str">
        <f t="shared" ref="B174" si="218">TEXT(A174,"aaa")</f>
        <v>토</v>
      </c>
      <c r="C174" s="29"/>
      <c r="D174" s="29" t="e">
        <f>VLOOKUP($C174,청소코드!$C$4:$J$188,3,FALSE)</f>
        <v>#N/A</v>
      </c>
      <c r="E174" s="29" t="e">
        <f>VLOOKUP($C174,청소코드!$C$4:$J$188,4,FALSE)</f>
        <v>#N/A</v>
      </c>
      <c r="F174" s="29"/>
      <c r="G174" s="29"/>
      <c r="H174" s="29"/>
      <c r="I174" s="29"/>
      <c r="J174" s="47" t="e">
        <f t="shared" ref="J174" si="219">SUM(K174:O174)</f>
        <v>#N/A</v>
      </c>
      <c r="K174" s="29" t="e">
        <f>VLOOKUP($C174,청소코드!$C$4:$J$188,8,FALSE)</f>
        <v>#N/A</v>
      </c>
      <c r="L174" s="32"/>
      <c r="M174" s="31"/>
      <c r="N174" s="32"/>
      <c r="O174" s="32"/>
    </row>
    <row r="175" spans="1:15" ht="12.75" customHeight="1">
      <c r="A175" s="30"/>
      <c r="B175" s="29" t="str">
        <f t="shared" ref="B175" si="220">TEXT(A175,"aaa")</f>
        <v>토</v>
      </c>
      <c r="C175" s="29"/>
      <c r="D175" s="29" t="e">
        <f>VLOOKUP($C175,청소코드!$C$4:$J$188,3,FALSE)</f>
        <v>#N/A</v>
      </c>
      <c r="E175" s="29" t="e">
        <f>VLOOKUP($C175,청소코드!$C$4:$J$188,4,FALSE)</f>
        <v>#N/A</v>
      </c>
      <c r="F175" s="29"/>
      <c r="G175" s="29"/>
      <c r="H175" s="29"/>
      <c r="I175" s="29"/>
      <c r="J175" s="47" t="e">
        <f t="shared" ref="J175" si="221">SUM(K175:O175)</f>
        <v>#N/A</v>
      </c>
      <c r="K175" s="29" t="e">
        <f>VLOOKUP($C175,청소코드!$C$4:$J$188,8,FALSE)</f>
        <v>#N/A</v>
      </c>
      <c r="L175" s="32"/>
      <c r="M175" s="31"/>
      <c r="N175" s="32"/>
      <c r="O175" s="32"/>
    </row>
    <row r="176" spans="1:15" ht="12.75" customHeight="1">
      <c r="A176" s="30"/>
      <c r="B176" s="29" t="str">
        <f t="shared" ref="B176" si="222">TEXT(A176,"aaa")</f>
        <v>토</v>
      </c>
      <c r="C176" s="29"/>
      <c r="D176" s="29" t="e">
        <f>VLOOKUP($C176,청소코드!$C$4:$J$188,3,FALSE)</f>
        <v>#N/A</v>
      </c>
      <c r="E176" s="29" t="e">
        <f>VLOOKUP($C176,청소코드!$C$4:$J$188,4,FALSE)</f>
        <v>#N/A</v>
      </c>
      <c r="F176" s="29"/>
      <c r="G176" s="29"/>
      <c r="H176" s="29"/>
      <c r="I176" s="29"/>
      <c r="J176" s="47" t="e">
        <f t="shared" ref="J176" si="223">SUM(K176:O176)</f>
        <v>#N/A</v>
      </c>
      <c r="K176" s="29" t="e">
        <f>VLOOKUP($C176,청소코드!$C$4:$J$188,8,FALSE)</f>
        <v>#N/A</v>
      </c>
      <c r="L176" s="32"/>
      <c r="M176" s="31"/>
      <c r="N176" s="32"/>
      <c r="O176" s="32"/>
    </row>
    <row r="177" spans="1:15" ht="12.75" customHeight="1">
      <c r="A177" s="30"/>
      <c r="B177" s="29" t="str">
        <f t="shared" ref="B177" si="224">TEXT(A177,"aaa")</f>
        <v>토</v>
      </c>
      <c r="C177" s="29"/>
      <c r="D177" s="29" t="e">
        <f>VLOOKUP($C177,청소코드!$C$4:$J$188,3,FALSE)</f>
        <v>#N/A</v>
      </c>
      <c r="E177" s="29" t="e">
        <f>VLOOKUP($C177,청소코드!$C$4:$J$188,4,FALSE)</f>
        <v>#N/A</v>
      </c>
      <c r="F177" s="29"/>
      <c r="G177" s="29"/>
      <c r="H177" s="29"/>
      <c r="I177" s="29"/>
      <c r="J177" s="47" t="e">
        <f t="shared" ref="J177" si="225">SUM(K177:O177)</f>
        <v>#N/A</v>
      </c>
      <c r="K177" s="29" t="e">
        <f>VLOOKUP($C177,청소코드!$C$4:$J$188,8,FALSE)</f>
        <v>#N/A</v>
      </c>
      <c r="L177" s="32"/>
      <c r="M177" s="31"/>
      <c r="N177" s="32"/>
      <c r="O177" s="32"/>
    </row>
    <row r="178" spans="1:15" ht="12.75" customHeight="1">
      <c r="A178" s="30"/>
      <c r="B178" s="29" t="str">
        <f t="shared" ref="B178" si="226">TEXT(A178,"aaa")</f>
        <v>토</v>
      </c>
      <c r="C178" s="29"/>
      <c r="D178" s="29" t="e">
        <f>VLOOKUP($C178,청소코드!$C$4:$J$188,3,FALSE)</f>
        <v>#N/A</v>
      </c>
      <c r="E178" s="29" t="e">
        <f>VLOOKUP($C178,청소코드!$C$4:$J$188,4,FALSE)</f>
        <v>#N/A</v>
      </c>
      <c r="F178" s="29"/>
      <c r="G178" s="29"/>
      <c r="H178" s="29"/>
      <c r="I178" s="29"/>
      <c r="J178" s="47" t="e">
        <f t="shared" ref="J178" si="227">SUM(K178:O178)</f>
        <v>#N/A</v>
      </c>
      <c r="K178" s="29" t="e">
        <f>VLOOKUP($C178,청소코드!$C$4:$J$188,8,FALSE)</f>
        <v>#N/A</v>
      </c>
      <c r="L178" s="32"/>
      <c r="M178" s="31"/>
      <c r="N178" s="32"/>
      <c r="O178" s="32"/>
    </row>
    <row r="179" spans="1:15" ht="12.75" customHeight="1">
      <c r="A179" s="30"/>
      <c r="B179" s="29" t="str">
        <f t="shared" ref="B179" si="228">TEXT(A179,"aaa")</f>
        <v>토</v>
      </c>
      <c r="C179" s="29"/>
      <c r="D179" s="29" t="e">
        <f>VLOOKUP($C179,청소코드!$C$4:$J$188,3,FALSE)</f>
        <v>#N/A</v>
      </c>
      <c r="E179" s="29" t="e">
        <f>VLOOKUP($C179,청소코드!$C$4:$J$188,4,FALSE)</f>
        <v>#N/A</v>
      </c>
      <c r="F179" s="29"/>
      <c r="G179" s="29"/>
      <c r="H179" s="29"/>
      <c r="I179" s="29"/>
      <c r="J179" s="47" t="e">
        <f t="shared" ref="J179" si="229">SUM(K179:O179)</f>
        <v>#N/A</v>
      </c>
      <c r="K179" s="29" t="e">
        <f>VLOOKUP($C179,청소코드!$C$4:$J$188,8,FALSE)</f>
        <v>#N/A</v>
      </c>
      <c r="L179" s="32"/>
      <c r="M179" s="31"/>
      <c r="N179" s="32"/>
      <c r="O179" s="32"/>
    </row>
    <row r="180" spans="1:15" ht="12.75" customHeight="1">
      <c r="A180" s="30"/>
      <c r="B180" s="29" t="str">
        <f t="shared" ref="B180" si="230">TEXT(A180,"aaa")</f>
        <v>토</v>
      </c>
      <c r="C180" s="29"/>
      <c r="D180" s="29" t="e">
        <f>VLOOKUP($C180,청소코드!$C$4:$J$188,3,FALSE)</f>
        <v>#N/A</v>
      </c>
      <c r="E180" s="29" t="e">
        <f>VLOOKUP($C180,청소코드!$C$4:$J$188,4,FALSE)</f>
        <v>#N/A</v>
      </c>
      <c r="F180" s="29"/>
      <c r="G180" s="29"/>
      <c r="H180" s="29"/>
      <c r="I180" s="29"/>
      <c r="J180" s="47" t="e">
        <f t="shared" ref="J180" si="231">SUM(K180:O180)</f>
        <v>#N/A</v>
      </c>
      <c r="K180" s="29" t="e">
        <f>VLOOKUP($C180,청소코드!$C$4:$J$188,8,FALSE)</f>
        <v>#N/A</v>
      </c>
      <c r="L180" s="32"/>
      <c r="M180" s="31"/>
      <c r="N180" s="32"/>
      <c r="O180" s="32"/>
    </row>
    <row r="181" spans="1:15" ht="12.75" customHeight="1">
      <c r="A181" s="30"/>
      <c r="B181" s="29" t="str">
        <f t="shared" ref="B181" si="232">TEXT(A181,"aaa")</f>
        <v>토</v>
      </c>
      <c r="C181" s="29"/>
      <c r="D181" s="29" t="e">
        <f>VLOOKUP($C181,청소코드!$C$4:$J$188,3,FALSE)</f>
        <v>#N/A</v>
      </c>
      <c r="E181" s="29" t="e">
        <f>VLOOKUP($C181,청소코드!$C$4:$J$188,4,FALSE)</f>
        <v>#N/A</v>
      </c>
      <c r="F181" s="29"/>
      <c r="G181" s="29"/>
      <c r="H181" s="29"/>
      <c r="I181" s="29"/>
      <c r="J181" s="47" t="e">
        <f t="shared" ref="J181" si="233">SUM(K181:O181)</f>
        <v>#N/A</v>
      </c>
      <c r="K181" s="29" t="e">
        <f>VLOOKUP($C181,청소코드!$C$4:$J$188,8,FALSE)</f>
        <v>#N/A</v>
      </c>
      <c r="L181" s="32"/>
      <c r="M181" s="31"/>
      <c r="N181" s="32"/>
      <c r="O181" s="32"/>
    </row>
    <row r="182" spans="1:15" ht="12.75" customHeight="1">
      <c r="A182" s="30"/>
      <c r="B182" s="29" t="str">
        <f t="shared" ref="B182" si="234">TEXT(A182,"aaa")</f>
        <v>토</v>
      </c>
      <c r="C182" s="29"/>
      <c r="D182" s="29" t="e">
        <f>VLOOKUP($C182,청소코드!$C$4:$J$188,3,FALSE)</f>
        <v>#N/A</v>
      </c>
      <c r="E182" s="29" t="e">
        <f>VLOOKUP($C182,청소코드!$C$4:$J$188,4,FALSE)</f>
        <v>#N/A</v>
      </c>
      <c r="F182" s="29"/>
      <c r="G182" s="29"/>
      <c r="H182" s="29"/>
      <c r="I182" s="29"/>
      <c r="J182" s="47" t="e">
        <f t="shared" ref="J182" si="235">SUM(K182:O182)</f>
        <v>#N/A</v>
      </c>
      <c r="K182" s="29" t="e">
        <f>VLOOKUP($C182,청소코드!$C$4:$J$188,8,FALSE)</f>
        <v>#N/A</v>
      </c>
      <c r="L182" s="32"/>
      <c r="M182" s="31"/>
      <c r="N182" s="32"/>
      <c r="O182" s="32"/>
    </row>
    <row r="183" spans="1:15" ht="12.75" customHeight="1">
      <c r="A183" s="30"/>
      <c r="B183" s="29" t="str">
        <f t="shared" ref="B183" si="236">TEXT(A183,"aaa")</f>
        <v>토</v>
      </c>
      <c r="C183" s="29"/>
      <c r="D183" s="29" t="e">
        <f>VLOOKUP($C183,청소코드!$C$4:$J$188,3,FALSE)</f>
        <v>#N/A</v>
      </c>
      <c r="E183" s="29" t="e">
        <f>VLOOKUP($C183,청소코드!$C$4:$J$188,4,FALSE)</f>
        <v>#N/A</v>
      </c>
      <c r="F183" s="29"/>
      <c r="G183" s="29"/>
      <c r="H183" s="29"/>
      <c r="I183" s="29"/>
      <c r="J183" s="47" t="e">
        <f t="shared" ref="J183" si="237">SUM(K183:O183)</f>
        <v>#N/A</v>
      </c>
      <c r="K183" s="29" t="e">
        <f>VLOOKUP($C183,청소코드!$C$4:$J$188,8,FALSE)</f>
        <v>#N/A</v>
      </c>
      <c r="L183" s="32"/>
      <c r="M183" s="31"/>
      <c r="N183" s="32"/>
      <c r="O183" s="32"/>
    </row>
    <row r="184" spans="1:15" ht="12.75" customHeight="1">
      <c r="A184" s="30"/>
      <c r="B184" s="29" t="str">
        <f t="shared" ref="B184" si="238">TEXT(A184,"aaa")</f>
        <v>토</v>
      </c>
      <c r="C184" s="29"/>
      <c r="D184" s="29" t="e">
        <f>VLOOKUP($C184,청소코드!$C$4:$J$188,3,FALSE)</f>
        <v>#N/A</v>
      </c>
      <c r="E184" s="29" t="e">
        <f>VLOOKUP($C184,청소코드!$C$4:$J$188,4,FALSE)</f>
        <v>#N/A</v>
      </c>
      <c r="F184" s="29"/>
      <c r="G184" s="29"/>
      <c r="H184" s="29"/>
      <c r="I184" s="29"/>
      <c r="J184" s="47" t="e">
        <f t="shared" ref="J184" si="239">SUM(K184:O184)</f>
        <v>#N/A</v>
      </c>
      <c r="K184" s="29" t="e">
        <f>VLOOKUP($C184,청소코드!$C$4:$J$188,8,FALSE)</f>
        <v>#N/A</v>
      </c>
      <c r="L184" s="32"/>
      <c r="M184" s="31"/>
      <c r="N184" s="32"/>
      <c r="O184" s="32"/>
    </row>
    <row r="185" spans="1:15" ht="12.75" customHeight="1">
      <c r="A185" s="30"/>
      <c r="B185" s="29" t="str">
        <f t="shared" ref="B185" si="240">TEXT(A185,"aaa")</f>
        <v>토</v>
      </c>
      <c r="C185" s="29"/>
      <c r="D185" s="29" t="e">
        <f>VLOOKUP($C185,청소코드!$C$4:$J$188,3,FALSE)</f>
        <v>#N/A</v>
      </c>
      <c r="E185" s="29" t="e">
        <f>VLOOKUP($C185,청소코드!$C$4:$J$188,4,FALSE)</f>
        <v>#N/A</v>
      </c>
      <c r="F185" s="29"/>
      <c r="G185" s="29"/>
      <c r="H185" s="29"/>
      <c r="I185" s="29"/>
      <c r="J185" s="47" t="e">
        <f t="shared" ref="J185" si="241">SUM(K185:O185)</f>
        <v>#N/A</v>
      </c>
      <c r="K185" s="29" t="e">
        <f>VLOOKUP($C185,청소코드!$C$4:$J$188,8,FALSE)</f>
        <v>#N/A</v>
      </c>
      <c r="L185" s="32"/>
      <c r="M185" s="31"/>
      <c r="N185" s="32"/>
      <c r="O185" s="32"/>
    </row>
    <row r="186" spans="1:15" ht="12.75" customHeight="1">
      <c r="A186" s="30"/>
      <c r="B186" s="29" t="str">
        <f t="shared" ref="B186" si="242">TEXT(A186,"aaa")</f>
        <v>토</v>
      </c>
      <c r="C186" s="29"/>
      <c r="D186" s="29" t="e">
        <f>VLOOKUP($C186,청소코드!$C$4:$J$188,3,FALSE)</f>
        <v>#N/A</v>
      </c>
      <c r="E186" s="29" t="e">
        <f>VLOOKUP($C186,청소코드!$C$4:$J$188,4,FALSE)</f>
        <v>#N/A</v>
      </c>
      <c r="F186" s="29"/>
      <c r="G186" s="29"/>
      <c r="H186" s="29"/>
      <c r="I186" s="29"/>
      <c r="J186" s="47" t="e">
        <f t="shared" ref="J186" si="243">SUM(K186:O186)</f>
        <v>#N/A</v>
      </c>
      <c r="K186" s="29" t="e">
        <f>VLOOKUP($C186,청소코드!$C$4:$J$188,8,FALSE)</f>
        <v>#N/A</v>
      </c>
      <c r="L186" s="32"/>
      <c r="M186" s="31"/>
      <c r="N186" s="32"/>
      <c r="O186" s="32"/>
    </row>
    <row r="187" spans="1:15" ht="12.75" customHeight="1">
      <c r="A187" s="30"/>
      <c r="B187" s="29" t="str">
        <f t="shared" ref="B187" si="244">TEXT(A187,"aaa")</f>
        <v>토</v>
      </c>
      <c r="C187" s="29"/>
      <c r="D187" s="29" t="e">
        <f>VLOOKUP($C187,청소코드!$C$4:$J$188,3,FALSE)</f>
        <v>#N/A</v>
      </c>
      <c r="E187" s="29" t="e">
        <f>VLOOKUP($C187,청소코드!$C$4:$J$188,4,FALSE)</f>
        <v>#N/A</v>
      </c>
      <c r="F187" s="29"/>
      <c r="G187" s="29"/>
      <c r="H187" s="29"/>
      <c r="I187" s="29"/>
      <c r="J187" s="47" t="e">
        <f t="shared" ref="J187" si="245">SUM(K187:O187)</f>
        <v>#N/A</v>
      </c>
      <c r="K187" s="29" t="e">
        <f>VLOOKUP($C187,청소코드!$C$4:$J$188,8,FALSE)</f>
        <v>#N/A</v>
      </c>
      <c r="L187" s="32"/>
      <c r="M187" s="31"/>
      <c r="N187" s="32"/>
      <c r="O187" s="32"/>
    </row>
    <row r="188" spans="1:15" ht="12.75" customHeight="1">
      <c r="A188" s="30"/>
      <c r="B188" s="29" t="str">
        <f t="shared" ref="B188" si="246">TEXT(A188,"aaa")</f>
        <v>토</v>
      </c>
      <c r="C188" s="29"/>
      <c r="D188" s="29" t="e">
        <f>VLOOKUP($C188,청소코드!$C$4:$J$188,3,FALSE)</f>
        <v>#N/A</v>
      </c>
      <c r="E188" s="29" t="e">
        <f>VLOOKUP($C188,청소코드!$C$4:$J$188,4,FALSE)</f>
        <v>#N/A</v>
      </c>
      <c r="F188" s="29"/>
      <c r="G188" s="29"/>
      <c r="H188" s="29"/>
      <c r="I188" s="29"/>
      <c r="J188" s="47" t="e">
        <f t="shared" ref="J188" si="247">SUM(K188:O188)</f>
        <v>#N/A</v>
      </c>
      <c r="K188" s="29" t="e">
        <f>VLOOKUP($C188,청소코드!$C$4:$J$188,8,FALSE)</f>
        <v>#N/A</v>
      </c>
      <c r="L188" s="32"/>
      <c r="M188" s="31"/>
      <c r="N188" s="32"/>
      <c r="O188" s="32"/>
    </row>
    <row r="189" spans="1:15" ht="12.75" customHeight="1">
      <c r="A189" s="30"/>
      <c r="B189" s="29" t="str">
        <f t="shared" ref="B189" si="248">TEXT(A189,"aaa")</f>
        <v>토</v>
      </c>
      <c r="C189" s="29"/>
      <c r="D189" s="29" t="e">
        <f>VLOOKUP($C189,청소코드!$C$4:$J$188,3,FALSE)</f>
        <v>#N/A</v>
      </c>
      <c r="E189" s="29" t="e">
        <f>VLOOKUP($C189,청소코드!$C$4:$J$188,4,FALSE)</f>
        <v>#N/A</v>
      </c>
      <c r="F189" s="29"/>
      <c r="G189" s="29"/>
      <c r="H189" s="29"/>
      <c r="I189" s="29"/>
      <c r="J189" s="47" t="e">
        <f t="shared" ref="J189" si="249">SUM(K189:O189)</f>
        <v>#N/A</v>
      </c>
      <c r="K189" s="29" t="e">
        <f>VLOOKUP($C189,청소코드!$C$4:$J$188,8,FALSE)</f>
        <v>#N/A</v>
      </c>
      <c r="L189" s="32"/>
      <c r="M189" s="31"/>
      <c r="N189" s="32"/>
      <c r="O189" s="32"/>
    </row>
    <row r="190" spans="1:15" ht="12.75" customHeight="1">
      <c r="A190" s="30"/>
      <c r="B190" s="29" t="str">
        <f t="shared" ref="B190" si="250">TEXT(A190,"aaa")</f>
        <v>토</v>
      </c>
      <c r="C190" s="29"/>
      <c r="D190" s="29" t="e">
        <f>VLOOKUP($C190,청소코드!$C$4:$J$188,3,FALSE)</f>
        <v>#N/A</v>
      </c>
      <c r="E190" s="29" t="e">
        <f>VLOOKUP($C190,청소코드!$C$4:$J$188,4,FALSE)</f>
        <v>#N/A</v>
      </c>
      <c r="F190" s="29"/>
      <c r="G190" s="29"/>
      <c r="H190" s="29"/>
      <c r="I190" s="29"/>
      <c r="J190" s="47" t="e">
        <f t="shared" ref="J190" si="251">SUM(K190:O190)</f>
        <v>#N/A</v>
      </c>
      <c r="K190" s="29" t="e">
        <f>VLOOKUP($C190,청소코드!$C$4:$J$188,8,FALSE)</f>
        <v>#N/A</v>
      </c>
      <c r="L190" s="32"/>
      <c r="M190" s="31"/>
      <c r="N190" s="32"/>
      <c r="O190" s="32"/>
    </row>
    <row r="191" spans="1:15" ht="12.75" customHeight="1">
      <c r="A191" s="30"/>
      <c r="B191" s="29" t="str">
        <f t="shared" ref="B191" si="252">TEXT(A191,"aaa")</f>
        <v>토</v>
      </c>
      <c r="C191" s="29"/>
      <c r="D191" s="29" t="e">
        <f>VLOOKUP($C191,청소코드!$C$4:$J$188,3,FALSE)</f>
        <v>#N/A</v>
      </c>
      <c r="E191" s="29" t="e">
        <f>VLOOKUP($C191,청소코드!$C$4:$J$188,4,FALSE)</f>
        <v>#N/A</v>
      </c>
      <c r="F191" s="29"/>
      <c r="G191" s="29"/>
      <c r="H191" s="29"/>
      <c r="I191" s="29"/>
      <c r="J191" s="47" t="e">
        <f t="shared" ref="J191" si="253">SUM(K191:O191)</f>
        <v>#N/A</v>
      </c>
      <c r="K191" s="29" t="e">
        <f>VLOOKUP($C191,청소코드!$C$4:$J$188,8,FALSE)</f>
        <v>#N/A</v>
      </c>
      <c r="L191" s="32"/>
      <c r="M191" s="31"/>
      <c r="N191" s="32"/>
      <c r="O191" s="32"/>
    </row>
    <row r="192" spans="1:15" ht="12.75" customHeight="1">
      <c r="A192" s="30"/>
      <c r="B192" s="29" t="str">
        <f t="shared" ref="B192" si="254">TEXT(A192,"aaa")</f>
        <v>토</v>
      </c>
      <c r="C192" s="29"/>
      <c r="D192" s="29" t="e">
        <f>VLOOKUP($C192,청소코드!$C$4:$J$188,3,FALSE)</f>
        <v>#N/A</v>
      </c>
      <c r="E192" s="29" t="e">
        <f>VLOOKUP($C192,청소코드!$C$4:$J$188,4,FALSE)</f>
        <v>#N/A</v>
      </c>
      <c r="F192" s="29"/>
      <c r="G192" s="29"/>
      <c r="H192" s="29"/>
      <c r="I192" s="29"/>
      <c r="J192" s="47" t="e">
        <f t="shared" ref="J192" si="255">SUM(K192:O192)</f>
        <v>#N/A</v>
      </c>
      <c r="K192" s="29" t="e">
        <f>VLOOKUP($C192,청소코드!$C$4:$J$188,8,FALSE)</f>
        <v>#N/A</v>
      </c>
      <c r="L192" s="32"/>
      <c r="M192" s="31"/>
      <c r="N192" s="32"/>
      <c r="O192" s="32"/>
    </row>
    <row r="193" spans="1:15" ht="12.75" customHeight="1">
      <c r="A193" s="30"/>
      <c r="B193" s="29" t="str">
        <f t="shared" ref="B193" si="256">TEXT(A193,"aaa")</f>
        <v>토</v>
      </c>
      <c r="C193" s="29"/>
      <c r="D193" s="29" t="e">
        <f>VLOOKUP($C193,청소코드!$C$4:$J$188,3,FALSE)</f>
        <v>#N/A</v>
      </c>
      <c r="E193" s="29" t="e">
        <f>VLOOKUP($C193,청소코드!$C$4:$J$188,4,FALSE)</f>
        <v>#N/A</v>
      </c>
      <c r="F193" s="29"/>
      <c r="G193" s="29"/>
      <c r="H193" s="29"/>
      <c r="I193" s="29"/>
      <c r="J193" s="47" t="e">
        <f t="shared" ref="J193" si="257">SUM(K193:O193)</f>
        <v>#N/A</v>
      </c>
      <c r="K193" s="29" t="e">
        <f>VLOOKUP($C193,청소코드!$C$4:$J$188,8,FALSE)</f>
        <v>#N/A</v>
      </c>
      <c r="L193" s="32"/>
      <c r="M193" s="31"/>
      <c r="N193" s="32"/>
      <c r="O193" s="32"/>
    </row>
    <row r="194" spans="1:15" ht="12.75" customHeight="1">
      <c r="A194" s="30"/>
      <c r="B194" s="29" t="str">
        <f t="shared" ref="B194" si="258">TEXT(A194,"aaa")</f>
        <v>토</v>
      </c>
      <c r="C194" s="29"/>
      <c r="D194" s="29" t="e">
        <f>VLOOKUP($C194,청소코드!$C$4:$J$188,3,FALSE)</f>
        <v>#N/A</v>
      </c>
      <c r="E194" s="29" t="e">
        <f>VLOOKUP($C194,청소코드!$C$4:$J$188,4,FALSE)</f>
        <v>#N/A</v>
      </c>
      <c r="F194" s="29"/>
      <c r="G194" s="29"/>
      <c r="H194" s="29"/>
      <c r="I194" s="29"/>
      <c r="J194" s="47" t="e">
        <f t="shared" ref="J194" si="259">SUM(K194:O194)</f>
        <v>#N/A</v>
      </c>
      <c r="K194" s="29" t="e">
        <f>VLOOKUP($C194,청소코드!$C$4:$J$188,8,FALSE)</f>
        <v>#N/A</v>
      </c>
      <c r="L194" s="32"/>
      <c r="M194" s="31"/>
      <c r="N194" s="32"/>
      <c r="O194" s="32"/>
    </row>
    <row r="195" spans="1:15" ht="12.75" customHeight="1">
      <c r="A195" s="30"/>
      <c r="B195" s="29" t="str">
        <f t="shared" ref="B195" si="260">TEXT(A195,"aaa")</f>
        <v>토</v>
      </c>
      <c r="C195" s="29"/>
      <c r="D195" s="29" t="e">
        <f>VLOOKUP($C195,청소코드!$C$4:$J$188,3,FALSE)</f>
        <v>#N/A</v>
      </c>
      <c r="E195" s="29" t="e">
        <f>VLOOKUP($C195,청소코드!$C$4:$J$188,4,FALSE)</f>
        <v>#N/A</v>
      </c>
      <c r="F195" s="29"/>
      <c r="G195" s="29"/>
      <c r="H195" s="29"/>
      <c r="I195" s="29"/>
      <c r="J195" s="47" t="e">
        <f t="shared" ref="J195" si="261">SUM(K195:O195)</f>
        <v>#N/A</v>
      </c>
      <c r="K195" s="29" t="e">
        <f>VLOOKUP($C195,청소코드!$C$4:$J$188,8,FALSE)</f>
        <v>#N/A</v>
      </c>
      <c r="L195" s="32"/>
      <c r="M195" s="31"/>
      <c r="N195" s="32"/>
      <c r="O195" s="32"/>
    </row>
    <row r="196" spans="1:15" ht="12.75" customHeight="1">
      <c r="A196" s="30"/>
      <c r="B196" s="29" t="str">
        <f t="shared" ref="B196" si="262">TEXT(A196,"aaa")</f>
        <v>토</v>
      </c>
      <c r="C196" s="29"/>
      <c r="D196" s="29" t="e">
        <f>VLOOKUP($C196,청소코드!$C$4:$J$188,3,FALSE)</f>
        <v>#N/A</v>
      </c>
      <c r="E196" s="29" t="e">
        <f>VLOOKUP($C196,청소코드!$C$4:$J$188,4,FALSE)</f>
        <v>#N/A</v>
      </c>
      <c r="F196" s="29"/>
      <c r="G196" s="29"/>
      <c r="H196" s="29"/>
      <c r="I196" s="29"/>
      <c r="J196" s="47" t="e">
        <f t="shared" ref="J196" si="263">SUM(K196:O196)</f>
        <v>#N/A</v>
      </c>
      <c r="K196" s="29" t="e">
        <f>VLOOKUP($C196,청소코드!$C$4:$J$188,8,FALSE)</f>
        <v>#N/A</v>
      </c>
      <c r="L196" s="32"/>
      <c r="M196" s="31"/>
      <c r="N196" s="32"/>
      <c r="O196" s="32"/>
    </row>
    <row r="197" spans="1:15" ht="12.75" customHeight="1">
      <c r="A197" s="30"/>
      <c r="B197" s="29" t="str">
        <f t="shared" ref="B197" si="264">TEXT(A197,"aaa")</f>
        <v>토</v>
      </c>
      <c r="C197" s="29"/>
      <c r="D197" s="29" t="e">
        <f>VLOOKUP($C197,청소코드!$C$4:$J$188,3,FALSE)</f>
        <v>#N/A</v>
      </c>
      <c r="E197" s="29" t="e">
        <f>VLOOKUP($C197,청소코드!$C$4:$J$188,4,FALSE)</f>
        <v>#N/A</v>
      </c>
      <c r="F197" s="29"/>
      <c r="G197" s="29"/>
      <c r="H197" s="29"/>
      <c r="I197" s="29"/>
      <c r="J197" s="47" t="e">
        <f t="shared" ref="J197" si="265">SUM(K197:O197)</f>
        <v>#N/A</v>
      </c>
      <c r="K197" s="29" t="e">
        <f>VLOOKUP($C197,청소코드!$C$4:$J$188,8,FALSE)</f>
        <v>#N/A</v>
      </c>
      <c r="L197" s="32"/>
      <c r="M197" s="31"/>
      <c r="N197" s="32"/>
      <c r="O197" s="32"/>
    </row>
    <row r="198" spans="1:15" ht="12.75" customHeight="1">
      <c r="A198" s="30"/>
      <c r="B198" s="29" t="str">
        <f t="shared" ref="B198" si="266">TEXT(A198,"aaa")</f>
        <v>토</v>
      </c>
      <c r="C198" s="29"/>
      <c r="D198" s="29" t="e">
        <f>VLOOKUP($C198,청소코드!$C$4:$J$188,3,FALSE)</f>
        <v>#N/A</v>
      </c>
      <c r="E198" s="29" t="e">
        <f>VLOOKUP($C198,청소코드!$C$4:$J$188,4,FALSE)</f>
        <v>#N/A</v>
      </c>
      <c r="F198" s="29"/>
      <c r="G198" s="29"/>
      <c r="H198" s="29"/>
      <c r="I198" s="29"/>
      <c r="J198" s="47" t="e">
        <f t="shared" ref="J198" si="267">SUM(K198:O198)</f>
        <v>#N/A</v>
      </c>
      <c r="K198" s="29" t="e">
        <f>VLOOKUP($C198,청소코드!$C$4:$J$188,8,FALSE)</f>
        <v>#N/A</v>
      </c>
      <c r="L198" s="32"/>
      <c r="M198" s="31"/>
      <c r="N198" s="32"/>
      <c r="O198" s="32"/>
    </row>
    <row r="199" spans="1:15" ht="12.75" customHeight="1">
      <c r="A199" s="30"/>
      <c r="B199" s="29" t="str">
        <f t="shared" ref="B199" si="268">TEXT(A199,"aaa")</f>
        <v>토</v>
      </c>
      <c r="C199" s="29"/>
      <c r="D199" s="29" t="e">
        <f>VLOOKUP($C199,청소코드!$C$4:$J$188,3,FALSE)</f>
        <v>#N/A</v>
      </c>
      <c r="E199" s="29" t="e">
        <f>VLOOKUP($C199,청소코드!$C$4:$J$188,4,FALSE)</f>
        <v>#N/A</v>
      </c>
      <c r="F199" s="29"/>
      <c r="G199" s="29"/>
      <c r="H199" s="29"/>
      <c r="I199" s="29"/>
      <c r="J199" s="47" t="e">
        <f t="shared" ref="J199" si="269">SUM(K199:O199)</f>
        <v>#N/A</v>
      </c>
      <c r="K199" s="29" t="e">
        <f>VLOOKUP($C199,청소코드!$C$4:$J$188,8,FALSE)</f>
        <v>#N/A</v>
      </c>
      <c r="L199" s="32"/>
      <c r="M199" s="31"/>
      <c r="N199" s="32"/>
      <c r="O199" s="32"/>
    </row>
    <row r="200" spans="1:15" ht="12.75" customHeight="1">
      <c r="A200" s="30"/>
      <c r="B200" s="29" t="str">
        <f t="shared" ref="B200" si="270">TEXT(A200,"aaa")</f>
        <v>토</v>
      </c>
      <c r="C200" s="29"/>
      <c r="D200" s="29" t="e">
        <f>VLOOKUP($C200,청소코드!$C$4:$J$188,3,FALSE)</f>
        <v>#N/A</v>
      </c>
      <c r="E200" s="29" t="e">
        <f>VLOOKUP($C200,청소코드!$C$4:$J$188,4,FALSE)</f>
        <v>#N/A</v>
      </c>
      <c r="F200" s="29"/>
      <c r="G200" s="29"/>
      <c r="H200" s="29"/>
      <c r="I200" s="29"/>
      <c r="J200" s="47" t="e">
        <f t="shared" ref="J200" si="271">SUM(K200:O200)</f>
        <v>#N/A</v>
      </c>
      <c r="K200" s="29" t="e">
        <f>VLOOKUP($C200,청소코드!$C$4:$J$188,8,FALSE)</f>
        <v>#N/A</v>
      </c>
      <c r="L200" s="32"/>
      <c r="M200" s="31"/>
      <c r="N200" s="32"/>
      <c r="O200" s="32"/>
    </row>
    <row r="201" spans="1:15" ht="12.75" customHeight="1">
      <c r="A201" s="30"/>
      <c r="B201" s="29" t="str">
        <f t="shared" ref="B201" si="272">TEXT(A201,"aaa")</f>
        <v>토</v>
      </c>
      <c r="C201" s="29"/>
      <c r="D201" s="29" t="e">
        <f>VLOOKUP($C201,청소코드!$C$4:$J$188,3,FALSE)</f>
        <v>#N/A</v>
      </c>
      <c r="E201" s="29" t="e">
        <f>VLOOKUP($C201,청소코드!$C$4:$J$188,4,FALSE)</f>
        <v>#N/A</v>
      </c>
      <c r="F201" s="29"/>
      <c r="G201" s="29"/>
      <c r="H201" s="29"/>
      <c r="I201" s="29"/>
      <c r="J201" s="47" t="e">
        <f t="shared" ref="J201" si="273">SUM(K201:O201)</f>
        <v>#N/A</v>
      </c>
      <c r="K201" s="29" t="e">
        <f>VLOOKUP($C201,청소코드!$C$4:$J$188,8,FALSE)</f>
        <v>#N/A</v>
      </c>
      <c r="L201" s="32"/>
      <c r="M201" s="31"/>
      <c r="N201" s="32"/>
      <c r="O201" s="32"/>
    </row>
    <row r="202" spans="1:15" ht="12.75" customHeight="1">
      <c r="A202" s="30"/>
      <c r="B202" s="29" t="str">
        <f t="shared" ref="B202" si="274">TEXT(A202,"aaa")</f>
        <v>토</v>
      </c>
      <c r="C202" s="29"/>
      <c r="D202" s="29" t="e">
        <f>VLOOKUP($C202,청소코드!$C$4:$J$188,3,FALSE)</f>
        <v>#N/A</v>
      </c>
      <c r="E202" s="29" t="e">
        <f>VLOOKUP($C202,청소코드!$C$4:$J$188,4,FALSE)</f>
        <v>#N/A</v>
      </c>
      <c r="F202" s="29"/>
      <c r="G202" s="29"/>
      <c r="H202" s="29"/>
      <c r="I202" s="29"/>
      <c r="J202" s="47" t="e">
        <f t="shared" ref="J202" si="275">SUM(K202:O202)</f>
        <v>#N/A</v>
      </c>
      <c r="K202" s="29" t="e">
        <f>VLOOKUP($C202,청소코드!$C$4:$J$188,8,FALSE)</f>
        <v>#N/A</v>
      </c>
      <c r="L202" s="32"/>
      <c r="M202" s="31"/>
      <c r="N202" s="32"/>
      <c r="O202" s="32"/>
    </row>
    <row r="203" spans="1:15" ht="12.75" customHeight="1">
      <c r="A203" s="30"/>
      <c r="B203" s="29" t="str">
        <f t="shared" ref="B203" si="276">TEXT(A203,"aaa")</f>
        <v>토</v>
      </c>
      <c r="C203" s="29"/>
      <c r="D203" s="29" t="e">
        <f>VLOOKUP($C203,청소코드!$C$4:$J$188,3,FALSE)</f>
        <v>#N/A</v>
      </c>
      <c r="E203" s="29" t="e">
        <f>VLOOKUP($C203,청소코드!$C$4:$J$188,4,FALSE)</f>
        <v>#N/A</v>
      </c>
      <c r="F203" s="29"/>
      <c r="G203" s="29"/>
      <c r="H203" s="29"/>
      <c r="I203" s="29"/>
      <c r="J203" s="47" t="e">
        <f t="shared" ref="J203" si="277">SUM(K203:O203)</f>
        <v>#N/A</v>
      </c>
      <c r="K203" s="29" t="e">
        <f>VLOOKUP($C203,청소코드!$C$4:$J$188,8,FALSE)</f>
        <v>#N/A</v>
      </c>
      <c r="L203" s="32"/>
      <c r="M203" s="31"/>
      <c r="N203" s="32"/>
      <c r="O203" s="32"/>
    </row>
    <row r="204" spans="1:15" ht="12.75" customHeight="1">
      <c r="A204" s="30"/>
      <c r="B204" s="29" t="str">
        <f t="shared" ref="B204" si="278">TEXT(A204,"aaa")</f>
        <v>토</v>
      </c>
      <c r="C204" s="29"/>
      <c r="D204" s="29" t="e">
        <f>VLOOKUP($C204,청소코드!$C$4:$J$188,3,FALSE)</f>
        <v>#N/A</v>
      </c>
      <c r="E204" s="29" t="e">
        <f>VLOOKUP($C204,청소코드!$C$4:$J$188,4,FALSE)</f>
        <v>#N/A</v>
      </c>
      <c r="F204" s="29"/>
      <c r="G204" s="29"/>
      <c r="H204" s="29"/>
      <c r="I204" s="29"/>
      <c r="J204" s="47" t="e">
        <f t="shared" ref="J204" si="279">SUM(K204:O204)</f>
        <v>#N/A</v>
      </c>
      <c r="K204" s="29" t="e">
        <f>VLOOKUP($C204,청소코드!$C$4:$J$188,8,FALSE)</f>
        <v>#N/A</v>
      </c>
      <c r="L204" s="32"/>
      <c r="M204" s="31"/>
      <c r="N204" s="32"/>
      <c r="O204" s="32"/>
    </row>
    <row r="205" spans="1:15" ht="12.75" customHeight="1">
      <c r="A205" s="30"/>
      <c r="B205" s="29" t="str">
        <f t="shared" ref="B205" si="280">TEXT(A205,"aaa")</f>
        <v>토</v>
      </c>
      <c r="C205" s="29"/>
      <c r="D205" s="29" t="e">
        <f>VLOOKUP($C205,청소코드!$C$4:$J$188,3,FALSE)</f>
        <v>#N/A</v>
      </c>
      <c r="E205" s="29" t="e">
        <f>VLOOKUP($C205,청소코드!$C$4:$J$188,4,FALSE)</f>
        <v>#N/A</v>
      </c>
      <c r="F205" s="29"/>
      <c r="G205" s="29"/>
      <c r="H205" s="29"/>
      <c r="I205" s="29"/>
      <c r="J205" s="47" t="e">
        <f t="shared" ref="J205" si="281">SUM(K205:O205)</f>
        <v>#N/A</v>
      </c>
      <c r="K205" s="29" t="e">
        <f>VLOOKUP($C205,청소코드!$C$4:$J$188,8,FALSE)</f>
        <v>#N/A</v>
      </c>
      <c r="L205" s="32"/>
      <c r="M205" s="31"/>
      <c r="N205" s="32"/>
      <c r="O205" s="32"/>
    </row>
    <row r="206" spans="1:15" ht="12.75" customHeight="1">
      <c r="A206" s="30"/>
      <c r="B206" s="29" t="str">
        <f t="shared" ref="B206" si="282">TEXT(A206,"aaa")</f>
        <v>토</v>
      </c>
      <c r="C206" s="29"/>
      <c r="D206" s="29" t="e">
        <f>VLOOKUP($C206,청소코드!$C$4:$J$188,3,FALSE)</f>
        <v>#N/A</v>
      </c>
      <c r="E206" s="29" t="e">
        <f>VLOOKUP($C206,청소코드!$C$4:$J$188,4,FALSE)</f>
        <v>#N/A</v>
      </c>
      <c r="F206" s="29"/>
      <c r="G206" s="29"/>
      <c r="H206" s="29"/>
      <c r="I206" s="29"/>
      <c r="J206" s="47" t="e">
        <f t="shared" ref="J206" si="283">SUM(K206:O206)</f>
        <v>#N/A</v>
      </c>
      <c r="K206" s="29" t="e">
        <f>VLOOKUP($C206,청소코드!$C$4:$J$188,8,FALSE)</f>
        <v>#N/A</v>
      </c>
      <c r="L206" s="32"/>
      <c r="M206" s="31"/>
      <c r="N206" s="32"/>
      <c r="O206" s="32"/>
    </row>
    <row r="207" spans="1:15" ht="12.75" customHeight="1">
      <c r="A207" s="30"/>
      <c r="B207" s="29" t="str">
        <f t="shared" ref="B207" si="284">TEXT(A207,"aaa")</f>
        <v>토</v>
      </c>
      <c r="C207" s="29"/>
      <c r="D207" s="29" t="e">
        <f>VLOOKUP($C207,청소코드!$C$4:$J$188,3,FALSE)</f>
        <v>#N/A</v>
      </c>
      <c r="E207" s="29" t="e">
        <f>VLOOKUP($C207,청소코드!$C$4:$J$188,4,FALSE)</f>
        <v>#N/A</v>
      </c>
      <c r="F207" s="29"/>
      <c r="G207" s="29"/>
      <c r="H207" s="29"/>
      <c r="I207" s="29"/>
      <c r="J207" s="47" t="e">
        <f t="shared" ref="J207" si="285">SUM(K207:O207)</f>
        <v>#N/A</v>
      </c>
      <c r="K207" s="29" t="e">
        <f>VLOOKUP($C207,청소코드!$C$4:$J$188,8,FALSE)</f>
        <v>#N/A</v>
      </c>
      <c r="L207" s="32"/>
      <c r="M207" s="31"/>
      <c r="N207" s="32"/>
      <c r="O207" s="32"/>
    </row>
    <row r="208" spans="1:15" ht="12.75" customHeight="1">
      <c r="A208" s="30"/>
      <c r="B208" s="29" t="str">
        <f t="shared" ref="B208" si="286">TEXT(A208,"aaa")</f>
        <v>토</v>
      </c>
      <c r="C208" s="29"/>
      <c r="D208" s="29" t="e">
        <f>VLOOKUP($C208,청소코드!$C$4:$J$188,3,FALSE)</f>
        <v>#N/A</v>
      </c>
      <c r="E208" s="29" t="e">
        <f>VLOOKUP($C208,청소코드!$C$4:$J$188,4,FALSE)</f>
        <v>#N/A</v>
      </c>
      <c r="F208" s="29"/>
      <c r="G208" s="29"/>
      <c r="H208" s="29"/>
      <c r="I208" s="29"/>
      <c r="J208" s="47" t="e">
        <f t="shared" ref="J208" si="287">SUM(K208:O208)</f>
        <v>#N/A</v>
      </c>
      <c r="K208" s="29" t="e">
        <f>VLOOKUP($C208,청소코드!$C$4:$J$188,8,FALSE)</f>
        <v>#N/A</v>
      </c>
      <c r="L208" s="32"/>
      <c r="M208" s="31"/>
      <c r="N208" s="32"/>
      <c r="O208" s="32"/>
    </row>
    <row r="209" spans="1:15" ht="12.75" customHeight="1">
      <c r="A209" s="30"/>
      <c r="B209" s="29" t="str">
        <f t="shared" ref="B209" si="288">TEXT(A209,"aaa")</f>
        <v>토</v>
      </c>
      <c r="C209" s="29"/>
      <c r="D209" s="29" t="e">
        <f>VLOOKUP($C209,청소코드!$C$4:$J$188,3,FALSE)</f>
        <v>#N/A</v>
      </c>
      <c r="E209" s="29" t="e">
        <f>VLOOKUP($C209,청소코드!$C$4:$J$188,4,FALSE)</f>
        <v>#N/A</v>
      </c>
      <c r="F209" s="29"/>
      <c r="G209" s="29"/>
      <c r="H209" s="29"/>
      <c r="I209" s="29"/>
      <c r="J209" s="47" t="e">
        <f t="shared" ref="J209" si="289">SUM(K209:O209)</f>
        <v>#N/A</v>
      </c>
      <c r="K209" s="29" t="e">
        <f>VLOOKUP($C209,청소코드!$C$4:$J$188,8,FALSE)</f>
        <v>#N/A</v>
      </c>
      <c r="L209" s="32"/>
      <c r="M209" s="31"/>
      <c r="N209" s="32"/>
      <c r="O209" s="32"/>
    </row>
    <row r="210" spans="1:15" ht="12.75" customHeight="1">
      <c r="A210" s="30"/>
      <c r="B210" s="29" t="str">
        <f t="shared" ref="B210" si="290">TEXT(A210,"aaa")</f>
        <v>토</v>
      </c>
      <c r="C210" s="29"/>
      <c r="D210" s="29" t="e">
        <f>VLOOKUP($C210,청소코드!$C$4:$J$188,3,FALSE)</f>
        <v>#N/A</v>
      </c>
      <c r="E210" s="29" t="e">
        <f>VLOOKUP($C210,청소코드!$C$4:$J$188,4,FALSE)</f>
        <v>#N/A</v>
      </c>
      <c r="F210" s="29"/>
      <c r="G210" s="29"/>
      <c r="H210" s="29"/>
      <c r="I210" s="29"/>
      <c r="J210" s="47" t="e">
        <f t="shared" ref="J210" si="291">SUM(K210:O210)</f>
        <v>#N/A</v>
      </c>
      <c r="K210" s="29" t="e">
        <f>VLOOKUP($C210,청소코드!$C$4:$J$188,8,FALSE)</f>
        <v>#N/A</v>
      </c>
      <c r="L210" s="32"/>
      <c r="M210" s="31"/>
      <c r="N210" s="32"/>
      <c r="O210" s="32"/>
    </row>
    <row r="211" spans="1:15" ht="12.75" customHeight="1">
      <c r="A211" s="30"/>
      <c r="B211" s="29" t="str">
        <f t="shared" ref="B211" si="292">TEXT(A211,"aaa")</f>
        <v>토</v>
      </c>
      <c r="C211" s="29"/>
      <c r="D211" s="29" t="e">
        <f>VLOOKUP($C211,청소코드!$C$4:$J$188,3,FALSE)</f>
        <v>#N/A</v>
      </c>
      <c r="E211" s="29" t="e">
        <f>VLOOKUP($C211,청소코드!$C$4:$J$188,4,FALSE)</f>
        <v>#N/A</v>
      </c>
      <c r="F211" s="29"/>
      <c r="G211" s="29"/>
      <c r="H211" s="29"/>
      <c r="I211" s="29"/>
      <c r="J211" s="47" t="e">
        <f t="shared" ref="J211" si="293">SUM(K211:O211)</f>
        <v>#N/A</v>
      </c>
      <c r="K211" s="29" t="e">
        <f>VLOOKUP($C211,청소코드!$C$4:$J$188,8,FALSE)</f>
        <v>#N/A</v>
      </c>
      <c r="L211" s="32"/>
      <c r="M211" s="31"/>
      <c r="N211" s="32"/>
      <c r="O211" s="32"/>
    </row>
    <row r="212" spans="1:15" ht="12.75" customHeight="1">
      <c r="A212" s="30"/>
      <c r="B212" s="29" t="str">
        <f t="shared" ref="B212" si="294">TEXT(A212,"aaa")</f>
        <v>토</v>
      </c>
      <c r="C212" s="29"/>
      <c r="D212" s="29" t="e">
        <f>VLOOKUP($C212,청소코드!$C$4:$J$188,3,FALSE)</f>
        <v>#N/A</v>
      </c>
      <c r="E212" s="29" t="e">
        <f>VLOOKUP($C212,청소코드!$C$4:$J$188,4,FALSE)</f>
        <v>#N/A</v>
      </c>
      <c r="F212" s="29"/>
      <c r="G212" s="29"/>
      <c r="H212" s="29"/>
      <c r="I212" s="29"/>
      <c r="J212" s="47" t="e">
        <f t="shared" ref="J212" si="295">SUM(K212:O212)</f>
        <v>#N/A</v>
      </c>
      <c r="K212" s="29" t="e">
        <f>VLOOKUP($C212,청소코드!$C$4:$J$188,8,FALSE)</f>
        <v>#N/A</v>
      </c>
      <c r="L212" s="32"/>
      <c r="M212" s="31"/>
      <c r="N212" s="32"/>
      <c r="O212" s="32"/>
    </row>
    <row r="213" spans="1:15" ht="12.75" customHeight="1">
      <c r="A213" s="30"/>
      <c r="B213" s="29" t="str">
        <f t="shared" ref="B213" si="296">TEXT(A213,"aaa")</f>
        <v>토</v>
      </c>
      <c r="C213" s="29"/>
      <c r="D213" s="29" t="e">
        <f>VLOOKUP($C213,청소코드!$C$4:$J$188,3,FALSE)</f>
        <v>#N/A</v>
      </c>
      <c r="E213" s="29" t="e">
        <f>VLOOKUP($C213,청소코드!$C$4:$J$188,4,FALSE)</f>
        <v>#N/A</v>
      </c>
      <c r="F213" s="29"/>
      <c r="G213" s="29"/>
      <c r="H213" s="29"/>
      <c r="I213" s="29"/>
      <c r="J213" s="47" t="e">
        <f t="shared" ref="J213" si="297">SUM(K213:O213)</f>
        <v>#N/A</v>
      </c>
      <c r="K213" s="29" t="e">
        <f>VLOOKUP($C213,청소코드!$C$4:$J$188,8,FALSE)</f>
        <v>#N/A</v>
      </c>
      <c r="L213" s="32"/>
      <c r="M213" s="31"/>
      <c r="N213" s="32"/>
      <c r="O213" s="32"/>
    </row>
    <row r="214" spans="1:15" ht="12.75" customHeight="1">
      <c r="A214" s="30"/>
      <c r="B214" s="29" t="str">
        <f t="shared" ref="B214" si="298">TEXT(A214,"aaa")</f>
        <v>토</v>
      </c>
      <c r="C214" s="29"/>
      <c r="D214" s="29" t="e">
        <f>VLOOKUP($C214,청소코드!$C$4:$J$188,3,FALSE)</f>
        <v>#N/A</v>
      </c>
      <c r="E214" s="29" t="e">
        <f>VLOOKUP($C214,청소코드!$C$4:$J$188,4,FALSE)</f>
        <v>#N/A</v>
      </c>
      <c r="F214" s="29"/>
      <c r="G214" s="29"/>
      <c r="H214" s="29"/>
      <c r="I214" s="29"/>
      <c r="J214" s="47" t="e">
        <f t="shared" ref="J214" si="299">SUM(K214:O214)</f>
        <v>#N/A</v>
      </c>
      <c r="K214" s="29" t="e">
        <f>VLOOKUP($C214,청소코드!$C$4:$J$188,8,FALSE)</f>
        <v>#N/A</v>
      </c>
      <c r="L214" s="32"/>
      <c r="M214" s="31"/>
      <c r="N214" s="32"/>
      <c r="O214" s="32"/>
    </row>
    <row r="215" spans="1:15" ht="12.75" customHeight="1">
      <c r="A215" s="30"/>
      <c r="B215" s="29" t="str">
        <f t="shared" ref="B215" si="300">TEXT(A215,"aaa")</f>
        <v>토</v>
      </c>
      <c r="C215" s="29"/>
      <c r="D215" s="29" t="e">
        <f>VLOOKUP($C215,청소코드!$C$4:$J$188,3,FALSE)</f>
        <v>#N/A</v>
      </c>
      <c r="E215" s="29" t="e">
        <f>VLOOKUP($C215,청소코드!$C$4:$J$188,4,FALSE)</f>
        <v>#N/A</v>
      </c>
      <c r="F215" s="29"/>
      <c r="G215" s="29"/>
      <c r="H215" s="29"/>
      <c r="I215" s="29"/>
      <c r="J215" s="47" t="e">
        <f t="shared" ref="J215" si="301">SUM(K215:O215)</f>
        <v>#N/A</v>
      </c>
      <c r="K215" s="29" t="e">
        <f>VLOOKUP($C215,청소코드!$C$4:$J$188,8,FALSE)</f>
        <v>#N/A</v>
      </c>
      <c r="L215" s="32"/>
      <c r="M215" s="31"/>
      <c r="N215" s="32"/>
      <c r="O215" s="32"/>
    </row>
    <row r="216" spans="1:15" ht="12.75" customHeight="1">
      <c r="A216" s="30"/>
      <c r="B216" s="29" t="str">
        <f t="shared" ref="B216" si="302">TEXT(A216,"aaa")</f>
        <v>토</v>
      </c>
      <c r="C216" s="29"/>
      <c r="D216" s="29" t="e">
        <f>VLOOKUP($C216,청소코드!$C$4:$J$188,3,FALSE)</f>
        <v>#N/A</v>
      </c>
      <c r="E216" s="29" t="e">
        <f>VLOOKUP($C216,청소코드!$C$4:$J$188,4,FALSE)</f>
        <v>#N/A</v>
      </c>
      <c r="F216" s="29"/>
      <c r="G216" s="29"/>
      <c r="H216" s="29"/>
      <c r="I216" s="29"/>
      <c r="J216" s="47" t="e">
        <f t="shared" ref="J216" si="303">SUM(K216:O216)</f>
        <v>#N/A</v>
      </c>
      <c r="K216" s="29" t="e">
        <f>VLOOKUP($C216,청소코드!$C$4:$J$188,8,FALSE)</f>
        <v>#N/A</v>
      </c>
      <c r="L216" s="32"/>
      <c r="M216" s="31"/>
      <c r="N216" s="32"/>
      <c r="O216" s="32"/>
    </row>
    <row r="217" spans="1:15" ht="12.75" customHeight="1">
      <c r="A217" s="30"/>
      <c r="B217" s="29" t="str">
        <f t="shared" ref="B217" si="304">TEXT(A217,"aaa")</f>
        <v>토</v>
      </c>
      <c r="C217" s="29"/>
      <c r="D217" s="29" t="e">
        <f>VLOOKUP($C217,청소코드!$C$4:$J$188,3,FALSE)</f>
        <v>#N/A</v>
      </c>
      <c r="E217" s="29" t="e">
        <f>VLOOKUP($C217,청소코드!$C$4:$J$188,4,FALSE)</f>
        <v>#N/A</v>
      </c>
      <c r="F217" s="29"/>
      <c r="G217" s="29"/>
      <c r="H217" s="29"/>
      <c r="I217" s="29"/>
      <c r="J217" s="47" t="e">
        <f t="shared" ref="J217" si="305">SUM(K217:O217)</f>
        <v>#N/A</v>
      </c>
      <c r="K217" s="29" t="e">
        <f>VLOOKUP($C217,청소코드!$C$4:$J$188,8,FALSE)</f>
        <v>#N/A</v>
      </c>
      <c r="L217" s="32"/>
      <c r="M217" s="31"/>
      <c r="N217" s="32"/>
      <c r="O217" s="32"/>
    </row>
    <row r="218" spans="1:15" ht="12.75" customHeight="1">
      <c r="A218" s="30"/>
      <c r="B218" s="29" t="str">
        <f t="shared" ref="B218" si="306">TEXT(A218,"aaa")</f>
        <v>토</v>
      </c>
      <c r="C218" s="29"/>
      <c r="D218" s="29" t="e">
        <f>VLOOKUP($C218,청소코드!$C$4:$J$188,3,FALSE)</f>
        <v>#N/A</v>
      </c>
      <c r="E218" s="29" t="e">
        <f>VLOOKUP($C218,청소코드!$C$4:$J$188,4,FALSE)</f>
        <v>#N/A</v>
      </c>
      <c r="F218" s="29"/>
      <c r="G218" s="29"/>
      <c r="H218" s="29"/>
      <c r="I218" s="29"/>
      <c r="J218" s="47" t="e">
        <f t="shared" ref="J218" si="307">SUM(K218:O218)</f>
        <v>#N/A</v>
      </c>
      <c r="K218" s="29" t="e">
        <f>VLOOKUP($C218,청소코드!$C$4:$J$188,8,FALSE)</f>
        <v>#N/A</v>
      </c>
      <c r="L218" s="32"/>
      <c r="M218" s="31"/>
      <c r="N218" s="32"/>
      <c r="O218" s="32"/>
    </row>
    <row r="219" spans="1:15" ht="12.75" customHeight="1">
      <c r="A219" s="30"/>
      <c r="B219" s="29" t="str">
        <f t="shared" ref="B219" si="308">TEXT(A219,"aaa")</f>
        <v>토</v>
      </c>
      <c r="C219" s="29"/>
      <c r="D219" s="29" t="e">
        <f>VLOOKUP($C219,청소코드!$C$4:$J$188,3,FALSE)</f>
        <v>#N/A</v>
      </c>
      <c r="E219" s="29" t="e">
        <f>VLOOKUP($C219,청소코드!$C$4:$J$188,4,FALSE)</f>
        <v>#N/A</v>
      </c>
      <c r="F219" s="29"/>
      <c r="G219" s="29"/>
      <c r="H219" s="29"/>
      <c r="I219" s="29"/>
      <c r="J219" s="47" t="e">
        <f t="shared" ref="J219" si="309">SUM(K219:O219)</f>
        <v>#N/A</v>
      </c>
      <c r="K219" s="29" t="e">
        <f>VLOOKUP($C219,청소코드!$C$4:$J$188,8,FALSE)</f>
        <v>#N/A</v>
      </c>
      <c r="L219" s="32"/>
      <c r="M219" s="31"/>
      <c r="N219" s="32"/>
      <c r="O219" s="32"/>
    </row>
    <row r="220" spans="1:15" ht="12.75" customHeight="1">
      <c r="A220" s="30"/>
      <c r="B220" s="29" t="str">
        <f t="shared" ref="B220" si="310">TEXT(A220,"aaa")</f>
        <v>토</v>
      </c>
      <c r="C220" s="29"/>
      <c r="D220" s="29" t="e">
        <f>VLOOKUP($C220,청소코드!$C$4:$J$188,3,FALSE)</f>
        <v>#N/A</v>
      </c>
      <c r="E220" s="29" t="e">
        <f>VLOOKUP($C220,청소코드!$C$4:$J$188,4,FALSE)</f>
        <v>#N/A</v>
      </c>
      <c r="F220" s="29"/>
      <c r="G220" s="29"/>
      <c r="H220" s="29"/>
      <c r="I220" s="29"/>
      <c r="J220" s="47" t="e">
        <f t="shared" ref="J220" si="311">SUM(K220:O220)</f>
        <v>#N/A</v>
      </c>
      <c r="K220" s="29" t="e">
        <f>VLOOKUP($C220,청소코드!$C$4:$J$188,8,FALSE)</f>
        <v>#N/A</v>
      </c>
      <c r="L220" s="32"/>
      <c r="M220" s="31"/>
      <c r="N220" s="32"/>
      <c r="O220" s="32"/>
    </row>
    <row r="221" spans="1:15" ht="12.75" customHeight="1">
      <c r="A221" s="30"/>
      <c r="B221" s="29" t="str">
        <f t="shared" ref="B221" si="312">TEXT(A221,"aaa")</f>
        <v>토</v>
      </c>
      <c r="C221" s="29"/>
      <c r="D221" s="29" t="e">
        <f>VLOOKUP($C221,청소코드!$C$4:$J$188,3,FALSE)</f>
        <v>#N/A</v>
      </c>
      <c r="E221" s="29" t="e">
        <f>VLOOKUP($C221,청소코드!$C$4:$J$188,4,FALSE)</f>
        <v>#N/A</v>
      </c>
      <c r="F221" s="29"/>
      <c r="G221" s="29"/>
      <c r="H221" s="29"/>
      <c r="I221" s="29"/>
      <c r="J221" s="47" t="e">
        <f t="shared" ref="J221" si="313">SUM(K221:O221)</f>
        <v>#N/A</v>
      </c>
      <c r="K221" s="29" t="e">
        <f>VLOOKUP($C221,청소코드!$C$4:$J$188,8,FALSE)</f>
        <v>#N/A</v>
      </c>
      <c r="L221" s="32"/>
      <c r="M221" s="31"/>
      <c r="N221" s="32"/>
      <c r="O221" s="32"/>
    </row>
    <row r="222" spans="1:15" ht="12.75" customHeight="1">
      <c r="A222" s="30"/>
      <c r="B222" s="29" t="str">
        <f t="shared" ref="B222" si="314">TEXT(A222,"aaa")</f>
        <v>토</v>
      </c>
      <c r="C222" s="29"/>
      <c r="D222" s="29" t="e">
        <f>VLOOKUP($C222,청소코드!$C$4:$J$188,3,FALSE)</f>
        <v>#N/A</v>
      </c>
      <c r="E222" s="29" t="e">
        <f>VLOOKUP($C222,청소코드!$C$4:$J$188,4,FALSE)</f>
        <v>#N/A</v>
      </c>
      <c r="F222" s="29"/>
      <c r="G222" s="29"/>
      <c r="H222" s="29"/>
      <c r="I222" s="29"/>
      <c r="J222" s="47" t="e">
        <f t="shared" ref="J222" si="315">SUM(K222:O222)</f>
        <v>#N/A</v>
      </c>
      <c r="K222" s="29" t="e">
        <f>VLOOKUP($C222,청소코드!$C$4:$J$188,8,FALSE)</f>
        <v>#N/A</v>
      </c>
      <c r="L222" s="32"/>
      <c r="M222" s="31"/>
      <c r="N222" s="32"/>
      <c r="O222" s="32"/>
    </row>
    <row r="223" spans="1:15" ht="12.75" customHeight="1">
      <c r="A223" s="30"/>
      <c r="B223" s="29" t="str">
        <f t="shared" ref="B223" si="316">TEXT(A223,"aaa")</f>
        <v>토</v>
      </c>
      <c r="C223" s="29"/>
      <c r="D223" s="29" t="e">
        <f>VLOOKUP($C223,청소코드!$C$4:$J$188,3,FALSE)</f>
        <v>#N/A</v>
      </c>
      <c r="E223" s="29" t="e">
        <f>VLOOKUP($C223,청소코드!$C$4:$J$188,4,FALSE)</f>
        <v>#N/A</v>
      </c>
      <c r="F223" s="29"/>
      <c r="G223" s="29"/>
      <c r="H223" s="29"/>
      <c r="I223" s="29"/>
      <c r="J223" s="47" t="e">
        <f t="shared" ref="J223" si="317">SUM(K223:O223)</f>
        <v>#N/A</v>
      </c>
      <c r="K223" s="29" t="e">
        <f>VLOOKUP($C223,청소코드!$C$4:$J$188,8,FALSE)</f>
        <v>#N/A</v>
      </c>
      <c r="L223" s="32"/>
      <c r="M223" s="31"/>
      <c r="N223" s="32"/>
      <c r="O223" s="32"/>
    </row>
    <row r="224" spans="1:15" ht="12.75" customHeight="1">
      <c r="A224" s="30"/>
      <c r="B224" s="29" t="str">
        <f t="shared" ref="B224" si="318">TEXT(A224,"aaa")</f>
        <v>토</v>
      </c>
      <c r="C224" s="29"/>
      <c r="D224" s="29" t="e">
        <f>VLOOKUP($C224,청소코드!$C$4:$J$188,3,FALSE)</f>
        <v>#N/A</v>
      </c>
      <c r="E224" s="29" t="e">
        <f>VLOOKUP($C224,청소코드!$C$4:$J$188,4,FALSE)</f>
        <v>#N/A</v>
      </c>
      <c r="F224" s="29"/>
      <c r="G224" s="29"/>
      <c r="H224" s="29"/>
      <c r="I224" s="29"/>
      <c r="J224" s="47" t="e">
        <f t="shared" ref="J224" si="319">SUM(K224:O224)</f>
        <v>#N/A</v>
      </c>
      <c r="K224" s="29" t="e">
        <f>VLOOKUP($C224,청소코드!$C$4:$J$188,8,FALSE)</f>
        <v>#N/A</v>
      </c>
      <c r="L224" s="32"/>
      <c r="M224" s="31"/>
      <c r="N224" s="32"/>
      <c r="O224" s="32"/>
    </row>
    <row r="225" spans="1:15" ht="12.75" customHeight="1">
      <c r="A225" s="30"/>
      <c r="B225" s="29" t="str">
        <f t="shared" ref="B225" si="320">TEXT(A225,"aaa")</f>
        <v>토</v>
      </c>
      <c r="C225" s="29"/>
      <c r="D225" s="29" t="e">
        <f>VLOOKUP($C225,청소코드!$C$4:$J$188,3,FALSE)</f>
        <v>#N/A</v>
      </c>
      <c r="E225" s="29" t="e">
        <f>VLOOKUP($C225,청소코드!$C$4:$J$188,4,FALSE)</f>
        <v>#N/A</v>
      </c>
      <c r="F225" s="29"/>
      <c r="G225" s="29"/>
      <c r="H225" s="29"/>
      <c r="I225" s="29"/>
      <c r="J225" s="47" t="e">
        <f t="shared" ref="J225" si="321">SUM(K225:O225)</f>
        <v>#N/A</v>
      </c>
      <c r="K225" s="29" t="e">
        <f>VLOOKUP($C225,청소코드!$C$4:$J$188,8,FALSE)</f>
        <v>#N/A</v>
      </c>
      <c r="L225" s="32"/>
      <c r="M225" s="31"/>
      <c r="N225" s="32"/>
      <c r="O225" s="32"/>
    </row>
    <row r="226" spans="1:15" ht="12.75" customHeight="1">
      <c r="A226" s="30"/>
      <c r="B226" s="29" t="str">
        <f t="shared" ref="B226" si="322">TEXT(A226,"aaa")</f>
        <v>토</v>
      </c>
      <c r="C226" s="29"/>
      <c r="D226" s="29" t="e">
        <f>VLOOKUP($C226,청소코드!$C$4:$J$188,3,FALSE)</f>
        <v>#N/A</v>
      </c>
      <c r="E226" s="29" t="e">
        <f>VLOOKUP($C226,청소코드!$C$4:$J$188,4,FALSE)</f>
        <v>#N/A</v>
      </c>
      <c r="F226" s="29"/>
      <c r="G226" s="29"/>
      <c r="H226" s="29"/>
      <c r="I226" s="29"/>
      <c r="J226" s="47" t="e">
        <f t="shared" ref="J226" si="323">SUM(K226:O226)</f>
        <v>#N/A</v>
      </c>
      <c r="K226" s="29" t="e">
        <f>VLOOKUP($C226,청소코드!$C$4:$J$188,8,FALSE)</f>
        <v>#N/A</v>
      </c>
      <c r="L226" s="32"/>
      <c r="M226" s="31"/>
      <c r="N226" s="32"/>
      <c r="O226" s="32"/>
    </row>
    <row r="227" spans="1:15" ht="12.75" customHeight="1">
      <c r="A227" s="30"/>
      <c r="B227" s="29" t="str">
        <f t="shared" ref="B227" si="324">TEXT(A227,"aaa")</f>
        <v>토</v>
      </c>
      <c r="C227" s="29"/>
      <c r="D227" s="29" t="e">
        <f>VLOOKUP($C227,청소코드!$C$4:$J$188,3,FALSE)</f>
        <v>#N/A</v>
      </c>
      <c r="E227" s="29" t="e">
        <f>VLOOKUP($C227,청소코드!$C$4:$J$188,4,FALSE)</f>
        <v>#N/A</v>
      </c>
      <c r="F227" s="29"/>
      <c r="G227" s="29"/>
      <c r="H227" s="29"/>
      <c r="I227" s="29"/>
      <c r="J227" s="47" t="e">
        <f t="shared" ref="J227" si="325">SUM(K227:O227)</f>
        <v>#N/A</v>
      </c>
      <c r="K227" s="29" t="e">
        <f>VLOOKUP($C227,청소코드!$C$4:$J$188,8,FALSE)</f>
        <v>#N/A</v>
      </c>
      <c r="L227" s="32"/>
      <c r="M227" s="31"/>
      <c r="N227" s="32"/>
      <c r="O227" s="32"/>
    </row>
    <row r="228" spans="1:15" ht="12.75" customHeight="1">
      <c r="A228" s="30"/>
      <c r="B228" s="29" t="str">
        <f t="shared" ref="B228" si="326">TEXT(A228,"aaa")</f>
        <v>토</v>
      </c>
      <c r="C228" s="29"/>
      <c r="D228" s="29" t="e">
        <f>VLOOKUP($C228,청소코드!$C$4:$J$188,3,FALSE)</f>
        <v>#N/A</v>
      </c>
      <c r="E228" s="29" t="e">
        <f>VLOOKUP($C228,청소코드!$C$4:$J$188,4,FALSE)</f>
        <v>#N/A</v>
      </c>
      <c r="F228" s="29"/>
      <c r="G228" s="29"/>
      <c r="H228" s="29"/>
      <c r="I228" s="29"/>
      <c r="J228" s="47" t="e">
        <f t="shared" ref="J228" si="327">SUM(K228:O228)</f>
        <v>#N/A</v>
      </c>
      <c r="K228" s="29" t="e">
        <f>VLOOKUP($C228,청소코드!$C$4:$J$188,8,FALSE)</f>
        <v>#N/A</v>
      </c>
      <c r="L228" s="32"/>
      <c r="M228" s="31"/>
      <c r="N228" s="32"/>
      <c r="O228" s="32"/>
    </row>
    <row r="229" spans="1:15" ht="12.75" customHeight="1">
      <c r="A229" s="30"/>
      <c r="B229" s="29" t="str">
        <f t="shared" ref="B229" si="328">TEXT(A229,"aaa")</f>
        <v>토</v>
      </c>
      <c r="C229" s="29"/>
      <c r="D229" s="29" t="e">
        <f>VLOOKUP($C229,청소코드!$C$4:$J$188,3,FALSE)</f>
        <v>#N/A</v>
      </c>
      <c r="E229" s="29" t="e">
        <f>VLOOKUP($C229,청소코드!$C$4:$J$188,4,FALSE)</f>
        <v>#N/A</v>
      </c>
      <c r="F229" s="29"/>
      <c r="G229" s="29"/>
      <c r="H229" s="29"/>
      <c r="I229" s="29"/>
      <c r="J229" s="47" t="e">
        <f t="shared" ref="J229" si="329">SUM(K229:O229)</f>
        <v>#N/A</v>
      </c>
      <c r="K229" s="29" t="e">
        <f>VLOOKUP($C229,청소코드!$C$4:$J$188,8,FALSE)</f>
        <v>#N/A</v>
      </c>
      <c r="L229" s="32"/>
      <c r="M229" s="31"/>
      <c r="N229" s="32"/>
      <c r="O229" s="32"/>
    </row>
    <row r="230" spans="1:15" ht="12.75" customHeight="1">
      <c r="A230" s="30"/>
      <c r="B230" s="29" t="str">
        <f t="shared" ref="B230" si="330">TEXT(A230,"aaa")</f>
        <v>토</v>
      </c>
      <c r="C230" s="29"/>
      <c r="D230" s="29" t="e">
        <f>VLOOKUP($C230,청소코드!$C$4:$J$188,3,FALSE)</f>
        <v>#N/A</v>
      </c>
      <c r="E230" s="29" t="e">
        <f>VLOOKUP($C230,청소코드!$C$4:$J$188,4,FALSE)</f>
        <v>#N/A</v>
      </c>
      <c r="F230" s="29"/>
      <c r="G230" s="29"/>
      <c r="H230" s="29"/>
      <c r="I230" s="29"/>
      <c r="J230" s="47" t="e">
        <f t="shared" ref="J230" si="331">SUM(K230:O230)</f>
        <v>#N/A</v>
      </c>
      <c r="K230" s="29" t="e">
        <f>VLOOKUP($C230,청소코드!$C$4:$J$188,8,FALSE)</f>
        <v>#N/A</v>
      </c>
      <c r="L230" s="32"/>
      <c r="M230" s="31"/>
      <c r="N230" s="32"/>
      <c r="O230" s="32"/>
    </row>
    <row r="231" spans="1:15" ht="12.75" customHeight="1">
      <c r="A231" s="30"/>
      <c r="B231" s="29" t="str">
        <f t="shared" ref="B231" si="332">TEXT(A231,"aaa")</f>
        <v>토</v>
      </c>
      <c r="C231" s="29"/>
      <c r="D231" s="29" t="e">
        <f>VLOOKUP($C231,청소코드!$C$4:$J$188,3,FALSE)</f>
        <v>#N/A</v>
      </c>
      <c r="E231" s="29" t="e">
        <f>VLOOKUP($C231,청소코드!$C$4:$J$188,4,FALSE)</f>
        <v>#N/A</v>
      </c>
      <c r="F231" s="29"/>
      <c r="G231" s="29"/>
      <c r="H231" s="29"/>
      <c r="I231" s="29"/>
      <c r="J231" s="47" t="e">
        <f t="shared" ref="J231" si="333">SUM(K231:O231)</f>
        <v>#N/A</v>
      </c>
      <c r="K231" s="29" t="e">
        <f>VLOOKUP($C231,청소코드!$C$4:$J$188,8,FALSE)</f>
        <v>#N/A</v>
      </c>
      <c r="L231" s="32"/>
      <c r="M231" s="31"/>
      <c r="N231" s="32"/>
      <c r="O231" s="32"/>
    </row>
    <row r="232" spans="1:15" ht="12.75" customHeight="1">
      <c r="A232" s="30"/>
      <c r="B232" s="29" t="str">
        <f t="shared" ref="B232" si="334">TEXT(A232,"aaa")</f>
        <v>토</v>
      </c>
      <c r="C232" s="29"/>
      <c r="D232" s="29" t="e">
        <f>VLOOKUP($C232,청소코드!$C$4:$J$188,3,FALSE)</f>
        <v>#N/A</v>
      </c>
      <c r="E232" s="29" t="e">
        <f>VLOOKUP($C232,청소코드!$C$4:$J$188,4,FALSE)</f>
        <v>#N/A</v>
      </c>
      <c r="F232" s="29"/>
      <c r="G232" s="29"/>
      <c r="H232" s="29"/>
      <c r="I232" s="29"/>
      <c r="J232" s="47" t="e">
        <f t="shared" ref="J232" si="335">SUM(K232:O232)</f>
        <v>#N/A</v>
      </c>
      <c r="K232" s="29" t="e">
        <f>VLOOKUP($C232,청소코드!$C$4:$J$188,8,FALSE)</f>
        <v>#N/A</v>
      </c>
      <c r="L232" s="32"/>
      <c r="M232" s="31"/>
      <c r="N232" s="32"/>
      <c r="O232" s="32"/>
    </row>
    <row r="233" spans="1:15" ht="12.75" customHeight="1">
      <c r="A233" s="30"/>
      <c r="B233" s="29" t="str">
        <f t="shared" ref="B233" si="336">TEXT(A233,"aaa")</f>
        <v>토</v>
      </c>
      <c r="C233" s="29"/>
      <c r="D233" s="29" t="e">
        <f>VLOOKUP($C233,청소코드!$C$4:$J$188,3,FALSE)</f>
        <v>#N/A</v>
      </c>
      <c r="E233" s="29" t="e">
        <f>VLOOKUP($C233,청소코드!$C$4:$J$188,4,FALSE)</f>
        <v>#N/A</v>
      </c>
      <c r="F233" s="29"/>
      <c r="G233" s="29"/>
      <c r="H233" s="29"/>
      <c r="I233" s="29"/>
      <c r="J233" s="47" t="e">
        <f t="shared" ref="J233" si="337">SUM(K233:O233)</f>
        <v>#N/A</v>
      </c>
      <c r="K233" s="29" t="e">
        <f>VLOOKUP($C233,청소코드!$C$4:$J$188,8,FALSE)</f>
        <v>#N/A</v>
      </c>
      <c r="L233" s="32"/>
      <c r="M233" s="31"/>
      <c r="N233" s="32"/>
      <c r="O233" s="32"/>
    </row>
    <row r="234" spans="1:15" ht="12.75" customHeight="1">
      <c r="A234" s="30"/>
      <c r="B234" s="29" t="str">
        <f t="shared" ref="B234" si="338">TEXT(A234,"aaa")</f>
        <v>토</v>
      </c>
      <c r="C234" s="29"/>
      <c r="D234" s="29" t="e">
        <f>VLOOKUP($C234,청소코드!$C$4:$J$188,3,FALSE)</f>
        <v>#N/A</v>
      </c>
      <c r="E234" s="29" t="e">
        <f>VLOOKUP($C234,청소코드!$C$4:$J$188,4,FALSE)</f>
        <v>#N/A</v>
      </c>
      <c r="F234" s="29"/>
      <c r="G234" s="29"/>
      <c r="H234" s="29"/>
      <c r="I234" s="29"/>
      <c r="J234" s="47" t="e">
        <f t="shared" ref="J234" si="339">SUM(K234:O234)</f>
        <v>#N/A</v>
      </c>
      <c r="K234" s="29" t="e">
        <f>VLOOKUP($C234,청소코드!$C$4:$J$188,8,FALSE)</f>
        <v>#N/A</v>
      </c>
      <c r="L234" s="32"/>
      <c r="M234" s="31"/>
      <c r="N234" s="32"/>
      <c r="O234" s="32"/>
    </row>
    <row r="235" spans="1:15" ht="12.75" customHeight="1">
      <c r="A235" s="30"/>
      <c r="B235" s="29" t="str">
        <f t="shared" ref="B235" si="340">TEXT(A235,"aaa")</f>
        <v>토</v>
      </c>
      <c r="C235" s="29"/>
      <c r="D235" s="29" t="e">
        <f>VLOOKUP($C235,청소코드!$C$4:$J$188,3,FALSE)</f>
        <v>#N/A</v>
      </c>
      <c r="E235" s="29" t="e">
        <f>VLOOKUP($C235,청소코드!$C$4:$J$188,4,FALSE)</f>
        <v>#N/A</v>
      </c>
      <c r="F235" s="29"/>
      <c r="G235" s="29"/>
      <c r="H235" s="29"/>
      <c r="I235" s="29"/>
      <c r="J235" s="47" t="e">
        <f t="shared" ref="J235" si="341">SUM(K235:O235)</f>
        <v>#N/A</v>
      </c>
      <c r="K235" s="29" t="e">
        <f>VLOOKUP($C235,청소코드!$C$4:$J$188,8,FALSE)</f>
        <v>#N/A</v>
      </c>
      <c r="L235" s="32"/>
      <c r="M235" s="31"/>
      <c r="N235" s="32"/>
      <c r="O235" s="32"/>
    </row>
    <row r="236" spans="1:15" ht="12.75" customHeight="1">
      <c r="A236" s="30"/>
      <c r="B236" s="29" t="str">
        <f t="shared" ref="B236" si="342">TEXT(A236,"aaa")</f>
        <v>토</v>
      </c>
      <c r="C236" s="29"/>
      <c r="D236" s="29" t="e">
        <f>VLOOKUP($C236,청소코드!$C$4:$J$188,3,FALSE)</f>
        <v>#N/A</v>
      </c>
      <c r="E236" s="29" t="e">
        <f>VLOOKUP($C236,청소코드!$C$4:$J$188,4,FALSE)</f>
        <v>#N/A</v>
      </c>
      <c r="F236" s="29"/>
      <c r="G236" s="29"/>
      <c r="H236" s="29"/>
      <c r="I236" s="29"/>
      <c r="J236" s="47" t="e">
        <f t="shared" ref="J236" si="343">SUM(K236:O236)</f>
        <v>#N/A</v>
      </c>
      <c r="K236" s="29" t="e">
        <f>VLOOKUP($C236,청소코드!$C$4:$J$188,8,FALSE)</f>
        <v>#N/A</v>
      </c>
      <c r="L236" s="32"/>
      <c r="M236" s="31"/>
      <c r="N236" s="32"/>
      <c r="O236" s="32"/>
    </row>
    <row r="237" spans="1:15" ht="12.75" customHeight="1">
      <c r="A237" s="30"/>
      <c r="B237" s="29" t="str">
        <f t="shared" ref="B237" si="344">TEXT(A237,"aaa")</f>
        <v>토</v>
      </c>
      <c r="C237" s="29"/>
      <c r="D237" s="29" t="e">
        <f>VLOOKUP($C237,청소코드!$C$4:$J$188,3,FALSE)</f>
        <v>#N/A</v>
      </c>
      <c r="E237" s="29" t="e">
        <f>VLOOKUP($C237,청소코드!$C$4:$J$188,4,FALSE)</f>
        <v>#N/A</v>
      </c>
      <c r="F237" s="29"/>
      <c r="G237" s="29"/>
      <c r="H237" s="29"/>
      <c r="I237" s="29"/>
      <c r="J237" s="47" t="e">
        <f t="shared" ref="J237" si="345">SUM(K237:O237)</f>
        <v>#N/A</v>
      </c>
      <c r="K237" s="29" t="e">
        <f>VLOOKUP($C237,청소코드!$C$4:$J$188,8,FALSE)</f>
        <v>#N/A</v>
      </c>
      <c r="L237" s="32"/>
      <c r="M237" s="31"/>
      <c r="N237" s="32"/>
      <c r="O237" s="32"/>
    </row>
    <row r="238" spans="1:15" ht="12.75" customHeight="1">
      <c r="A238" s="30"/>
      <c r="B238" s="29" t="str">
        <f t="shared" ref="B238" si="346">TEXT(A238,"aaa")</f>
        <v>토</v>
      </c>
      <c r="C238" s="29"/>
      <c r="D238" s="29" t="e">
        <f>VLOOKUP($C238,청소코드!$C$4:$J$188,3,FALSE)</f>
        <v>#N/A</v>
      </c>
      <c r="E238" s="29" t="e">
        <f>VLOOKUP($C238,청소코드!$C$4:$J$188,4,FALSE)</f>
        <v>#N/A</v>
      </c>
      <c r="F238" s="29"/>
      <c r="G238" s="29"/>
      <c r="H238" s="29"/>
      <c r="I238" s="29"/>
      <c r="J238" s="47" t="e">
        <f t="shared" ref="J238" si="347">SUM(K238:O238)</f>
        <v>#N/A</v>
      </c>
      <c r="K238" s="29" t="e">
        <f>VLOOKUP($C238,청소코드!$C$4:$J$188,8,FALSE)</f>
        <v>#N/A</v>
      </c>
      <c r="L238" s="32"/>
      <c r="M238" s="31"/>
      <c r="N238" s="32"/>
      <c r="O238" s="32"/>
    </row>
    <row r="239" spans="1:15" ht="12.75" customHeight="1">
      <c r="A239" s="30"/>
      <c r="B239" s="29" t="str">
        <f t="shared" ref="B239" si="348">TEXT(A239,"aaa")</f>
        <v>토</v>
      </c>
      <c r="C239" s="29"/>
      <c r="D239" s="29" t="e">
        <f>VLOOKUP($C239,청소코드!$C$4:$J$188,3,FALSE)</f>
        <v>#N/A</v>
      </c>
      <c r="E239" s="29" t="e">
        <f>VLOOKUP($C239,청소코드!$C$4:$J$188,4,FALSE)</f>
        <v>#N/A</v>
      </c>
      <c r="F239" s="29"/>
      <c r="G239" s="29"/>
      <c r="H239" s="29"/>
      <c r="I239" s="29"/>
      <c r="J239" s="47" t="e">
        <f t="shared" ref="J239" si="349">SUM(K239:O239)</f>
        <v>#N/A</v>
      </c>
      <c r="K239" s="29" t="e">
        <f>VLOOKUP($C239,청소코드!$C$4:$J$188,8,FALSE)</f>
        <v>#N/A</v>
      </c>
      <c r="L239" s="32"/>
      <c r="M239" s="31"/>
      <c r="N239" s="32"/>
      <c r="O239" s="32"/>
    </row>
    <row r="240" spans="1:15" ht="12.75" customHeight="1">
      <c r="A240" s="30"/>
      <c r="B240" s="29" t="str">
        <f t="shared" ref="B240" si="350">TEXT(A240,"aaa")</f>
        <v>토</v>
      </c>
      <c r="C240" s="29"/>
      <c r="D240" s="29" t="e">
        <f>VLOOKUP($C240,청소코드!$C$4:$J$188,3,FALSE)</f>
        <v>#N/A</v>
      </c>
      <c r="E240" s="29" t="e">
        <f>VLOOKUP($C240,청소코드!$C$4:$J$188,4,FALSE)</f>
        <v>#N/A</v>
      </c>
      <c r="F240" s="29"/>
      <c r="G240" s="29"/>
      <c r="H240" s="29"/>
      <c r="I240" s="29"/>
      <c r="J240" s="47" t="e">
        <f t="shared" ref="J240" si="351">SUM(K240:O240)</f>
        <v>#N/A</v>
      </c>
      <c r="K240" s="29" t="e">
        <f>VLOOKUP($C240,청소코드!$C$4:$J$188,8,FALSE)</f>
        <v>#N/A</v>
      </c>
      <c r="L240" s="32"/>
      <c r="M240" s="31"/>
      <c r="N240" s="32"/>
      <c r="O240" s="32"/>
    </row>
    <row r="241" spans="1:15" ht="12.75" customHeight="1">
      <c r="A241" s="30"/>
      <c r="B241" s="29" t="str">
        <f t="shared" ref="B241" si="352">TEXT(A241,"aaa")</f>
        <v>토</v>
      </c>
      <c r="C241" s="29"/>
      <c r="D241" s="29" t="e">
        <f>VLOOKUP($C241,청소코드!$C$4:$J$188,3,FALSE)</f>
        <v>#N/A</v>
      </c>
      <c r="E241" s="29" t="e">
        <f>VLOOKUP($C241,청소코드!$C$4:$J$188,4,FALSE)</f>
        <v>#N/A</v>
      </c>
      <c r="F241" s="29"/>
      <c r="G241" s="29"/>
      <c r="H241" s="29"/>
      <c r="I241" s="29"/>
      <c r="J241" s="47" t="e">
        <f t="shared" ref="J241" si="353">SUM(K241:O241)</f>
        <v>#N/A</v>
      </c>
      <c r="K241" s="29" t="e">
        <f>VLOOKUP($C241,청소코드!$C$4:$J$188,8,FALSE)</f>
        <v>#N/A</v>
      </c>
      <c r="L241" s="32"/>
      <c r="M241" s="31"/>
      <c r="N241" s="32"/>
      <c r="O241" s="32"/>
    </row>
    <row r="242" spans="1:15" ht="12.75" customHeight="1">
      <c r="A242" s="30"/>
      <c r="B242" s="29" t="str">
        <f t="shared" ref="B242" si="354">TEXT(A242,"aaa")</f>
        <v>토</v>
      </c>
      <c r="C242" s="29"/>
      <c r="D242" s="29" t="e">
        <f>VLOOKUP($C242,청소코드!$C$4:$J$188,3,FALSE)</f>
        <v>#N/A</v>
      </c>
      <c r="E242" s="29" t="e">
        <f>VLOOKUP($C242,청소코드!$C$4:$J$188,4,FALSE)</f>
        <v>#N/A</v>
      </c>
      <c r="F242" s="29"/>
      <c r="G242" s="29"/>
      <c r="H242" s="29"/>
      <c r="I242" s="29"/>
      <c r="J242" s="47" t="e">
        <f t="shared" ref="J242" si="355">SUM(K242:O242)</f>
        <v>#N/A</v>
      </c>
      <c r="K242" s="29" t="e">
        <f>VLOOKUP($C242,청소코드!$C$4:$J$188,8,FALSE)</f>
        <v>#N/A</v>
      </c>
      <c r="L242" s="32"/>
      <c r="M242" s="31"/>
      <c r="N242" s="32"/>
      <c r="O242" s="32"/>
    </row>
    <row r="243" spans="1:15" ht="12.75" customHeight="1">
      <c r="A243" s="30"/>
      <c r="B243" s="29" t="str">
        <f t="shared" ref="B243" si="356">TEXT(A243,"aaa")</f>
        <v>토</v>
      </c>
      <c r="C243" s="29"/>
      <c r="D243" s="29" t="e">
        <f>VLOOKUP($C243,청소코드!$C$4:$J$188,3,FALSE)</f>
        <v>#N/A</v>
      </c>
      <c r="E243" s="29" t="e">
        <f>VLOOKUP($C243,청소코드!$C$4:$J$188,4,FALSE)</f>
        <v>#N/A</v>
      </c>
      <c r="F243" s="29"/>
      <c r="G243" s="29"/>
      <c r="H243" s="29"/>
      <c r="I243" s="29"/>
      <c r="J243" s="47" t="e">
        <f t="shared" ref="J243" si="357">SUM(K243:O243)</f>
        <v>#N/A</v>
      </c>
      <c r="K243" s="29" t="e">
        <f>VLOOKUP($C243,청소코드!$C$4:$J$188,8,FALSE)</f>
        <v>#N/A</v>
      </c>
      <c r="L243" s="32"/>
      <c r="M243" s="31"/>
      <c r="N243" s="32"/>
      <c r="O243" s="32"/>
    </row>
    <row r="244" spans="1:15" ht="12.75" customHeight="1">
      <c r="A244" s="30"/>
      <c r="B244" s="29" t="str">
        <f t="shared" ref="B244" si="358">TEXT(A244,"aaa")</f>
        <v>토</v>
      </c>
      <c r="C244" s="29"/>
      <c r="D244" s="29" t="e">
        <f>VLOOKUP($C244,청소코드!$C$4:$J$188,3,FALSE)</f>
        <v>#N/A</v>
      </c>
      <c r="E244" s="29" t="e">
        <f>VLOOKUP($C244,청소코드!$C$4:$J$188,4,FALSE)</f>
        <v>#N/A</v>
      </c>
      <c r="F244" s="29"/>
      <c r="G244" s="29"/>
      <c r="H244" s="29"/>
      <c r="I244" s="29"/>
      <c r="J244" s="47" t="e">
        <f t="shared" ref="J244" si="359">SUM(K244:O244)</f>
        <v>#N/A</v>
      </c>
      <c r="K244" s="29" t="e">
        <f>VLOOKUP($C244,청소코드!$C$4:$J$188,8,FALSE)</f>
        <v>#N/A</v>
      </c>
      <c r="L244" s="32"/>
      <c r="M244" s="31"/>
      <c r="N244" s="32"/>
      <c r="O244" s="32"/>
    </row>
    <row r="245" spans="1:15" ht="12.75" customHeight="1">
      <c r="A245" s="30"/>
      <c r="B245" s="29" t="str">
        <f t="shared" ref="B245" si="360">TEXT(A245,"aaa")</f>
        <v>토</v>
      </c>
      <c r="C245" s="29"/>
      <c r="D245" s="29" t="e">
        <f>VLOOKUP($C245,청소코드!$C$4:$J$188,3,FALSE)</f>
        <v>#N/A</v>
      </c>
      <c r="E245" s="29" t="e">
        <f>VLOOKUP($C245,청소코드!$C$4:$J$188,4,FALSE)</f>
        <v>#N/A</v>
      </c>
      <c r="F245" s="29"/>
      <c r="G245" s="29"/>
      <c r="H245" s="29"/>
      <c r="I245" s="29"/>
      <c r="J245" s="47" t="e">
        <f t="shared" ref="J245" si="361">SUM(K245:O245)</f>
        <v>#N/A</v>
      </c>
      <c r="K245" s="29" t="e">
        <f>VLOOKUP($C245,청소코드!$C$4:$J$188,8,FALSE)</f>
        <v>#N/A</v>
      </c>
      <c r="L245" s="32"/>
      <c r="M245" s="31"/>
      <c r="N245" s="32"/>
      <c r="O245" s="32"/>
    </row>
    <row r="246" spans="1:15" ht="12.75" customHeight="1">
      <c r="A246" s="30"/>
      <c r="B246" s="29" t="str">
        <f t="shared" ref="B246" si="362">TEXT(A246,"aaa")</f>
        <v>토</v>
      </c>
      <c r="C246" s="29"/>
      <c r="D246" s="29" t="e">
        <f>VLOOKUP($C246,청소코드!$C$4:$J$188,3,FALSE)</f>
        <v>#N/A</v>
      </c>
      <c r="E246" s="29" t="e">
        <f>VLOOKUP($C246,청소코드!$C$4:$J$188,4,FALSE)</f>
        <v>#N/A</v>
      </c>
      <c r="F246" s="29"/>
      <c r="G246" s="29"/>
      <c r="H246" s="29"/>
      <c r="I246" s="29"/>
      <c r="J246" s="47" t="e">
        <f t="shared" ref="J246" si="363">SUM(K246:O246)</f>
        <v>#N/A</v>
      </c>
      <c r="K246" s="29" t="e">
        <f>VLOOKUP($C246,청소코드!$C$4:$J$188,8,FALSE)</f>
        <v>#N/A</v>
      </c>
      <c r="L246" s="32"/>
      <c r="M246" s="31"/>
      <c r="N246" s="32"/>
      <c r="O246" s="32"/>
    </row>
    <row r="247" spans="1:15" ht="12.75" customHeight="1">
      <c r="A247" s="30"/>
      <c r="B247" s="29" t="str">
        <f t="shared" ref="B247" si="364">TEXT(A247,"aaa")</f>
        <v>토</v>
      </c>
      <c r="C247" s="29"/>
      <c r="D247" s="29" t="e">
        <f>VLOOKUP($C247,청소코드!$C$4:$J$188,3,FALSE)</f>
        <v>#N/A</v>
      </c>
      <c r="E247" s="29" t="e">
        <f>VLOOKUP($C247,청소코드!$C$4:$J$188,4,FALSE)</f>
        <v>#N/A</v>
      </c>
      <c r="F247" s="29"/>
      <c r="G247" s="29"/>
      <c r="H247" s="29"/>
      <c r="I247" s="29"/>
      <c r="J247" s="47" t="e">
        <f t="shared" ref="J247" si="365">SUM(K247:O247)</f>
        <v>#N/A</v>
      </c>
      <c r="K247" s="29" t="e">
        <f>VLOOKUP($C247,청소코드!$C$4:$J$188,8,FALSE)</f>
        <v>#N/A</v>
      </c>
      <c r="L247" s="32"/>
      <c r="M247" s="31"/>
      <c r="N247" s="32"/>
      <c r="O247" s="32"/>
    </row>
    <row r="248" spans="1:15" ht="12.75" customHeight="1">
      <c r="A248" s="30"/>
      <c r="B248" s="29" t="str">
        <f t="shared" ref="B248" si="366">TEXT(A248,"aaa")</f>
        <v>토</v>
      </c>
      <c r="C248" s="29"/>
      <c r="D248" s="29" t="e">
        <f>VLOOKUP($C248,청소코드!$C$4:$J$188,3,FALSE)</f>
        <v>#N/A</v>
      </c>
      <c r="E248" s="29" t="e">
        <f>VLOOKUP($C248,청소코드!$C$4:$J$188,4,FALSE)</f>
        <v>#N/A</v>
      </c>
      <c r="F248" s="29"/>
      <c r="G248" s="29"/>
      <c r="H248" s="29"/>
      <c r="I248" s="29"/>
      <c r="J248" s="47" t="e">
        <f t="shared" ref="J248" si="367">SUM(K248:O248)</f>
        <v>#N/A</v>
      </c>
      <c r="K248" s="29" t="e">
        <f>VLOOKUP($C248,청소코드!$C$4:$J$188,8,FALSE)</f>
        <v>#N/A</v>
      </c>
      <c r="L248" s="32"/>
      <c r="M248" s="31"/>
      <c r="N248" s="32"/>
      <c r="O248" s="32"/>
    </row>
    <row r="249" spans="1:15" ht="12.75" customHeight="1">
      <c r="A249" s="30"/>
      <c r="B249" s="29" t="str">
        <f t="shared" ref="B249" si="368">TEXT(A249,"aaa")</f>
        <v>토</v>
      </c>
      <c r="C249" s="29"/>
      <c r="D249" s="29" t="e">
        <f>VLOOKUP($C249,청소코드!$C$4:$J$188,3,FALSE)</f>
        <v>#N/A</v>
      </c>
      <c r="E249" s="29" t="e">
        <f>VLOOKUP($C249,청소코드!$C$4:$J$188,4,FALSE)</f>
        <v>#N/A</v>
      </c>
      <c r="F249" s="29"/>
      <c r="G249" s="29"/>
      <c r="H249" s="29"/>
      <c r="I249" s="29"/>
      <c r="J249" s="47" t="e">
        <f t="shared" ref="J249" si="369">SUM(K249:O249)</f>
        <v>#N/A</v>
      </c>
      <c r="K249" s="29" t="e">
        <f>VLOOKUP($C249,청소코드!$C$4:$J$188,8,FALSE)</f>
        <v>#N/A</v>
      </c>
      <c r="L249" s="32"/>
      <c r="M249" s="31"/>
      <c r="N249" s="32"/>
      <c r="O249" s="32"/>
    </row>
    <row r="250" spans="1:15" ht="12.75" customHeight="1">
      <c r="A250" s="30"/>
      <c r="B250" s="29" t="str">
        <f t="shared" ref="B250" si="370">TEXT(A250,"aaa")</f>
        <v>토</v>
      </c>
      <c r="C250" s="29"/>
      <c r="D250" s="29" t="e">
        <f>VLOOKUP($C250,청소코드!$C$4:$J$188,3,FALSE)</f>
        <v>#N/A</v>
      </c>
      <c r="E250" s="29" t="e">
        <f>VLOOKUP($C250,청소코드!$C$4:$J$188,4,FALSE)</f>
        <v>#N/A</v>
      </c>
      <c r="F250" s="29"/>
      <c r="G250" s="29"/>
      <c r="H250" s="29"/>
      <c r="I250" s="29"/>
      <c r="J250" s="47" t="e">
        <f t="shared" ref="J250" si="371">SUM(K250:O250)</f>
        <v>#N/A</v>
      </c>
      <c r="K250" s="29" t="e">
        <f>VLOOKUP($C250,청소코드!$C$4:$J$188,8,FALSE)</f>
        <v>#N/A</v>
      </c>
      <c r="L250" s="32"/>
      <c r="M250" s="31"/>
      <c r="N250" s="32"/>
      <c r="O250" s="32"/>
    </row>
    <row r="251" spans="1:15" ht="12.75" customHeight="1">
      <c r="A251" s="30"/>
      <c r="B251" s="29" t="str">
        <f t="shared" ref="B251" si="372">TEXT(A251,"aaa")</f>
        <v>토</v>
      </c>
      <c r="C251" s="29"/>
      <c r="D251" s="29" t="e">
        <f>VLOOKUP($C251,청소코드!$C$4:$J$188,3,FALSE)</f>
        <v>#N/A</v>
      </c>
      <c r="E251" s="29" t="e">
        <f>VLOOKUP($C251,청소코드!$C$4:$J$188,4,FALSE)</f>
        <v>#N/A</v>
      </c>
      <c r="F251" s="29"/>
      <c r="G251" s="29"/>
      <c r="H251" s="29"/>
      <c r="I251" s="29"/>
      <c r="J251" s="47" t="e">
        <f t="shared" ref="J251" si="373">SUM(K251:O251)</f>
        <v>#N/A</v>
      </c>
      <c r="K251" s="29" t="e">
        <f>VLOOKUP($C251,청소코드!$C$4:$J$188,8,FALSE)</f>
        <v>#N/A</v>
      </c>
      <c r="L251" s="32"/>
      <c r="M251" s="31"/>
      <c r="N251" s="32"/>
      <c r="O251" s="32"/>
    </row>
    <row r="252" spans="1:15" ht="12.75" customHeight="1">
      <c r="A252" s="30"/>
      <c r="B252" s="29" t="str">
        <f t="shared" ref="B252" si="374">TEXT(A252,"aaa")</f>
        <v>토</v>
      </c>
      <c r="C252" s="29"/>
      <c r="D252" s="29" t="e">
        <f>VLOOKUP($C252,청소코드!$C$4:$J$188,3,FALSE)</f>
        <v>#N/A</v>
      </c>
      <c r="E252" s="29" t="e">
        <f>VLOOKUP($C252,청소코드!$C$4:$J$188,4,FALSE)</f>
        <v>#N/A</v>
      </c>
      <c r="F252" s="29"/>
      <c r="G252" s="29"/>
      <c r="H252" s="29"/>
      <c r="I252" s="29"/>
      <c r="J252" s="47" t="e">
        <f t="shared" ref="J252" si="375">SUM(K252:O252)</f>
        <v>#N/A</v>
      </c>
      <c r="K252" s="29" t="e">
        <f>VLOOKUP($C252,청소코드!$C$4:$J$188,8,FALSE)</f>
        <v>#N/A</v>
      </c>
      <c r="L252" s="32"/>
      <c r="M252" s="31"/>
      <c r="N252" s="32"/>
      <c r="O252" s="32"/>
    </row>
    <row r="253" spans="1:15" ht="12.75" customHeight="1">
      <c r="A253" s="30"/>
      <c r="B253" s="29" t="str">
        <f t="shared" ref="B253" si="376">TEXT(A253,"aaa")</f>
        <v>토</v>
      </c>
      <c r="C253" s="29"/>
      <c r="D253" s="29" t="e">
        <f>VLOOKUP($C253,청소코드!$C$4:$J$188,3,FALSE)</f>
        <v>#N/A</v>
      </c>
      <c r="E253" s="29" t="e">
        <f>VLOOKUP($C253,청소코드!$C$4:$J$188,4,FALSE)</f>
        <v>#N/A</v>
      </c>
      <c r="F253" s="29"/>
      <c r="G253" s="29"/>
      <c r="H253" s="29"/>
      <c r="I253" s="29"/>
      <c r="J253" s="47" t="e">
        <f t="shared" ref="J253" si="377">SUM(K253:O253)</f>
        <v>#N/A</v>
      </c>
      <c r="K253" s="29" t="e">
        <f>VLOOKUP($C253,청소코드!$C$4:$J$188,8,FALSE)</f>
        <v>#N/A</v>
      </c>
      <c r="L253" s="32"/>
      <c r="M253" s="31"/>
      <c r="N253" s="32"/>
      <c r="O253" s="32"/>
    </row>
    <row r="254" spans="1:15" ht="12.75" customHeight="1">
      <c r="A254" s="30"/>
      <c r="B254" s="29" t="str">
        <f t="shared" ref="B254" si="378">TEXT(A254,"aaa")</f>
        <v>토</v>
      </c>
      <c r="C254" s="29"/>
      <c r="D254" s="29" t="e">
        <f>VLOOKUP($C254,청소코드!$C$4:$J$188,3,FALSE)</f>
        <v>#N/A</v>
      </c>
      <c r="E254" s="29" t="e">
        <f>VLOOKUP($C254,청소코드!$C$4:$J$188,4,FALSE)</f>
        <v>#N/A</v>
      </c>
      <c r="F254" s="29"/>
      <c r="G254" s="29"/>
      <c r="H254" s="29"/>
      <c r="I254" s="29"/>
      <c r="J254" s="47" t="e">
        <f t="shared" ref="J254" si="379">SUM(K254:O254)</f>
        <v>#N/A</v>
      </c>
      <c r="K254" s="29" t="e">
        <f>VLOOKUP($C254,청소코드!$C$4:$J$188,8,FALSE)</f>
        <v>#N/A</v>
      </c>
      <c r="L254" s="32"/>
      <c r="M254" s="31"/>
      <c r="N254" s="32"/>
      <c r="O254" s="32"/>
    </row>
    <row r="255" spans="1:15" ht="12.75" customHeight="1">
      <c r="A255" s="30"/>
      <c r="B255" s="29" t="str">
        <f t="shared" ref="B255" si="380">TEXT(A255,"aaa")</f>
        <v>토</v>
      </c>
      <c r="C255" s="29"/>
      <c r="D255" s="29" t="e">
        <f>VLOOKUP($C255,청소코드!$C$4:$J$188,3,FALSE)</f>
        <v>#N/A</v>
      </c>
      <c r="E255" s="29" t="e">
        <f>VLOOKUP($C255,청소코드!$C$4:$J$188,4,FALSE)</f>
        <v>#N/A</v>
      </c>
      <c r="F255" s="29"/>
      <c r="G255" s="29"/>
      <c r="H255" s="29"/>
      <c r="I255" s="29"/>
      <c r="J255" s="47" t="e">
        <f t="shared" ref="J255" si="381">SUM(K255:O255)</f>
        <v>#N/A</v>
      </c>
      <c r="K255" s="29" t="e">
        <f>VLOOKUP($C255,청소코드!$C$4:$J$188,8,FALSE)</f>
        <v>#N/A</v>
      </c>
      <c r="L255" s="32"/>
      <c r="M255" s="31"/>
      <c r="N255" s="32"/>
      <c r="O255" s="32"/>
    </row>
    <row r="256" spans="1:15" ht="12.75" customHeight="1">
      <c r="A256" s="30"/>
      <c r="B256" s="29" t="str">
        <f t="shared" ref="B256" si="382">TEXT(A256,"aaa")</f>
        <v>토</v>
      </c>
      <c r="C256" s="29"/>
      <c r="D256" s="29" t="e">
        <f>VLOOKUP($C256,청소코드!$C$4:$J$188,3,FALSE)</f>
        <v>#N/A</v>
      </c>
      <c r="E256" s="29" t="e">
        <f>VLOOKUP($C256,청소코드!$C$4:$J$188,4,FALSE)</f>
        <v>#N/A</v>
      </c>
      <c r="F256" s="29"/>
      <c r="G256" s="29"/>
      <c r="H256" s="29"/>
      <c r="I256" s="29"/>
      <c r="J256" s="47" t="e">
        <f t="shared" ref="J256" si="383">SUM(K256:O256)</f>
        <v>#N/A</v>
      </c>
      <c r="K256" s="29" t="e">
        <f>VLOOKUP($C256,청소코드!$C$4:$J$188,8,FALSE)</f>
        <v>#N/A</v>
      </c>
      <c r="L256" s="32"/>
      <c r="M256" s="31"/>
      <c r="N256" s="32"/>
      <c r="O256" s="32"/>
    </row>
    <row r="257" spans="1:15" ht="12.75" customHeight="1">
      <c r="A257" s="30"/>
      <c r="B257" s="29" t="str">
        <f t="shared" ref="B257" si="384">TEXT(A257,"aaa")</f>
        <v>토</v>
      </c>
      <c r="C257" s="29"/>
      <c r="D257" s="29" t="e">
        <f>VLOOKUP($C257,청소코드!$C$4:$J$188,3,FALSE)</f>
        <v>#N/A</v>
      </c>
      <c r="E257" s="29" t="e">
        <f>VLOOKUP($C257,청소코드!$C$4:$J$188,4,FALSE)</f>
        <v>#N/A</v>
      </c>
      <c r="F257" s="29"/>
      <c r="G257" s="29"/>
      <c r="H257" s="29"/>
      <c r="I257" s="29"/>
      <c r="J257" s="47" t="e">
        <f t="shared" ref="J257" si="385">SUM(K257:O257)</f>
        <v>#N/A</v>
      </c>
      <c r="K257" s="29" t="e">
        <f>VLOOKUP($C257,청소코드!$C$4:$J$188,8,FALSE)</f>
        <v>#N/A</v>
      </c>
      <c r="L257" s="32"/>
      <c r="M257" s="31"/>
      <c r="N257" s="32"/>
      <c r="O257" s="32"/>
    </row>
    <row r="258" spans="1:15" ht="12.75" customHeight="1">
      <c r="A258" s="30"/>
      <c r="B258" s="29" t="str">
        <f t="shared" ref="B258" si="386">TEXT(A258,"aaa")</f>
        <v>토</v>
      </c>
      <c r="C258" s="29"/>
      <c r="D258" s="29" t="e">
        <f>VLOOKUP($C258,청소코드!$C$4:$J$188,3,FALSE)</f>
        <v>#N/A</v>
      </c>
      <c r="E258" s="29" t="e">
        <f>VLOOKUP($C258,청소코드!$C$4:$J$188,4,FALSE)</f>
        <v>#N/A</v>
      </c>
      <c r="F258" s="29"/>
      <c r="G258" s="29"/>
      <c r="H258" s="29"/>
      <c r="I258" s="29"/>
      <c r="J258" s="47" t="e">
        <f t="shared" ref="J258" si="387">SUM(K258:O258)</f>
        <v>#N/A</v>
      </c>
      <c r="K258" s="29" t="e">
        <f>VLOOKUP($C258,청소코드!$C$4:$J$188,8,FALSE)</f>
        <v>#N/A</v>
      </c>
      <c r="L258" s="32"/>
      <c r="M258" s="31"/>
      <c r="N258" s="32"/>
      <c r="O258" s="32"/>
    </row>
    <row r="259" spans="1:15" ht="12.75" customHeight="1">
      <c r="A259" s="30"/>
      <c r="B259" s="29" t="str">
        <f t="shared" ref="B259" si="388">TEXT(A259,"aaa")</f>
        <v>토</v>
      </c>
      <c r="C259" s="29"/>
      <c r="D259" s="29" t="e">
        <f>VLOOKUP($C259,청소코드!$C$4:$J$188,3,FALSE)</f>
        <v>#N/A</v>
      </c>
      <c r="E259" s="29" t="e">
        <f>VLOOKUP($C259,청소코드!$C$4:$J$188,4,FALSE)</f>
        <v>#N/A</v>
      </c>
      <c r="F259" s="29"/>
      <c r="G259" s="29"/>
      <c r="H259" s="29"/>
      <c r="I259" s="29"/>
      <c r="J259" s="47" t="e">
        <f t="shared" ref="J259" si="389">SUM(K259:O259)</f>
        <v>#N/A</v>
      </c>
      <c r="K259" s="29" t="e">
        <f>VLOOKUP($C259,청소코드!$C$4:$J$188,8,FALSE)</f>
        <v>#N/A</v>
      </c>
      <c r="L259" s="32"/>
      <c r="M259" s="31"/>
      <c r="N259" s="32"/>
      <c r="O259" s="32"/>
    </row>
    <row r="260" spans="1:15" ht="12.75" customHeight="1">
      <c r="A260" s="30"/>
      <c r="B260" s="29" t="str">
        <f t="shared" ref="B260" si="390">TEXT(A260,"aaa")</f>
        <v>토</v>
      </c>
      <c r="C260" s="29"/>
      <c r="D260" s="29" t="e">
        <f>VLOOKUP($C260,청소코드!$C$4:$J$188,3,FALSE)</f>
        <v>#N/A</v>
      </c>
      <c r="E260" s="29" t="e">
        <f>VLOOKUP($C260,청소코드!$C$4:$J$188,4,FALSE)</f>
        <v>#N/A</v>
      </c>
      <c r="F260" s="29"/>
      <c r="G260" s="29"/>
      <c r="H260" s="29"/>
      <c r="I260" s="29"/>
      <c r="J260" s="47" t="e">
        <f t="shared" ref="J260" si="391">SUM(K260:O260)</f>
        <v>#N/A</v>
      </c>
      <c r="K260" s="29" t="e">
        <f>VLOOKUP($C260,청소코드!$C$4:$J$188,8,FALSE)</f>
        <v>#N/A</v>
      </c>
      <c r="L260" s="32"/>
      <c r="M260" s="31"/>
      <c r="N260" s="32"/>
      <c r="O260" s="32"/>
    </row>
    <row r="261" spans="1:15" ht="12.75" customHeight="1">
      <c r="A261" s="30"/>
      <c r="B261" s="29" t="str">
        <f t="shared" ref="B261" si="392">TEXT(A261,"aaa")</f>
        <v>토</v>
      </c>
      <c r="C261" s="29"/>
      <c r="D261" s="29" t="e">
        <f>VLOOKUP($C261,청소코드!$C$4:$J$188,3,FALSE)</f>
        <v>#N/A</v>
      </c>
      <c r="E261" s="29" t="e">
        <f>VLOOKUP($C261,청소코드!$C$4:$J$188,4,FALSE)</f>
        <v>#N/A</v>
      </c>
      <c r="F261" s="29"/>
      <c r="G261" s="29"/>
      <c r="H261" s="29"/>
      <c r="I261" s="29"/>
      <c r="J261" s="47" t="e">
        <f t="shared" ref="J261" si="393">SUM(K261:O261)</f>
        <v>#N/A</v>
      </c>
      <c r="K261" s="29" t="e">
        <f>VLOOKUP($C261,청소코드!$C$4:$J$188,8,FALSE)</f>
        <v>#N/A</v>
      </c>
      <c r="L261" s="32"/>
      <c r="M261" s="31"/>
      <c r="N261" s="32"/>
      <c r="O261" s="32"/>
    </row>
    <row r="262" spans="1:15" ht="12.75" customHeight="1">
      <c r="A262" s="30"/>
      <c r="B262" s="29" t="str">
        <f t="shared" ref="B262" si="394">TEXT(A262,"aaa")</f>
        <v>토</v>
      </c>
      <c r="C262" s="29"/>
      <c r="D262" s="29" t="e">
        <f>VLOOKUP($C262,청소코드!$C$4:$J$188,3,FALSE)</f>
        <v>#N/A</v>
      </c>
      <c r="E262" s="29" t="e">
        <f>VLOOKUP($C262,청소코드!$C$4:$J$188,4,FALSE)</f>
        <v>#N/A</v>
      </c>
      <c r="F262" s="29"/>
      <c r="G262" s="29"/>
      <c r="H262" s="29"/>
      <c r="I262" s="29"/>
      <c r="J262" s="47" t="e">
        <f t="shared" ref="J262" si="395">SUM(K262:O262)</f>
        <v>#N/A</v>
      </c>
      <c r="K262" s="29" t="e">
        <f>VLOOKUP($C262,청소코드!$C$4:$J$188,8,FALSE)</f>
        <v>#N/A</v>
      </c>
      <c r="L262" s="32"/>
      <c r="M262" s="31"/>
      <c r="N262" s="32"/>
      <c r="O262" s="32"/>
    </row>
    <row r="263" spans="1:15" ht="12.75" customHeight="1">
      <c r="A263" s="30"/>
      <c r="B263" s="29" t="str">
        <f t="shared" ref="B263" si="396">TEXT(A263,"aaa")</f>
        <v>토</v>
      </c>
      <c r="C263" s="29"/>
      <c r="D263" s="29" t="e">
        <f>VLOOKUP($C263,청소코드!$C$4:$J$188,3,FALSE)</f>
        <v>#N/A</v>
      </c>
      <c r="E263" s="29" t="e">
        <f>VLOOKUP($C263,청소코드!$C$4:$J$188,4,FALSE)</f>
        <v>#N/A</v>
      </c>
      <c r="F263" s="29"/>
      <c r="G263" s="29"/>
      <c r="H263" s="29"/>
      <c r="I263" s="29"/>
      <c r="J263" s="47" t="e">
        <f t="shared" ref="J263" si="397">SUM(K263:O263)</f>
        <v>#N/A</v>
      </c>
      <c r="K263" s="29" t="e">
        <f>VLOOKUP($C263,청소코드!$C$4:$J$188,8,FALSE)</f>
        <v>#N/A</v>
      </c>
      <c r="L263" s="32"/>
      <c r="M263" s="31"/>
      <c r="N263" s="32"/>
      <c r="O263" s="32"/>
    </row>
    <row r="264" spans="1:15" ht="12.75" customHeight="1">
      <c r="A264" s="30"/>
      <c r="B264" s="29" t="str">
        <f t="shared" ref="B264" si="398">TEXT(A264,"aaa")</f>
        <v>토</v>
      </c>
      <c r="C264" s="29"/>
      <c r="D264" s="29" t="e">
        <f>VLOOKUP($C264,청소코드!$C$4:$J$188,3,FALSE)</f>
        <v>#N/A</v>
      </c>
      <c r="E264" s="29" t="e">
        <f>VLOOKUP($C264,청소코드!$C$4:$J$188,4,FALSE)</f>
        <v>#N/A</v>
      </c>
      <c r="F264" s="29"/>
      <c r="G264" s="29"/>
      <c r="H264" s="29"/>
      <c r="I264" s="29"/>
      <c r="J264" s="47" t="e">
        <f t="shared" ref="J264" si="399">SUM(K264:O264)</f>
        <v>#N/A</v>
      </c>
      <c r="K264" s="29" t="e">
        <f>VLOOKUP($C264,청소코드!$C$4:$J$188,8,FALSE)</f>
        <v>#N/A</v>
      </c>
      <c r="L264" s="32"/>
      <c r="M264" s="31"/>
      <c r="N264" s="32"/>
      <c r="O264" s="32"/>
    </row>
    <row r="265" spans="1:15" ht="12.75" customHeight="1">
      <c r="A265" s="30"/>
      <c r="B265" s="29" t="str">
        <f t="shared" ref="B265" si="400">TEXT(A265,"aaa")</f>
        <v>토</v>
      </c>
      <c r="C265" s="29"/>
      <c r="D265" s="29" t="e">
        <f>VLOOKUP($C265,청소코드!$C$4:$J$188,3,FALSE)</f>
        <v>#N/A</v>
      </c>
      <c r="E265" s="29" t="e">
        <f>VLOOKUP($C265,청소코드!$C$4:$J$188,4,FALSE)</f>
        <v>#N/A</v>
      </c>
      <c r="F265" s="29"/>
      <c r="G265" s="29"/>
      <c r="H265" s="29"/>
      <c r="I265" s="29"/>
      <c r="J265" s="47" t="e">
        <f t="shared" ref="J265" si="401">SUM(K265:O265)</f>
        <v>#N/A</v>
      </c>
      <c r="K265" s="29" t="e">
        <f>VLOOKUP($C265,청소코드!$C$4:$J$188,8,FALSE)</f>
        <v>#N/A</v>
      </c>
      <c r="L265" s="32"/>
      <c r="M265" s="31"/>
      <c r="N265" s="32"/>
      <c r="O265" s="32"/>
    </row>
    <row r="266" spans="1:15" ht="12.75" customHeight="1">
      <c r="A266" s="30"/>
      <c r="B266" s="29" t="str">
        <f t="shared" ref="B266" si="402">TEXT(A266,"aaa")</f>
        <v>토</v>
      </c>
      <c r="C266" s="29"/>
      <c r="D266" s="29" t="e">
        <f>VLOOKUP($C266,청소코드!$C$4:$J$188,3,FALSE)</f>
        <v>#N/A</v>
      </c>
      <c r="E266" s="29" t="e">
        <f>VLOOKUP($C266,청소코드!$C$4:$J$188,4,FALSE)</f>
        <v>#N/A</v>
      </c>
      <c r="F266" s="29"/>
      <c r="G266" s="29"/>
      <c r="H266" s="29"/>
      <c r="I266" s="29"/>
      <c r="J266" s="47" t="e">
        <f t="shared" ref="J266" si="403">SUM(K266:O266)</f>
        <v>#N/A</v>
      </c>
      <c r="K266" s="29" t="e">
        <f>VLOOKUP($C266,청소코드!$C$4:$J$188,8,FALSE)</f>
        <v>#N/A</v>
      </c>
      <c r="L266" s="32"/>
      <c r="M266" s="31"/>
      <c r="N266" s="32"/>
      <c r="O266" s="32"/>
    </row>
    <row r="267" spans="1:15" ht="12.75" customHeight="1">
      <c r="A267" s="30"/>
      <c r="B267" s="29" t="str">
        <f t="shared" ref="B267" si="404">TEXT(A267,"aaa")</f>
        <v>토</v>
      </c>
      <c r="C267" s="29"/>
      <c r="D267" s="29" t="e">
        <f>VLOOKUP($C267,청소코드!$C$4:$J$188,3,FALSE)</f>
        <v>#N/A</v>
      </c>
      <c r="E267" s="29" t="e">
        <f>VLOOKUP($C267,청소코드!$C$4:$J$188,4,FALSE)</f>
        <v>#N/A</v>
      </c>
      <c r="F267" s="29"/>
      <c r="G267" s="29"/>
      <c r="H267" s="29"/>
      <c r="I267" s="29"/>
      <c r="J267" s="47" t="e">
        <f t="shared" ref="J267" si="405">SUM(K267:O267)</f>
        <v>#N/A</v>
      </c>
      <c r="K267" s="29" t="e">
        <f>VLOOKUP($C267,청소코드!$C$4:$J$188,8,FALSE)</f>
        <v>#N/A</v>
      </c>
      <c r="L267" s="32"/>
      <c r="M267" s="31"/>
      <c r="N267" s="32"/>
      <c r="O267" s="32"/>
    </row>
    <row r="268" spans="1:15" ht="12.75" customHeight="1">
      <c r="A268" s="30"/>
      <c r="B268" s="29" t="str">
        <f t="shared" ref="B268" si="406">TEXT(A268,"aaa")</f>
        <v>토</v>
      </c>
      <c r="C268" s="29"/>
      <c r="D268" s="29" t="e">
        <f>VLOOKUP($C268,청소코드!$C$4:$J$188,3,FALSE)</f>
        <v>#N/A</v>
      </c>
      <c r="E268" s="29" t="e">
        <f>VLOOKUP($C268,청소코드!$C$4:$J$188,4,FALSE)</f>
        <v>#N/A</v>
      </c>
      <c r="F268" s="29"/>
      <c r="G268" s="29"/>
      <c r="H268" s="29"/>
      <c r="I268" s="29"/>
      <c r="J268" s="47" t="e">
        <f t="shared" ref="J268" si="407">SUM(K268:O268)</f>
        <v>#N/A</v>
      </c>
      <c r="K268" s="29" t="e">
        <f>VLOOKUP($C268,청소코드!$C$4:$J$188,8,FALSE)</f>
        <v>#N/A</v>
      </c>
      <c r="L268" s="32"/>
      <c r="M268" s="31"/>
      <c r="N268" s="32"/>
      <c r="O268" s="32"/>
    </row>
    <row r="269" spans="1:15" ht="12.75" customHeight="1">
      <c r="A269" s="30"/>
      <c r="B269" s="29" t="str">
        <f t="shared" ref="B269" si="408">TEXT(A269,"aaa")</f>
        <v>토</v>
      </c>
      <c r="C269" s="29"/>
      <c r="D269" s="29" t="e">
        <f>VLOOKUP($C269,청소코드!$C$4:$J$188,3,FALSE)</f>
        <v>#N/A</v>
      </c>
      <c r="E269" s="29" t="e">
        <f>VLOOKUP($C269,청소코드!$C$4:$J$188,4,FALSE)</f>
        <v>#N/A</v>
      </c>
      <c r="F269" s="29"/>
      <c r="G269" s="29"/>
      <c r="H269" s="29"/>
      <c r="I269" s="29"/>
      <c r="J269" s="47" t="e">
        <f t="shared" ref="J269" si="409">SUM(K269:O269)</f>
        <v>#N/A</v>
      </c>
      <c r="K269" s="29" t="e">
        <f>VLOOKUP($C269,청소코드!$C$4:$J$188,8,FALSE)</f>
        <v>#N/A</v>
      </c>
      <c r="L269" s="32"/>
      <c r="M269" s="31"/>
      <c r="N269" s="32"/>
      <c r="O269" s="32"/>
    </row>
    <row r="270" spans="1:15" ht="12.75" customHeight="1">
      <c r="A270" s="30"/>
      <c r="B270" s="29" t="str">
        <f t="shared" ref="B270" si="410">TEXT(A270,"aaa")</f>
        <v>토</v>
      </c>
      <c r="C270" s="29"/>
      <c r="D270" s="29" t="e">
        <f>VLOOKUP($C270,청소코드!$C$4:$J$188,3,FALSE)</f>
        <v>#N/A</v>
      </c>
      <c r="E270" s="29" t="e">
        <f>VLOOKUP($C270,청소코드!$C$4:$J$188,4,FALSE)</f>
        <v>#N/A</v>
      </c>
      <c r="F270" s="29"/>
      <c r="G270" s="29"/>
      <c r="H270" s="29"/>
      <c r="I270" s="29"/>
      <c r="J270" s="47" t="e">
        <f t="shared" ref="J270" si="411">SUM(K270:O270)</f>
        <v>#N/A</v>
      </c>
      <c r="K270" s="29" t="e">
        <f>VLOOKUP($C270,청소코드!$C$4:$J$188,8,FALSE)</f>
        <v>#N/A</v>
      </c>
      <c r="L270" s="32"/>
      <c r="M270" s="31"/>
      <c r="N270" s="32"/>
      <c r="O270" s="32"/>
    </row>
    <row r="271" spans="1:15" ht="12.75" customHeight="1">
      <c r="A271" s="30"/>
      <c r="B271" s="29" t="str">
        <f t="shared" ref="B271" si="412">TEXT(A271,"aaa")</f>
        <v>토</v>
      </c>
      <c r="C271" s="29"/>
      <c r="D271" s="29" t="e">
        <f>VLOOKUP($C271,청소코드!$C$4:$J$188,3,FALSE)</f>
        <v>#N/A</v>
      </c>
      <c r="E271" s="29" t="e">
        <f>VLOOKUP($C271,청소코드!$C$4:$J$188,4,FALSE)</f>
        <v>#N/A</v>
      </c>
      <c r="F271" s="29"/>
      <c r="G271" s="29"/>
      <c r="H271" s="29"/>
      <c r="I271" s="29"/>
      <c r="J271" s="47" t="e">
        <f t="shared" ref="J271" si="413">SUM(K271:O271)</f>
        <v>#N/A</v>
      </c>
      <c r="K271" s="29" t="e">
        <f>VLOOKUP($C271,청소코드!$C$4:$J$188,8,FALSE)</f>
        <v>#N/A</v>
      </c>
      <c r="L271" s="32"/>
      <c r="M271" s="31"/>
      <c r="N271" s="32"/>
      <c r="O271" s="32"/>
    </row>
    <row r="272" spans="1:15" ht="12.75" customHeight="1">
      <c r="A272" s="30"/>
      <c r="B272" s="29" t="str">
        <f t="shared" ref="B272" si="414">TEXT(A272,"aaa")</f>
        <v>토</v>
      </c>
      <c r="C272" s="29"/>
      <c r="D272" s="29" t="e">
        <f>VLOOKUP($C272,청소코드!$C$4:$J$188,3,FALSE)</f>
        <v>#N/A</v>
      </c>
      <c r="E272" s="29" t="e">
        <f>VLOOKUP($C272,청소코드!$C$4:$J$188,4,FALSE)</f>
        <v>#N/A</v>
      </c>
      <c r="F272" s="29"/>
      <c r="G272" s="29"/>
      <c r="H272" s="29"/>
      <c r="I272" s="29"/>
      <c r="J272" s="47" t="e">
        <f t="shared" ref="J272" si="415">SUM(K272:O272)</f>
        <v>#N/A</v>
      </c>
      <c r="K272" s="29" t="e">
        <f>VLOOKUP($C272,청소코드!$C$4:$J$188,8,FALSE)</f>
        <v>#N/A</v>
      </c>
      <c r="L272" s="32"/>
      <c r="M272" s="31"/>
      <c r="N272" s="32"/>
      <c r="O272" s="32"/>
    </row>
    <row r="273" spans="1:15" ht="12.75" customHeight="1">
      <c r="A273" s="30"/>
      <c r="B273" s="29" t="str">
        <f t="shared" ref="B273" si="416">TEXT(A273,"aaa")</f>
        <v>토</v>
      </c>
      <c r="C273" s="29"/>
      <c r="D273" s="29" t="e">
        <f>VLOOKUP($C273,청소코드!$C$4:$J$188,3,FALSE)</f>
        <v>#N/A</v>
      </c>
      <c r="E273" s="29" t="e">
        <f>VLOOKUP($C273,청소코드!$C$4:$J$188,4,FALSE)</f>
        <v>#N/A</v>
      </c>
      <c r="F273" s="29"/>
      <c r="G273" s="29"/>
      <c r="H273" s="29"/>
      <c r="I273" s="29"/>
      <c r="J273" s="47" t="e">
        <f t="shared" ref="J273" si="417">SUM(K273:O273)</f>
        <v>#N/A</v>
      </c>
      <c r="K273" s="29" t="e">
        <f>VLOOKUP($C273,청소코드!$C$4:$J$188,8,FALSE)</f>
        <v>#N/A</v>
      </c>
      <c r="L273" s="32"/>
      <c r="M273" s="31"/>
      <c r="N273" s="32"/>
      <c r="O273" s="32"/>
    </row>
    <row r="274" spans="1:15" ht="12.75" customHeight="1">
      <c r="A274" s="30"/>
      <c r="B274" s="29" t="str">
        <f t="shared" ref="B274" si="418">TEXT(A274,"aaa")</f>
        <v>토</v>
      </c>
      <c r="C274" s="29"/>
      <c r="D274" s="29" t="e">
        <f>VLOOKUP($C274,청소코드!$C$4:$J$188,3,FALSE)</f>
        <v>#N/A</v>
      </c>
      <c r="E274" s="29" t="e">
        <f>VLOOKUP($C274,청소코드!$C$4:$J$188,4,FALSE)</f>
        <v>#N/A</v>
      </c>
      <c r="F274" s="29"/>
      <c r="G274" s="29"/>
      <c r="H274" s="29"/>
      <c r="I274" s="29"/>
      <c r="J274" s="47" t="e">
        <f t="shared" ref="J274" si="419">SUM(K274:O274)</f>
        <v>#N/A</v>
      </c>
      <c r="K274" s="29" t="e">
        <f>VLOOKUP($C274,청소코드!$C$4:$J$188,8,FALSE)</f>
        <v>#N/A</v>
      </c>
      <c r="L274" s="32"/>
      <c r="M274" s="31"/>
      <c r="N274" s="32"/>
      <c r="O274" s="32"/>
    </row>
    <row r="275" spans="1:15" ht="12.75" customHeight="1">
      <c r="A275" s="30"/>
      <c r="B275" s="29" t="str">
        <f t="shared" ref="B275:B337" si="420">TEXT(A275,"aaa")</f>
        <v>토</v>
      </c>
      <c r="C275" s="29"/>
      <c r="D275" s="29" t="e">
        <f>VLOOKUP($C275,청소코드!$C$4:$J$188,3,FALSE)</f>
        <v>#N/A</v>
      </c>
      <c r="E275" s="29" t="e">
        <f>VLOOKUP($C275,청소코드!$C$4:$J$188,4,FALSE)</f>
        <v>#N/A</v>
      </c>
      <c r="F275" s="29"/>
      <c r="G275" s="29"/>
      <c r="H275" s="29"/>
      <c r="I275" s="29"/>
      <c r="J275" s="47" t="e">
        <f t="shared" ref="J275:J337" si="421">SUM(K275:O275)</f>
        <v>#N/A</v>
      </c>
      <c r="K275" s="29" t="e">
        <f>VLOOKUP($C275,청소코드!$C$4:$J$188,8,FALSE)</f>
        <v>#N/A</v>
      </c>
      <c r="L275" s="32"/>
      <c r="M275" s="31"/>
      <c r="N275" s="32"/>
      <c r="O275" s="32"/>
    </row>
    <row r="276" spans="1:15" ht="12.75" customHeight="1">
      <c r="A276" s="30"/>
      <c r="B276" s="29" t="str">
        <f t="shared" si="420"/>
        <v>토</v>
      </c>
      <c r="C276" s="29"/>
      <c r="D276" s="29" t="e">
        <f>VLOOKUP($C276,청소코드!$C$4:$J$188,3,FALSE)</f>
        <v>#N/A</v>
      </c>
      <c r="E276" s="29" t="e">
        <f>VLOOKUP($C276,청소코드!$C$4:$J$188,4,FALSE)</f>
        <v>#N/A</v>
      </c>
      <c r="F276" s="29"/>
      <c r="G276" s="29"/>
      <c r="H276" s="29"/>
      <c r="I276" s="29"/>
      <c r="J276" s="47" t="e">
        <f t="shared" si="421"/>
        <v>#N/A</v>
      </c>
      <c r="K276" s="29" t="e">
        <f>VLOOKUP($C276,청소코드!$C$4:$J$188,8,FALSE)</f>
        <v>#N/A</v>
      </c>
      <c r="L276" s="32"/>
      <c r="M276" s="31"/>
      <c r="N276" s="32"/>
      <c r="O276" s="32"/>
    </row>
    <row r="277" spans="1:15" ht="12.75" customHeight="1">
      <c r="A277" s="30"/>
      <c r="B277" s="29" t="str">
        <f t="shared" si="420"/>
        <v>토</v>
      </c>
      <c r="C277" s="29"/>
      <c r="D277" s="29" t="e">
        <f>VLOOKUP($C277,청소코드!$C$4:$J$188,3,FALSE)</f>
        <v>#N/A</v>
      </c>
      <c r="E277" s="29" t="e">
        <f>VLOOKUP($C277,청소코드!$C$4:$J$188,4,FALSE)</f>
        <v>#N/A</v>
      </c>
      <c r="F277" s="29"/>
      <c r="G277" s="29"/>
      <c r="H277" s="29"/>
      <c r="I277" s="29"/>
      <c r="J277" s="47" t="e">
        <f t="shared" si="421"/>
        <v>#N/A</v>
      </c>
      <c r="K277" s="29" t="e">
        <f>VLOOKUP($C277,청소코드!$C$4:$J$188,8,FALSE)</f>
        <v>#N/A</v>
      </c>
      <c r="L277" s="32"/>
      <c r="M277" s="31"/>
      <c r="N277" s="32"/>
      <c r="O277" s="32"/>
    </row>
    <row r="278" spans="1:15" ht="12.75" customHeight="1">
      <c r="A278" s="30"/>
      <c r="B278" s="29" t="str">
        <f t="shared" si="420"/>
        <v>토</v>
      </c>
      <c r="C278" s="29"/>
      <c r="D278" s="29" t="e">
        <f>VLOOKUP($C278,청소코드!$C$4:$J$188,3,FALSE)</f>
        <v>#N/A</v>
      </c>
      <c r="E278" s="29" t="e">
        <f>VLOOKUP($C278,청소코드!$C$4:$J$188,4,FALSE)</f>
        <v>#N/A</v>
      </c>
      <c r="F278" s="29"/>
      <c r="G278" s="29"/>
      <c r="H278" s="29"/>
      <c r="I278" s="29"/>
      <c r="J278" s="47" t="e">
        <f t="shared" si="421"/>
        <v>#N/A</v>
      </c>
      <c r="K278" s="29" t="e">
        <f>VLOOKUP($C278,청소코드!$C$4:$J$188,8,FALSE)</f>
        <v>#N/A</v>
      </c>
      <c r="L278" s="32"/>
      <c r="M278" s="31"/>
      <c r="N278" s="32"/>
      <c r="O278" s="32"/>
    </row>
    <row r="279" spans="1:15" ht="12.75" customHeight="1">
      <c r="A279" s="30"/>
      <c r="B279" s="29" t="str">
        <f t="shared" si="420"/>
        <v>토</v>
      </c>
      <c r="C279" s="29"/>
      <c r="D279" s="29" t="e">
        <f>VLOOKUP($C279,청소코드!$C$4:$J$188,3,FALSE)</f>
        <v>#N/A</v>
      </c>
      <c r="E279" s="29" t="e">
        <f>VLOOKUP($C279,청소코드!$C$4:$J$188,4,FALSE)</f>
        <v>#N/A</v>
      </c>
      <c r="F279" s="29"/>
      <c r="G279" s="29"/>
      <c r="H279" s="29"/>
      <c r="I279" s="29"/>
      <c r="J279" s="47" t="e">
        <f t="shared" si="421"/>
        <v>#N/A</v>
      </c>
      <c r="K279" s="29" t="e">
        <f>VLOOKUP($C279,청소코드!$C$4:$J$188,8,FALSE)</f>
        <v>#N/A</v>
      </c>
      <c r="L279" s="32"/>
      <c r="M279" s="31"/>
      <c r="N279" s="32"/>
      <c r="O279" s="32"/>
    </row>
    <row r="280" spans="1:15" ht="12.75" customHeight="1">
      <c r="A280" s="30"/>
      <c r="B280" s="29" t="str">
        <f t="shared" si="420"/>
        <v>토</v>
      </c>
      <c r="C280" s="29"/>
      <c r="D280" s="29" t="e">
        <f>VLOOKUP($C280,청소코드!$C$4:$J$188,3,FALSE)</f>
        <v>#N/A</v>
      </c>
      <c r="E280" s="29" t="e">
        <f>VLOOKUP($C280,청소코드!$C$4:$J$188,4,FALSE)</f>
        <v>#N/A</v>
      </c>
      <c r="F280" s="29"/>
      <c r="G280" s="29"/>
      <c r="H280" s="29"/>
      <c r="I280" s="29"/>
      <c r="J280" s="47" t="e">
        <f t="shared" si="421"/>
        <v>#N/A</v>
      </c>
      <c r="K280" s="29" t="e">
        <f>VLOOKUP($C280,청소코드!$C$4:$J$188,8,FALSE)</f>
        <v>#N/A</v>
      </c>
      <c r="L280" s="32"/>
      <c r="M280" s="31"/>
      <c r="N280" s="32"/>
      <c r="O280" s="32"/>
    </row>
    <row r="281" spans="1:15" ht="12.75" customHeight="1">
      <c r="A281" s="30"/>
      <c r="B281" s="29" t="str">
        <f t="shared" si="420"/>
        <v>토</v>
      </c>
      <c r="C281" s="29"/>
      <c r="D281" s="29" t="e">
        <f>VLOOKUP($C281,청소코드!$C$4:$J$188,3,FALSE)</f>
        <v>#N/A</v>
      </c>
      <c r="E281" s="29" t="e">
        <f>VLOOKUP($C281,청소코드!$C$4:$J$188,4,FALSE)</f>
        <v>#N/A</v>
      </c>
      <c r="F281" s="29"/>
      <c r="G281" s="29"/>
      <c r="H281" s="29"/>
      <c r="I281" s="29"/>
      <c r="J281" s="47" t="e">
        <f t="shared" si="421"/>
        <v>#N/A</v>
      </c>
      <c r="K281" s="29" t="e">
        <f>VLOOKUP($C281,청소코드!$C$4:$J$188,8,FALSE)</f>
        <v>#N/A</v>
      </c>
      <c r="L281" s="32"/>
      <c r="M281" s="31"/>
      <c r="N281" s="32"/>
      <c r="O281" s="32"/>
    </row>
    <row r="282" spans="1:15" ht="12.75" customHeight="1">
      <c r="A282" s="30"/>
      <c r="B282" s="29" t="str">
        <f t="shared" si="420"/>
        <v>토</v>
      </c>
      <c r="C282" s="29"/>
      <c r="D282" s="29" t="e">
        <f>VLOOKUP($C282,청소코드!$C$4:$J$188,3,FALSE)</f>
        <v>#N/A</v>
      </c>
      <c r="E282" s="29" t="e">
        <f>VLOOKUP($C282,청소코드!$C$4:$J$188,4,FALSE)</f>
        <v>#N/A</v>
      </c>
      <c r="F282" s="29"/>
      <c r="G282" s="29"/>
      <c r="H282" s="29"/>
      <c r="I282" s="29"/>
      <c r="J282" s="47" t="e">
        <f t="shared" si="421"/>
        <v>#N/A</v>
      </c>
      <c r="K282" s="29" t="e">
        <f>VLOOKUP($C282,청소코드!$C$4:$J$188,8,FALSE)</f>
        <v>#N/A</v>
      </c>
      <c r="L282" s="32"/>
      <c r="M282" s="31"/>
      <c r="N282" s="32"/>
      <c r="O282" s="32"/>
    </row>
    <row r="283" spans="1:15" ht="12.75" customHeight="1">
      <c r="A283" s="30"/>
      <c r="B283" s="29" t="str">
        <f t="shared" si="420"/>
        <v>토</v>
      </c>
      <c r="C283" s="29"/>
      <c r="D283" s="29" t="e">
        <f>VLOOKUP($C283,청소코드!$C$4:$J$188,3,FALSE)</f>
        <v>#N/A</v>
      </c>
      <c r="E283" s="29" t="e">
        <f>VLOOKUP($C283,청소코드!$C$4:$J$188,4,FALSE)</f>
        <v>#N/A</v>
      </c>
      <c r="F283" s="29"/>
      <c r="G283" s="29"/>
      <c r="H283" s="29"/>
      <c r="I283" s="29"/>
      <c r="J283" s="47" t="e">
        <f t="shared" si="421"/>
        <v>#N/A</v>
      </c>
      <c r="K283" s="29" t="e">
        <f>VLOOKUP($C283,청소코드!$C$4:$J$188,8,FALSE)</f>
        <v>#N/A</v>
      </c>
      <c r="L283" s="32"/>
      <c r="M283" s="31"/>
      <c r="N283" s="32"/>
      <c r="O283" s="32"/>
    </row>
    <row r="284" spans="1:15" ht="12.75" customHeight="1">
      <c r="A284" s="30"/>
      <c r="B284" s="29" t="str">
        <f t="shared" si="420"/>
        <v>토</v>
      </c>
      <c r="C284" s="29"/>
      <c r="D284" s="29" t="e">
        <f>VLOOKUP($C284,청소코드!$C$4:$J$188,3,FALSE)</f>
        <v>#N/A</v>
      </c>
      <c r="E284" s="29" t="e">
        <f>VLOOKUP($C284,청소코드!$C$4:$J$188,4,FALSE)</f>
        <v>#N/A</v>
      </c>
      <c r="F284" s="29"/>
      <c r="G284" s="29"/>
      <c r="H284" s="29"/>
      <c r="I284" s="29"/>
      <c r="J284" s="47" t="e">
        <f t="shared" si="421"/>
        <v>#N/A</v>
      </c>
      <c r="K284" s="29" t="e">
        <f>VLOOKUP($C284,청소코드!$C$4:$J$188,8,FALSE)</f>
        <v>#N/A</v>
      </c>
      <c r="L284" s="32"/>
      <c r="M284" s="31"/>
      <c r="N284" s="32"/>
      <c r="O284" s="32"/>
    </row>
    <row r="285" spans="1:15" ht="12.75" customHeight="1">
      <c r="A285" s="30"/>
      <c r="B285" s="29" t="str">
        <f t="shared" si="420"/>
        <v>토</v>
      </c>
      <c r="C285" s="29"/>
      <c r="D285" s="29" t="e">
        <f>VLOOKUP($C285,청소코드!$C$4:$J$188,3,FALSE)</f>
        <v>#N/A</v>
      </c>
      <c r="E285" s="29" t="e">
        <f>VLOOKUP($C285,청소코드!$C$4:$J$188,4,FALSE)</f>
        <v>#N/A</v>
      </c>
      <c r="F285" s="29"/>
      <c r="G285" s="29"/>
      <c r="H285" s="29"/>
      <c r="I285" s="29"/>
      <c r="J285" s="47" t="e">
        <f t="shared" si="421"/>
        <v>#N/A</v>
      </c>
      <c r="K285" s="29" t="e">
        <f>VLOOKUP($C285,청소코드!$C$4:$J$188,8,FALSE)</f>
        <v>#N/A</v>
      </c>
      <c r="L285" s="32"/>
      <c r="M285" s="31"/>
      <c r="N285" s="32"/>
      <c r="O285" s="32"/>
    </row>
    <row r="286" spans="1:15" ht="12.75" customHeight="1">
      <c r="A286" s="30"/>
      <c r="B286" s="29" t="str">
        <f t="shared" si="420"/>
        <v>토</v>
      </c>
      <c r="C286" s="29"/>
      <c r="D286" s="29" t="e">
        <f>VLOOKUP($C286,청소코드!$C$4:$J$188,3,FALSE)</f>
        <v>#N/A</v>
      </c>
      <c r="E286" s="29" t="e">
        <f>VLOOKUP($C286,청소코드!$C$4:$J$188,4,FALSE)</f>
        <v>#N/A</v>
      </c>
      <c r="F286" s="29"/>
      <c r="G286" s="29"/>
      <c r="H286" s="29"/>
      <c r="I286" s="29"/>
      <c r="J286" s="47" t="e">
        <f t="shared" si="421"/>
        <v>#N/A</v>
      </c>
      <c r="K286" s="29" t="e">
        <f>VLOOKUP($C286,청소코드!$C$4:$J$188,8,FALSE)</f>
        <v>#N/A</v>
      </c>
      <c r="L286" s="32"/>
      <c r="M286" s="31"/>
      <c r="N286" s="32"/>
      <c r="O286" s="32"/>
    </row>
    <row r="287" spans="1:15" ht="12.75" customHeight="1">
      <c r="A287" s="30"/>
      <c r="B287" s="29" t="str">
        <f t="shared" si="420"/>
        <v>토</v>
      </c>
      <c r="C287" s="29"/>
      <c r="D287" s="29" t="e">
        <f>VLOOKUP($C287,청소코드!$C$4:$J$188,3,FALSE)</f>
        <v>#N/A</v>
      </c>
      <c r="E287" s="29" t="e">
        <f>VLOOKUP($C287,청소코드!$C$4:$J$188,4,FALSE)</f>
        <v>#N/A</v>
      </c>
      <c r="F287" s="29"/>
      <c r="G287" s="29"/>
      <c r="H287" s="29"/>
      <c r="I287" s="29"/>
      <c r="J287" s="47" t="e">
        <f t="shared" si="421"/>
        <v>#N/A</v>
      </c>
      <c r="K287" s="29" t="e">
        <f>VLOOKUP($C287,청소코드!$C$4:$J$188,8,FALSE)</f>
        <v>#N/A</v>
      </c>
      <c r="L287" s="32"/>
      <c r="M287" s="31"/>
      <c r="N287" s="32"/>
      <c r="O287" s="32"/>
    </row>
    <row r="288" spans="1:15" ht="12.75" customHeight="1">
      <c r="A288" s="30"/>
      <c r="B288" s="29" t="str">
        <f t="shared" si="420"/>
        <v>토</v>
      </c>
      <c r="C288" s="29"/>
      <c r="D288" s="29" t="e">
        <f>VLOOKUP($C288,청소코드!$C$4:$J$188,3,FALSE)</f>
        <v>#N/A</v>
      </c>
      <c r="E288" s="29" t="e">
        <f>VLOOKUP($C288,청소코드!$C$4:$J$188,4,FALSE)</f>
        <v>#N/A</v>
      </c>
      <c r="F288" s="29"/>
      <c r="G288" s="29"/>
      <c r="H288" s="29"/>
      <c r="I288" s="29"/>
      <c r="J288" s="47" t="e">
        <f t="shared" si="421"/>
        <v>#N/A</v>
      </c>
      <c r="K288" s="29" t="e">
        <f>VLOOKUP($C288,청소코드!$C$4:$J$188,8,FALSE)</f>
        <v>#N/A</v>
      </c>
      <c r="L288" s="32"/>
      <c r="M288" s="31"/>
      <c r="N288" s="32"/>
      <c r="O288" s="32"/>
    </row>
    <row r="289" spans="1:15" ht="12.75" customHeight="1">
      <c r="A289" s="30"/>
      <c r="B289" s="29" t="str">
        <f t="shared" si="420"/>
        <v>토</v>
      </c>
      <c r="C289" s="29"/>
      <c r="D289" s="29" t="e">
        <f>VLOOKUP($C289,청소코드!$C$4:$J$188,3,FALSE)</f>
        <v>#N/A</v>
      </c>
      <c r="E289" s="29" t="e">
        <f>VLOOKUP($C289,청소코드!$C$4:$J$188,4,FALSE)</f>
        <v>#N/A</v>
      </c>
      <c r="F289" s="29"/>
      <c r="G289" s="29"/>
      <c r="H289" s="29"/>
      <c r="I289" s="29"/>
      <c r="J289" s="47" t="e">
        <f t="shared" si="421"/>
        <v>#N/A</v>
      </c>
      <c r="K289" s="29" t="e">
        <f>VLOOKUP($C289,청소코드!$C$4:$J$188,8,FALSE)</f>
        <v>#N/A</v>
      </c>
      <c r="L289" s="32"/>
      <c r="M289" s="31"/>
      <c r="N289" s="32"/>
      <c r="O289" s="32"/>
    </row>
    <row r="290" spans="1:15" ht="12.75" customHeight="1">
      <c r="A290" s="30"/>
      <c r="B290" s="29" t="str">
        <f t="shared" si="420"/>
        <v>토</v>
      </c>
      <c r="C290" s="29"/>
      <c r="D290" s="29" t="e">
        <f>VLOOKUP($C290,청소코드!$C$4:$J$188,3,FALSE)</f>
        <v>#N/A</v>
      </c>
      <c r="E290" s="29" t="e">
        <f>VLOOKUP($C290,청소코드!$C$4:$J$188,4,FALSE)</f>
        <v>#N/A</v>
      </c>
      <c r="F290" s="29"/>
      <c r="G290" s="29"/>
      <c r="H290" s="29"/>
      <c r="I290" s="29"/>
      <c r="J290" s="47" t="e">
        <f t="shared" si="421"/>
        <v>#N/A</v>
      </c>
      <c r="K290" s="29" t="e">
        <f>VLOOKUP($C290,청소코드!$C$4:$J$188,8,FALSE)</f>
        <v>#N/A</v>
      </c>
      <c r="L290" s="32"/>
      <c r="M290" s="31"/>
      <c r="N290" s="32"/>
      <c r="O290" s="32"/>
    </row>
    <row r="291" spans="1:15" ht="12.75" customHeight="1">
      <c r="A291" s="30"/>
      <c r="B291" s="29" t="str">
        <f t="shared" si="420"/>
        <v>토</v>
      </c>
      <c r="C291" s="29"/>
      <c r="D291" s="29" t="e">
        <f>VLOOKUP($C291,청소코드!$C$4:$J$188,3,FALSE)</f>
        <v>#N/A</v>
      </c>
      <c r="E291" s="29" t="e">
        <f>VLOOKUP($C291,청소코드!$C$4:$J$188,4,FALSE)</f>
        <v>#N/A</v>
      </c>
      <c r="F291" s="29"/>
      <c r="G291" s="29"/>
      <c r="H291" s="29"/>
      <c r="I291" s="29"/>
      <c r="J291" s="47" t="e">
        <f t="shared" si="421"/>
        <v>#N/A</v>
      </c>
      <c r="K291" s="29" t="e">
        <f>VLOOKUP($C291,청소코드!$C$4:$J$188,8,FALSE)</f>
        <v>#N/A</v>
      </c>
      <c r="L291" s="32"/>
      <c r="M291" s="31"/>
      <c r="N291" s="32"/>
      <c r="O291" s="32"/>
    </row>
    <row r="292" spans="1:15" ht="12.75" customHeight="1">
      <c r="A292" s="30"/>
      <c r="B292" s="29" t="str">
        <f t="shared" si="420"/>
        <v>토</v>
      </c>
      <c r="C292" s="29"/>
      <c r="D292" s="29" t="e">
        <f>VLOOKUP($C292,청소코드!$C$4:$J$188,3,FALSE)</f>
        <v>#N/A</v>
      </c>
      <c r="E292" s="29" t="e">
        <f>VLOOKUP($C292,청소코드!$C$4:$J$188,4,FALSE)</f>
        <v>#N/A</v>
      </c>
      <c r="F292" s="29"/>
      <c r="G292" s="29"/>
      <c r="H292" s="29"/>
      <c r="I292" s="29"/>
      <c r="J292" s="47" t="e">
        <f t="shared" si="421"/>
        <v>#N/A</v>
      </c>
      <c r="K292" s="29" t="e">
        <f>VLOOKUP($C292,청소코드!$C$4:$J$188,8,FALSE)</f>
        <v>#N/A</v>
      </c>
      <c r="L292" s="32"/>
      <c r="M292" s="31"/>
      <c r="N292" s="32"/>
      <c r="O292" s="32"/>
    </row>
    <row r="293" spans="1:15" ht="12.75" customHeight="1">
      <c r="A293" s="30"/>
      <c r="B293" s="29" t="str">
        <f t="shared" si="420"/>
        <v>토</v>
      </c>
      <c r="C293" s="29"/>
      <c r="D293" s="29" t="e">
        <f>VLOOKUP($C293,청소코드!$C$4:$J$188,3,FALSE)</f>
        <v>#N/A</v>
      </c>
      <c r="E293" s="29" t="e">
        <f>VLOOKUP($C293,청소코드!$C$4:$J$188,4,FALSE)</f>
        <v>#N/A</v>
      </c>
      <c r="F293" s="29"/>
      <c r="G293" s="29"/>
      <c r="H293" s="29"/>
      <c r="I293" s="29"/>
      <c r="J293" s="47" t="e">
        <f t="shared" si="421"/>
        <v>#N/A</v>
      </c>
      <c r="K293" s="29" t="e">
        <f>VLOOKUP($C293,청소코드!$C$4:$J$188,8,FALSE)</f>
        <v>#N/A</v>
      </c>
      <c r="L293" s="32"/>
      <c r="M293" s="31"/>
      <c r="N293" s="32"/>
      <c r="O293" s="32"/>
    </row>
    <row r="294" spans="1:15" ht="12.75" customHeight="1">
      <c r="A294" s="30"/>
      <c r="B294" s="29" t="str">
        <f t="shared" si="420"/>
        <v>토</v>
      </c>
      <c r="C294" s="29"/>
      <c r="D294" s="29" t="e">
        <f>VLOOKUP($C294,청소코드!$C$4:$J$188,3,FALSE)</f>
        <v>#N/A</v>
      </c>
      <c r="E294" s="29" t="e">
        <f>VLOOKUP($C294,청소코드!$C$4:$J$188,4,FALSE)</f>
        <v>#N/A</v>
      </c>
      <c r="F294" s="29"/>
      <c r="G294" s="29"/>
      <c r="H294" s="29"/>
      <c r="I294" s="29"/>
      <c r="J294" s="47" t="e">
        <f t="shared" si="421"/>
        <v>#N/A</v>
      </c>
      <c r="K294" s="29" t="e">
        <f>VLOOKUP($C294,청소코드!$C$4:$J$188,8,FALSE)</f>
        <v>#N/A</v>
      </c>
      <c r="L294" s="32"/>
      <c r="M294" s="31"/>
      <c r="N294" s="32"/>
      <c r="O294" s="32"/>
    </row>
    <row r="295" spans="1:15" ht="12.75" customHeight="1">
      <c r="A295" s="30"/>
      <c r="B295" s="29" t="str">
        <f t="shared" si="420"/>
        <v>토</v>
      </c>
      <c r="C295" s="29"/>
      <c r="D295" s="29" t="e">
        <f>VLOOKUP($C295,청소코드!$C$4:$J$188,3,FALSE)</f>
        <v>#N/A</v>
      </c>
      <c r="E295" s="29" t="e">
        <f>VLOOKUP($C295,청소코드!$C$4:$J$188,4,FALSE)</f>
        <v>#N/A</v>
      </c>
      <c r="F295" s="29"/>
      <c r="G295" s="29"/>
      <c r="H295" s="29"/>
      <c r="I295" s="29"/>
      <c r="J295" s="47" t="e">
        <f t="shared" si="421"/>
        <v>#N/A</v>
      </c>
      <c r="K295" s="29" t="e">
        <f>VLOOKUP($C295,청소코드!$C$4:$J$188,8,FALSE)</f>
        <v>#N/A</v>
      </c>
      <c r="L295" s="32"/>
      <c r="M295" s="31"/>
      <c r="N295" s="32"/>
      <c r="O295" s="32"/>
    </row>
    <row r="296" spans="1:15" ht="12.75" customHeight="1">
      <c r="A296" s="30"/>
      <c r="B296" s="29" t="str">
        <f t="shared" si="420"/>
        <v>토</v>
      </c>
      <c r="C296" s="29"/>
      <c r="D296" s="29" t="e">
        <f>VLOOKUP($C296,청소코드!$C$4:$J$188,3,FALSE)</f>
        <v>#N/A</v>
      </c>
      <c r="E296" s="29" t="e">
        <f>VLOOKUP($C296,청소코드!$C$4:$J$188,4,FALSE)</f>
        <v>#N/A</v>
      </c>
      <c r="F296" s="29"/>
      <c r="G296" s="29"/>
      <c r="H296" s="29"/>
      <c r="I296" s="29"/>
      <c r="J296" s="47" t="e">
        <f t="shared" si="421"/>
        <v>#N/A</v>
      </c>
      <c r="K296" s="29" t="e">
        <f>VLOOKUP($C296,청소코드!$C$4:$J$188,8,FALSE)</f>
        <v>#N/A</v>
      </c>
      <c r="L296" s="32"/>
      <c r="M296" s="31"/>
      <c r="N296" s="32"/>
      <c r="O296" s="32"/>
    </row>
    <row r="297" spans="1:15" ht="12.75" customHeight="1">
      <c r="A297" s="30"/>
      <c r="B297" s="29" t="str">
        <f t="shared" si="420"/>
        <v>토</v>
      </c>
      <c r="C297" s="29"/>
      <c r="D297" s="29" t="e">
        <f>VLOOKUP($C297,청소코드!$C$4:$J$188,3,FALSE)</f>
        <v>#N/A</v>
      </c>
      <c r="E297" s="29" t="e">
        <f>VLOOKUP($C297,청소코드!$C$4:$J$188,4,FALSE)</f>
        <v>#N/A</v>
      </c>
      <c r="F297" s="29"/>
      <c r="G297" s="29"/>
      <c r="H297" s="29"/>
      <c r="I297" s="29"/>
      <c r="J297" s="47" t="e">
        <f t="shared" si="421"/>
        <v>#N/A</v>
      </c>
      <c r="K297" s="29" t="e">
        <f>VLOOKUP($C297,청소코드!$C$4:$J$188,8,FALSE)</f>
        <v>#N/A</v>
      </c>
      <c r="L297" s="32"/>
      <c r="M297" s="31"/>
      <c r="N297" s="32"/>
      <c r="O297" s="32"/>
    </row>
    <row r="298" spans="1:15" ht="12.75" customHeight="1">
      <c r="A298" s="30"/>
      <c r="B298" s="29" t="str">
        <f t="shared" si="420"/>
        <v>토</v>
      </c>
      <c r="C298" s="29"/>
      <c r="D298" s="29" t="e">
        <f>VLOOKUP($C298,청소코드!$C$4:$J$188,3,FALSE)</f>
        <v>#N/A</v>
      </c>
      <c r="E298" s="29" t="e">
        <f>VLOOKUP($C298,청소코드!$C$4:$J$188,4,FALSE)</f>
        <v>#N/A</v>
      </c>
      <c r="F298" s="29"/>
      <c r="G298" s="29"/>
      <c r="H298" s="29"/>
      <c r="I298" s="29"/>
      <c r="J298" s="47" t="e">
        <f t="shared" si="421"/>
        <v>#N/A</v>
      </c>
      <c r="K298" s="29" t="e">
        <f>VLOOKUP($C298,청소코드!$C$4:$J$188,8,FALSE)</f>
        <v>#N/A</v>
      </c>
      <c r="L298" s="32"/>
      <c r="M298" s="31"/>
      <c r="N298" s="32"/>
      <c r="O298" s="32"/>
    </row>
    <row r="299" spans="1:15" ht="12.75" customHeight="1">
      <c r="A299" s="30"/>
      <c r="B299" s="29" t="str">
        <f t="shared" si="420"/>
        <v>토</v>
      </c>
      <c r="C299" s="29"/>
      <c r="D299" s="29" t="e">
        <f>VLOOKUP($C299,청소코드!$C$4:$J$188,3,FALSE)</f>
        <v>#N/A</v>
      </c>
      <c r="E299" s="29" t="e">
        <f>VLOOKUP($C299,청소코드!$C$4:$J$188,4,FALSE)</f>
        <v>#N/A</v>
      </c>
      <c r="F299" s="29"/>
      <c r="G299" s="29"/>
      <c r="H299" s="29"/>
      <c r="I299" s="29"/>
      <c r="J299" s="47" t="e">
        <f t="shared" si="421"/>
        <v>#N/A</v>
      </c>
      <c r="K299" s="29" t="e">
        <f>VLOOKUP($C299,청소코드!$C$4:$J$188,8,FALSE)</f>
        <v>#N/A</v>
      </c>
      <c r="L299" s="32"/>
      <c r="M299" s="31"/>
      <c r="N299" s="32"/>
      <c r="O299" s="32"/>
    </row>
    <row r="300" spans="1:15" ht="12.75" customHeight="1">
      <c r="A300" s="30"/>
      <c r="B300" s="29" t="str">
        <f t="shared" si="420"/>
        <v>토</v>
      </c>
      <c r="C300" s="29"/>
      <c r="D300" s="29" t="e">
        <f>VLOOKUP($C300,청소코드!$C$4:$J$188,3,FALSE)</f>
        <v>#N/A</v>
      </c>
      <c r="E300" s="29" t="e">
        <f>VLOOKUP($C300,청소코드!$C$4:$J$188,4,FALSE)</f>
        <v>#N/A</v>
      </c>
      <c r="F300" s="29"/>
      <c r="G300" s="29"/>
      <c r="H300" s="29"/>
      <c r="I300" s="29"/>
      <c r="J300" s="47" t="e">
        <f t="shared" si="421"/>
        <v>#N/A</v>
      </c>
      <c r="K300" s="29" t="e">
        <f>VLOOKUP($C300,청소코드!$C$4:$J$188,8,FALSE)</f>
        <v>#N/A</v>
      </c>
      <c r="L300" s="32"/>
      <c r="M300" s="31"/>
      <c r="N300" s="32"/>
      <c r="O300" s="32"/>
    </row>
    <row r="301" spans="1:15" ht="12.75" customHeight="1">
      <c r="A301" s="30"/>
      <c r="B301" s="29" t="str">
        <f t="shared" si="420"/>
        <v>토</v>
      </c>
      <c r="C301" s="29"/>
      <c r="D301" s="29" t="e">
        <f>VLOOKUP($C301,청소코드!$C$4:$J$188,3,FALSE)</f>
        <v>#N/A</v>
      </c>
      <c r="E301" s="29" t="e">
        <f>VLOOKUP($C301,청소코드!$C$4:$J$188,4,FALSE)</f>
        <v>#N/A</v>
      </c>
      <c r="F301" s="29"/>
      <c r="G301" s="29"/>
      <c r="H301" s="29"/>
      <c r="I301" s="29"/>
      <c r="J301" s="47" t="e">
        <f t="shared" si="421"/>
        <v>#N/A</v>
      </c>
      <c r="K301" s="29" t="e">
        <f>VLOOKUP($C301,청소코드!$C$4:$J$188,8,FALSE)</f>
        <v>#N/A</v>
      </c>
      <c r="L301" s="32"/>
      <c r="M301" s="31"/>
      <c r="N301" s="32"/>
      <c r="O301" s="32"/>
    </row>
    <row r="302" spans="1:15" ht="12.75" customHeight="1">
      <c r="A302" s="30"/>
      <c r="B302" s="29" t="str">
        <f t="shared" si="420"/>
        <v>토</v>
      </c>
      <c r="C302" s="29"/>
      <c r="D302" s="29" t="e">
        <f>VLOOKUP($C302,청소코드!$C$4:$J$188,3,FALSE)</f>
        <v>#N/A</v>
      </c>
      <c r="E302" s="29" t="e">
        <f>VLOOKUP($C302,청소코드!$C$4:$J$188,4,FALSE)</f>
        <v>#N/A</v>
      </c>
      <c r="F302" s="29"/>
      <c r="G302" s="29"/>
      <c r="H302" s="29"/>
      <c r="I302" s="29"/>
      <c r="J302" s="47" t="e">
        <f t="shared" si="421"/>
        <v>#N/A</v>
      </c>
      <c r="K302" s="29" t="e">
        <f>VLOOKUP($C302,청소코드!$C$4:$J$188,8,FALSE)</f>
        <v>#N/A</v>
      </c>
      <c r="L302" s="32"/>
      <c r="M302" s="31"/>
      <c r="N302" s="32"/>
      <c r="O302" s="32"/>
    </row>
    <row r="303" spans="1:15" ht="12.75" customHeight="1">
      <c r="A303" s="30"/>
      <c r="B303" s="29" t="str">
        <f t="shared" si="420"/>
        <v>토</v>
      </c>
      <c r="C303" s="29"/>
      <c r="D303" s="29" t="e">
        <f>VLOOKUP($C303,청소코드!$C$4:$J$188,3,FALSE)</f>
        <v>#N/A</v>
      </c>
      <c r="E303" s="29" t="e">
        <f>VLOOKUP($C303,청소코드!$C$4:$J$188,4,FALSE)</f>
        <v>#N/A</v>
      </c>
      <c r="F303" s="29"/>
      <c r="G303" s="29"/>
      <c r="H303" s="29"/>
      <c r="I303" s="29"/>
      <c r="J303" s="47" t="e">
        <f t="shared" si="421"/>
        <v>#N/A</v>
      </c>
      <c r="K303" s="29" t="e">
        <f>VLOOKUP($C303,청소코드!$C$4:$J$188,8,FALSE)</f>
        <v>#N/A</v>
      </c>
      <c r="L303" s="32"/>
      <c r="M303" s="31"/>
      <c r="N303" s="32"/>
      <c r="O303" s="32"/>
    </row>
    <row r="304" spans="1:15" ht="12.75" customHeight="1">
      <c r="A304" s="30"/>
      <c r="B304" s="29" t="str">
        <f t="shared" si="420"/>
        <v>토</v>
      </c>
      <c r="C304" s="29"/>
      <c r="D304" s="29" t="e">
        <f>VLOOKUP($C304,청소코드!$C$4:$J$188,3,FALSE)</f>
        <v>#N/A</v>
      </c>
      <c r="E304" s="29" t="e">
        <f>VLOOKUP($C304,청소코드!$C$4:$J$188,4,FALSE)</f>
        <v>#N/A</v>
      </c>
      <c r="F304" s="29"/>
      <c r="G304" s="29"/>
      <c r="H304" s="29"/>
      <c r="I304" s="29"/>
      <c r="J304" s="47" t="e">
        <f t="shared" si="421"/>
        <v>#N/A</v>
      </c>
      <c r="K304" s="29" t="e">
        <f>VLOOKUP($C304,청소코드!$C$4:$J$188,8,FALSE)</f>
        <v>#N/A</v>
      </c>
      <c r="L304" s="32"/>
      <c r="M304" s="31"/>
      <c r="N304" s="32"/>
      <c r="O304" s="32"/>
    </row>
    <row r="305" spans="1:15" ht="12.75" customHeight="1">
      <c r="A305" s="30"/>
      <c r="B305" s="29" t="str">
        <f t="shared" si="420"/>
        <v>토</v>
      </c>
      <c r="C305" s="29"/>
      <c r="D305" s="29" t="e">
        <f>VLOOKUP($C305,청소코드!$C$4:$J$188,3,FALSE)</f>
        <v>#N/A</v>
      </c>
      <c r="E305" s="29" t="e">
        <f>VLOOKUP($C305,청소코드!$C$4:$J$188,4,FALSE)</f>
        <v>#N/A</v>
      </c>
      <c r="F305" s="29"/>
      <c r="G305" s="29"/>
      <c r="H305" s="29"/>
      <c r="I305" s="29"/>
      <c r="J305" s="47" t="e">
        <f t="shared" si="421"/>
        <v>#N/A</v>
      </c>
      <c r="K305" s="29" t="e">
        <f>VLOOKUP($C305,청소코드!$C$4:$J$188,8,FALSE)</f>
        <v>#N/A</v>
      </c>
      <c r="L305" s="32"/>
      <c r="M305" s="31"/>
      <c r="N305" s="32"/>
      <c r="O305" s="32"/>
    </row>
    <row r="306" spans="1:15" ht="12.75" customHeight="1">
      <c r="A306" s="30"/>
      <c r="B306" s="29" t="str">
        <f t="shared" si="420"/>
        <v>토</v>
      </c>
      <c r="C306" s="29"/>
      <c r="D306" s="29" t="e">
        <f>VLOOKUP($C306,청소코드!$C$4:$J$188,3,FALSE)</f>
        <v>#N/A</v>
      </c>
      <c r="E306" s="29" t="e">
        <f>VLOOKUP($C306,청소코드!$C$4:$J$188,4,FALSE)</f>
        <v>#N/A</v>
      </c>
      <c r="F306" s="29"/>
      <c r="G306" s="29"/>
      <c r="H306" s="29"/>
      <c r="I306" s="29"/>
      <c r="J306" s="47" t="e">
        <f t="shared" si="421"/>
        <v>#N/A</v>
      </c>
      <c r="K306" s="29" t="e">
        <f>VLOOKUP($C306,청소코드!$C$4:$J$188,8,FALSE)</f>
        <v>#N/A</v>
      </c>
      <c r="L306" s="32"/>
      <c r="M306" s="31"/>
      <c r="N306" s="32"/>
      <c r="O306" s="32"/>
    </row>
    <row r="307" spans="1:15" ht="12.75" customHeight="1">
      <c r="A307" s="30"/>
      <c r="B307" s="29" t="str">
        <f t="shared" si="420"/>
        <v>토</v>
      </c>
      <c r="C307" s="29"/>
      <c r="D307" s="29" t="e">
        <f>VLOOKUP($C307,청소코드!$C$4:$J$188,3,FALSE)</f>
        <v>#N/A</v>
      </c>
      <c r="E307" s="29" t="e">
        <f>VLOOKUP($C307,청소코드!$C$4:$J$188,4,FALSE)</f>
        <v>#N/A</v>
      </c>
      <c r="F307" s="29"/>
      <c r="G307" s="29"/>
      <c r="H307" s="29"/>
      <c r="I307" s="29"/>
      <c r="J307" s="47" t="e">
        <f t="shared" si="421"/>
        <v>#N/A</v>
      </c>
      <c r="K307" s="29" t="e">
        <f>VLOOKUP($C307,청소코드!$C$4:$J$188,8,FALSE)</f>
        <v>#N/A</v>
      </c>
      <c r="L307" s="32"/>
      <c r="M307" s="31"/>
      <c r="N307" s="32"/>
      <c r="O307" s="32"/>
    </row>
    <row r="308" spans="1:15" ht="12.75" customHeight="1">
      <c r="A308" s="30"/>
      <c r="B308" s="29" t="str">
        <f t="shared" si="420"/>
        <v>토</v>
      </c>
      <c r="C308" s="29"/>
      <c r="D308" s="29" t="e">
        <f>VLOOKUP($C308,청소코드!$C$4:$J$188,3,FALSE)</f>
        <v>#N/A</v>
      </c>
      <c r="E308" s="29" t="e">
        <f>VLOOKUP($C308,청소코드!$C$4:$J$188,4,FALSE)</f>
        <v>#N/A</v>
      </c>
      <c r="F308" s="29"/>
      <c r="G308" s="29"/>
      <c r="H308" s="29"/>
      <c r="I308" s="29"/>
      <c r="J308" s="47" t="e">
        <f t="shared" si="421"/>
        <v>#N/A</v>
      </c>
      <c r="K308" s="29" t="e">
        <f>VLOOKUP($C308,청소코드!$C$4:$J$188,8,FALSE)</f>
        <v>#N/A</v>
      </c>
      <c r="L308" s="32"/>
      <c r="M308" s="31"/>
      <c r="N308" s="32"/>
      <c r="O308" s="32"/>
    </row>
    <row r="309" spans="1:15" ht="12.75" customHeight="1">
      <c r="A309" s="30"/>
      <c r="B309" s="29" t="str">
        <f t="shared" si="420"/>
        <v>토</v>
      </c>
      <c r="C309" s="29"/>
      <c r="D309" s="29" t="e">
        <f>VLOOKUP($C309,청소코드!$C$4:$J$188,3,FALSE)</f>
        <v>#N/A</v>
      </c>
      <c r="E309" s="29" t="e">
        <f>VLOOKUP($C309,청소코드!$C$4:$J$188,4,FALSE)</f>
        <v>#N/A</v>
      </c>
      <c r="F309" s="29"/>
      <c r="G309" s="29"/>
      <c r="H309" s="29"/>
      <c r="I309" s="29"/>
      <c r="J309" s="47" t="e">
        <f t="shared" si="421"/>
        <v>#N/A</v>
      </c>
      <c r="K309" s="29" t="e">
        <f>VLOOKUP($C309,청소코드!$C$4:$J$188,8,FALSE)</f>
        <v>#N/A</v>
      </c>
      <c r="L309" s="32"/>
      <c r="M309" s="31"/>
      <c r="N309" s="32"/>
      <c r="O309" s="32"/>
    </row>
    <row r="310" spans="1:15" ht="12.75" customHeight="1">
      <c r="A310" s="30"/>
      <c r="B310" s="29" t="str">
        <f t="shared" si="420"/>
        <v>토</v>
      </c>
      <c r="C310" s="29"/>
      <c r="D310" s="29" t="e">
        <f>VLOOKUP($C310,청소코드!$C$4:$J$188,3,FALSE)</f>
        <v>#N/A</v>
      </c>
      <c r="E310" s="29" t="e">
        <f>VLOOKUP($C310,청소코드!$C$4:$J$188,4,FALSE)</f>
        <v>#N/A</v>
      </c>
      <c r="F310" s="29"/>
      <c r="G310" s="29"/>
      <c r="H310" s="29"/>
      <c r="I310" s="29"/>
      <c r="J310" s="47" t="e">
        <f t="shared" si="421"/>
        <v>#N/A</v>
      </c>
      <c r="K310" s="29" t="e">
        <f>VLOOKUP($C310,청소코드!$C$4:$J$188,8,FALSE)</f>
        <v>#N/A</v>
      </c>
      <c r="L310" s="32"/>
      <c r="M310" s="31"/>
      <c r="N310" s="32"/>
      <c r="O310" s="32"/>
    </row>
    <row r="311" spans="1:15" ht="12.75" customHeight="1">
      <c r="A311" s="30"/>
      <c r="B311" s="29" t="str">
        <f t="shared" si="420"/>
        <v>토</v>
      </c>
      <c r="C311" s="29"/>
      <c r="D311" s="29" t="e">
        <f>VLOOKUP($C311,청소코드!$C$4:$J$188,3,FALSE)</f>
        <v>#N/A</v>
      </c>
      <c r="E311" s="29" t="e">
        <f>VLOOKUP($C311,청소코드!$C$4:$J$188,4,FALSE)</f>
        <v>#N/A</v>
      </c>
      <c r="F311" s="29"/>
      <c r="G311" s="29"/>
      <c r="H311" s="29"/>
      <c r="I311" s="29"/>
      <c r="J311" s="47" t="e">
        <f t="shared" si="421"/>
        <v>#N/A</v>
      </c>
      <c r="K311" s="29" t="e">
        <f>VLOOKUP($C311,청소코드!$C$4:$J$188,8,FALSE)</f>
        <v>#N/A</v>
      </c>
      <c r="L311" s="32"/>
      <c r="M311" s="31"/>
      <c r="N311" s="32"/>
      <c r="O311" s="32"/>
    </row>
    <row r="312" spans="1:15" ht="12.75" customHeight="1">
      <c r="A312" s="30"/>
      <c r="B312" s="29" t="str">
        <f t="shared" si="420"/>
        <v>토</v>
      </c>
      <c r="C312" s="29"/>
      <c r="D312" s="29" t="e">
        <f>VLOOKUP($C312,청소코드!$C$4:$J$188,3,FALSE)</f>
        <v>#N/A</v>
      </c>
      <c r="E312" s="29" t="e">
        <f>VLOOKUP($C312,청소코드!$C$4:$J$188,4,FALSE)</f>
        <v>#N/A</v>
      </c>
      <c r="F312" s="29"/>
      <c r="G312" s="29"/>
      <c r="H312" s="29"/>
      <c r="I312" s="29"/>
      <c r="J312" s="47" t="e">
        <f t="shared" si="421"/>
        <v>#N/A</v>
      </c>
      <c r="K312" s="29" t="e">
        <f>VLOOKUP($C312,청소코드!$C$4:$J$188,8,FALSE)</f>
        <v>#N/A</v>
      </c>
      <c r="L312" s="32"/>
      <c r="M312" s="31"/>
      <c r="N312" s="32"/>
      <c r="O312" s="32"/>
    </row>
    <row r="313" spans="1:15" ht="12.75" customHeight="1">
      <c r="A313" s="30"/>
      <c r="B313" s="29" t="str">
        <f t="shared" si="420"/>
        <v>토</v>
      </c>
      <c r="C313" s="29"/>
      <c r="D313" s="29" t="e">
        <f>VLOOKUP($C313,청소코드!$C$4:$J$188,3,FALSE)</f>
        <v>#N/A</v>
      </c>
      <c r="E313" s="29" t="e">
        <f>VLOOKUP($C313,청소코드!$C$4:$J$188,4,FALSE)</f>
        <v>#N/A</v>
      </c>
      <c r="F313" s="29"/>
      <c r="G313" s="29"/>
      <c r="H313" s="29"/>
      <c r="I313" s="29"/>
      <c r="J313" s="47" t="e">
        <f t="shared" si="421"/>
        <v>#N/A</v>
      </c>
      <c r="K313" s="29" t="e">
        <f>VLOOKUP($C313,청소코드!$C$4:$J$188,8,FALSE)</f>
        <v>#N/A</v>
      </c>
      <c r="L313" s="32"/>
      <c r="M313" s="31"/>
      <c r="N313" s="32"/>
      <c r="O313" s="32"/>
    </row>
    <row r="314" spans="1:15" ht="12.75" customHeight="1">
      <c r="A314" s="30"/>
      <c r="B314" s="29" t="str">
        <f t="shared" si="420"/>
        <v>토</v>
      </c>
      <c r="C314" s="29"/>
      <c r="D314" s="29" t="e">
        <f>VLOOKUP($C314,청소코드!$C$4:$J$188,3,FALSE)</f>
        <v>#N/A</v>
      </c>
      <c r="E314" s="29" t="e">
        <f>VLOOKUP($C314,청소코드!$C$4:$J$188,4,FALSE)</f>
        <v>#N/A</v>
      </c>
      <c r="F314" s="29"/>
      <c r="G314" s="29"/>
      <c r="H314" s="29"/>
      <c r="I314" s="29"/>
      <c r="J314" s="47" t="e">
        <f t="shared" si="421"/>
        <v>#N/A</v>
      </c>
      <c r="K314" s="29" t="e">
        <f>VLOOKUP($C314,청소코드!$C$4:$J$188,8,FALSE)</f>
        <v>#N/A</v>
      </c>
      <c r="L314" s="32"/>
      <c r="M314" s="31"/>
      <c r="N314" s="32"/>
      <c r="O314" s="32"/>
    </row>
    <row r="315" spans="1:15" ht="12.75" customHeight="1">
      <c r="A315" s="30"/>
      <c r="B315" s="29" t="str">
        <f t="shared" si="420"/>
        <v>토</v>
      </c>
      <c r="C315" s="29"/>
      <c r="D315" s="29" t="e">
        <f>VLOOKUP($C315,청소코드!$C$4:$J$188,3,FALSE)</f>
        <v>#N/A</v>
      </c>
      <c r="E315" s="29" t="e">
        <f>VLOOKUP($C315,청소코드!$C$4:$J$188,4,FALSE)</f>
        <v>#N/A</v>
      </c>
      <c r="F315" s="29"/>
      <c r="G315" s="29"/>
      <c r="H315" s="29"/>
      <c r="I315" s="29"/>
      <c r="J315" s="47" t="e">
        <f t="shared" si="421"/>
        <v>#N/A</v>
      </c>
      <c r="K315" s="29" t="e">
        <f>VLOOKUP($C315,청소코드!$C$4:$J$188,8,FALSE)</f>
        <v>#N/A</v>
      </c>
      <c r="L315" s="32"/>
      <c r="M315" s="31"/>
      <c r="N315" s="32"/>
      <c r="O315" s="32"/>
    </row>
    <row r="316" spans="1:15" ht="12.75" customHeight="1">
      <c r="A316" s="30"/>
      <c r="B316" s="29" t="str">
        <f t="shared" si="420"/>
        <v>토</v>
      </c>
      <c r="C316" s="29"/>
      <c r="D316" s="29" t="e">
        <f>VLOOKUP($C316,청소코드!$C$4:$J$188,3,FALSE)</f>
        <v>#N/A</v>
      </c>
      <c r="E316" s="29" t="e">
        <f>VLOOKUP($C316,청소코드!$C$4:$J$188,4,FALSE)</f>
        <v>#N/A</v>
      </c>
      <c r="F316" s="29"/>
      <c r="G316" s="29"/>
      <c r="H316" s="29"/>
      <c r="I316" s="29"/>
      <c r="J316" s="47" t="e">
        <f t="shared" si="421"/>
        <v>#N/A</v>
      </c>
      <c r="K316" s="29" t="e">
        <f>VLOOKUP($C316,청소코드!$C$4:$J$188,8,FALSE)</f>
        <v>#N/A</v>
      </c>
      <c r="L316" s="32"/>
      <c r="M316" s="31"/>
      <c r="N316" s="32"/>
      <c r="O316" s="32"/>
    </row>
    <row r="317" spans="1:15" ht="12.75" customHeight="1">
      <c r="A317" s="30"/>
      <c r="B317" s="29" t="str">
        <f t="shared" si="420"/>
        <v>토</v>
      </c>
      <c r="C317" s="29"/>
      <c r="D317" s="29" t="e">
        <f>VLOOKUP($C317,청소코드!$C$4:$J$188,3,FALSE)</f>
        <v>#N/A</v>
      </c>
      <c r="E317" s="29" t="e">
        <f>VLOOKUP($C317,청소코드!$C$4:$J$188,4,FALSE)</f>
        <v>#N/A</v>
      </c>
      <c r="F317" s="29"/>
      <c r="G317" s="29"/>
      <c r="H317" s="29"/>
      <c r="I317" s="29"/>
      <c r="J317" s="47" t="e">
        <f t="shared" si="421"/>
        <v>#N/A</v>
      </c>
      <c r="K317" s="29" t="e">
        <f>VLOOKUP($C317,청소코드!$C$4:$J$188,8,FALSE)</f>
        <v>#N/A</v>
      </c>
      <c r="L317" s="32"/>
      <c r="M317" s="31"/>
      <c r="N317" s="32"/>
      <c r="O317" s="32"/>
    </row>
    <row r="318" spans="1:15" ht="12.75" customHeight="1">
      <c r="A318" s="30"/>
      <c r="B318" s="29" t="str">
        <f t="shared" si="420"/>
        <v>토</v>
      </c>
      <c r="C318" s="29"/>
      <c r="D318" s="29" t="e">
        <f>VLOOKUP($C318,청소코드!$C$4:$J$188,3,FALSE)</f>
        <v>#N/A</v>
      </c>
      <c r="E318" s="29" t="e">
        <f>VLOOKUP($C318,청소코드!$C$4:$J$188,4,FALSE)</f>
        <v>#N/A</v>
      </c>
      <c r="F318" s="29"/>
      <c r="G318" s="29"/>
      <c r="H318" s="29"/>
      <c r="I318" s="29"/>
      <c r="J318" s="47" t="e">
        <f t="shared" si="421"/>
        <v>#N/A</v>
      </c>
      <c r="K318" s="29" t="e">
        <f>VLOOKUP($C318,청소코드!$C$4:$J$188,8,FALSE)</f>
        <v>#N/A</v>
      </c>
      <c r="L318" s="32"/>
      <c r="M318" s="31"/>
      <c r="N318" s="32"/>
      <c r="O318" s="32"/>
    </row>
    <row r="319" spans="1:15" ht="12.75" customHeight="1">
      <c r="A319" s="30"/>
      <c r="B319" s="29" t="str">
        <f t="shared" si="420"/>
        <v>토</v>
      </c>
      <c r="C319" s="29"/>
      <c r="D319" s="29" t="e">
        <f>VLOOKUP($C319,청소코드!$C$4:$J$188,3,FALSE)</f>
        <v>#N/A</v>
      </c>
      <c r="E319" s="29" t="e">
        <f>VLOOKUP($C319,청소코드!$C$4:$J$188,4,FALSE)</f>
        <v>#N/A</v>
      </c>
      <c r="F319" s="29"/>
      <c r="G319" s="29"/>
      <c r="H319" s="29"/>
      <c r="I319" s="29"/>
      <c r="J319" s="47" t="e">
        <f t="shared" si="421"/>
        <v>#N/A</v>
      </c>
      <c r="K319" s="29" t="e">
        <f>VLOOKUP($C319,청소코드!$C$4:$J$188,8,FALSE)</f>
        <v>#N/A</v>
      </c>
      <c r="L319" s="32"/>
      <c r="M319" s="31"/>
      <c r="N319" s="32"/>
      <c r="O319" s="32"/>
    </row>
    <row r="320" spans="1:15" ht="12.75" customHeight="1">
      <c r="A320" s="30"/>
      <c r="B320" s="29" t="str">
        <f t="shared" si="420"/>
        <v>토</v>
      </c>
      <c r="C320" s="29"/>
      <c r="D320" s="29" t="e">
        <f>VLOOKUP($C320,청소코드!$C$4:$J$188,3,FALSE)</f>
        <v>#N/A</v>
      </c>
      <c r="E320" s="29" t="e">
        <f>VLOOKUP($C320,청소코드!$C$4:$J$188,4,FALSE)</f>
        <v>#N/A</v>
      </c>
      <c r="F320" s="29"/>
      <c r="G320" s="29"/>
      <c r="H320" s="29"/>
      <c r="I320" s="29"/>
      <c r="J320" s="47" t="e">
        <f t="shared" si="421"/>
        <v>#N/A</v>
      </c>
      <c r="K320" s="29" t="e">
        <f>VLOOKUP($C320,청소코드!$C$4:$J$188,8,FALSE)</f>
        <v>#N/A</v>
      </c>
      <c r="L320" s="32"/>
      <c r="M320" s="31"/>
      <c r="N320" s="32"/>
      <c r="O320" s="32"/>
    </row>
    <row r="321" spans="1:15" ht="12.75" customHeight="1">
      <c r="A321" s="30"/>
      <c r="B321" s="29" t="str">
        <f t="shared" si="420"/>
        <v>토</v>
      </c>
      <c r="C321" s="29"/>
      <c r="D321" s="29" t="e">
        <f>VLOOKUP($C321,청소코드!$C$4:$J$188,3,FALSE)</f>
        <v>#N/A</v>
      </c>
      <c r="E321" s="29" t="e">
        <f>VLOOKUP($C321,청소코드!$C$4:$J$188,4,FALSE)</f>
        <v>#N/A</v>
      </c>
      <c r="F321" s="29"/>
      <c r="G321" s="29"/>
      <c r="H321" s="29"/>
      <c r="I321" s="29"/>
      <c r="J321" s="47" t="e">
        <f t="shared" si="421"/>
        <v>#N/A</v>
      </c>
      <c r="K321" s="29" t="e">
        <f>VLOOKUP($C321,청소코드!$C$4:$J$188,8,FALSE)</f>
        <v>#N/A</v>
      </c>
      <c r="L321" s="32"/>
      <c r="M321" s="31"/>
      <c r="N321" s="32"/>
      <c r="O321" s="32"/>
    </row>
    <row r="322" spans="1:15" ht="12.75" customHeight="1">
      <c r="A322" s="30"/>
      <c r="B322" s="29" t="str">
        <f t="shared" si="420"/>
        <v>토</v>
      </c>
      <c r="C322" s="29"/>
      <c r="D322" s="29" t="e">
        <f>VLOOKUP($C322,청소코드!$C$4:$J$188,3,FALSE)</f>
        <v>#N/A</v>
      </c>
      <c r="E322" s="29" t="e">
        <f>VLOOKUP($C322,청소코드!$C$4:$J$188,4,FALSE)</f>
        <v>#N/A</v>
      </c>
      <c r="F322" s="29"/>
      <c r="G322" s="29"/>
      <c r="H322" s="29"/>
      <c r="I322" s="29"/>
      <c r="J322" s="47" t="e">
        <f t="shared" si="421"/>
        <v>#N/A</v>
      </c>
      <c r="K322" s="29" t="e">
        <f>VLOOKUP($C322,청소코드!$C$4:$J$188,8,FALSE)</f>
        <v>#N/A</v>
      </c>
      <c r="L322" s="32"/>
      <c r="M322" s="31"/>
      <c r="N322" s="32"/>
      <c r="O322" s="32"/>
    </row>
    <row r="323" spans="1:15" ht="12.75" customHeight="1">
      <c r="A323" s="30"/>
      <c r="B323" s="29" t="str">
        <f t="shared" si="420"/>
        <v>토</v>
      </c>
      <c r="C323" s="29"/>
      <c r="D323" s="29" t="e">
        <f>VLOOKUP($C323,청소코드!$C$4:$J$188,3,FALSE)</f>
        <v>#N/A</v>
      </c>
      <c r="E323" s="29" t="e">
        <f>VLOOKUP($C323,청소코드!$C$4:$J$188,4,FALSE)</f>
        <v>#N/A</v>
      </c>
      <c r="F323" s="29"/>
      <c r="G323" s="29"/>
      <c r="H323" s="29"/>
      <c r="I323" s="29"/>
      <c r="J323" s="47" t="e">
        <f t="shared" si="421"/>
        <v>#N/A</v>
      </c>
      <c r="K323" s="29" t="e">
        <f>VLOOKUP($C323,청소코드!$C$4:$J$188,8,FALSE)</f>
        <v>#N/A</v>
      </c>
      <c r="L323" s="32"/>
      <c r="M323" s="31"/>
      <c r="N323" s="32"/>
      <c r="O323" s="32"/>
    </row>
    <row r="324" spans="1:15" ht="12.75" customHeight="1">
      <c r="A324" s="30"/>
      <c r="B324" s="29" t="str">
        <f t="shared" si="420"/>
        <v>토</v>
      </c>
      <c r="C324" s="29"/>
      <c r="D324" s="29" t="e">
        <f>VLOOKUP($C324,청소코드!$C$4:$J$188,3,FALSE)</f>
        <v>#N/A</v>
      </c>
      <c r="E324" s="29" t="e">
        <f>VLOOKUP($C324,청소코드!$C$4:$J$188,4,FALSE)</f>
        <v>#N/A</v>
      </c>
      <c r="F324" s="29"/>
      <c r="G324" s="29"/>
      <c r="H324" s="29"/>
      <c r="I324" s="29"/>
      <c r="J324" s="47" t="e">
        <f t="shared" si="421"/>
        <v>#N/A</v>
      </c>
      <c r="K324" s="29" t="e">
        <f>VLOOKUP($C324,청소코드!$C$4:$J$188,8,FALSE)</f>
        <v>#N/A</v>
      </c>
      <c r="L324" s="32"/>
      <c r="M324" s="31"/>
      <c r="N324" s="32"/>
      <c r="O324" s="32"/>
    </row>
    <row r="325" spans="1:15" ht="12.75" customHeight="1">
      <c r="A325" s="30"/>
      <c r="B325" s="29" t="str">
        <f t="shared" si="420"/>
        <v>토</v>
      </c>
      <c r="C325" s="29"/>
      <c r="D325" s="29" t="e">
        <f>VLOOKUP($C325,청소코드!$C$4:$J$188,3,FALSE)</f>
        <v>#N/A</v>
      </c>
      <c r="E325" s="29" t="e">
        <f>VLOOKUP($C325,청소코드!$C$4:$J$188,4,FALSE)</f>
        <v>#N/A</v>
      </c>
      <c r="F325" s="29"/>
      <c r="G325" s="29"/>
      <c r="H325" s="29"/>
      <c r="I325" s="29"/>
      <c r="J325" s="47" t="e">
        <f t="shared" si="421"/>
        <v>#N/A</v>
      </c>
      <c r="K325" s="29" t="e">
        <f>VLOOKUP($C325,청소코드!$C$4:$J$188,8,FALSE)</f>
        <v>#N/A</v>
      </c>
      <c r="L325" s="32"/>
      <c r="M325" s="31"/>
      <c r="N325" s="32"/>
      <c r="O325" s="32"/>
    </row>
    <row r="326" spans="1:15" ht="12.75" customHeight="1">
      <c r="A326" s="30"/>
      <c r="B326" s="29" t="str">
        <f t="shared" si="420"/>
        <v>토</v>
      </c>
      <c r="C326" s="29"/>
      <c r="D326" s="29" t="e">
        <f>VLOOKUP($C326,청소코드!$C$4:$J$188,3,FALSE)</f>
        <v>#N/A</v>
      </c>
      <c r="E326" s="29" t="e">
        <f>VLOOKUP($C326,청소코드!$C$4:$J$188,4,FALSE)</f>
        <v>#N/A</v>
      </c>
      <c r="F326" s="29"/>
      <c r="G326" s="29"/>
      <c r="H326" s="29"/>
      <c r="I326" s="29"/>
      <c r="J326" s="47" t="e">
        <f t="shared" si="421"/>
        <v>#N/A</v>
      </c>
      <c r="K326" s="29" t="e">
        <f>VLOOKUP($C326,청소코드!$C$4:$J$188,8,FALSE)</f>
        <v>#N/A</v>
      </c>
      <c r="L326" s="32"/>
      <c r="M326" s="31"/>
      <c r="N326" s="32"/>
      <c r="O326" s="32"/>
    </row>
    <row r="327" spans="1:15" ht="12.75" customHeight="1">
      <c r="A327" s="30"/>
      <c r="B327" s="29" t="str">
        <f t="shared" si="420"/>
        <v>토</v>
      </c>
      <c r="C327" s="29"/>
      <c r="D327" s="29" t="e">
        <f>VLOOKUP($C327,청소코드!$C$4:$J$188,3,FALSE)</f>
        <v>#N/A</v>
      </c>
      <c r="E327" s="29" t="e">
        <f>VLOOKUP($C327,청소코드!$C$4:$J$188,4,FALSE)</f>
        <v>#N/A</v>
      </c>
      <c r="F327" s="29"/>
      <c r="G327" s="29"/>
      <c r="H327" s="29"/>
      <c r="I327" s="29"/>
      <c r="J327" s="47" t="e">
        <f t="shared" si="421"/>
        <v>#N/A</v>
      </c>
      <c r="K327" s="29" t="e">
        <f>VLOOKUP($C327,청소코드!$C$4:$J$188,8,FALSE)</f>
        <v>#N/A</v>
      </c>
      <c r="L327" s="32"/>
      <c r="M327" s="31"/>
      <c r="N327" s="32"/>
      <c r="O327" s="32"/>
    </row>
    <row r="328" spans="1:15" ht="12.75" customHeight="1">
      <c r="A328" s="30"/>
      <c r="B328" s="29" t="str">
        <f t="shared" si="420"/>
        <v>토</v>
      </c>
      <c r="C328" s="29"/>
      <c r="D328" s="29" t="e">
        <f>VLOOKUP($C328,청소코드!$C$4:$J$188,3,FALSE)</f>
        <v>#N/A</v>
      </c>
      <c r="E328" s="29" t="e">
        <f>VLOOKUP($C328,청소코드!$C$4:$J$188,4,FALSE)</f>
        <v>#N/A</v>
      </c>
      <c r="F328" s="29"/>
      <c r="G328" s="29"/>
      <c r="H328" s="29"/>
      <c r="I328" s="29"/>
      <c r="J328" s="47" t="e">
        <f t="shared" si="421"/>
        <v>#N/A</v>
      </c>
      <c r="K328" s="29" t="e">
        <f>VLOOKUP($C328,청소코드!$C$4:$J$188,8,FALSE)</f>
        <v>#N/A</v>
      </c>
      <c r="L328" s="32"/>
      <c r="M328" s="31"/>
      <c r="N328" s="32"/>
      <c r="O328" s="32"/>
    </row>
    <row r="329" spans="1:15" ht="12.75" customHeight="1">
      <c r="A329" s="30"/>
      <c r="B329" s="29" t="str">
        <f t="shared" si="420"/>
        <v>토</v>
      </c>
      <c r="C329" s="29"/>
      <c r="D329" s="29" t="e">
        <f>VLOOKUP($C329,청소코드!$C$4:$J$188,3,FALSE)</f>
        <v>#N/A</v>
      </c>
      <c r="E329" s="29" t="e">
        <f>VLOOKUP($C329,청소코드!$C$4:$J$188,4,FALSE)</f>
        <v>#N/A</v>
      </c>
      <c r="F329" s="29"/>
      <c r="G329" s="29"/>
      <c r="H329" s="29"/>
      <c r="I329" s="29"/>
      <c r="J329" s="47" t="e">
        <f t="shared" si="421"/>
        <v>#N/A</v>
      </c>
      <c r="K329" s="29" t="e">
        <f>VLOOKUP($C329,청소코드!$C$4:$J$188,8,FALSE)</f>
        <v>#N/A</v>
      </c>
      <c r="L329" s="32"/>
      <c r="M329" s="31"/>
      <c r="N329" s="32"/>
      <c r="O329" s="32"/>
    </row>
    <row r="330" spans="1:15" ht="12.75" customHeight="1">
      <c r="A330" s="30"/>
      <c r="B330" s="29" t="str">
        <f t="shared" si="420"/>
        <v>토</v>
      </c>
      <c r="C330" s="29"/>
      <c r="D330" s="29" t="e">
        <f>VLOOKUP($C330,청소코드!$C$4:$J$188,3,FALSE)</f>
        <v>#N/A</v>
      </c>
      <c r="E330" s="29" t="e">
        <f>VLOOKUP($C330,청소코드!$C$4:$J$188,4,FALSE)</f>
        <v>#N/A</v>
      </c>
      <c r="F330" s="29"/>
      <c r="G330" s="29"/>
      <c r="H330" s="29"/>
      <c r="I330" s="29"/>
      <c r="J330" s="47" t="e">
        <f t="shared" si="421"/>
        <v>#N/A</v>
      </c>
      <c r="K330" s="29" t="e">
        <f>VLOOKUP($C330,청소코드!$C$4:$J$188,8,FALSE)</f>
        <v>#N/A</v>
      </c>
      <c r="L330" s="32"/>
      <c r="M330" s="31"/>
      <c r="N330" s="32"/>
      <c r="O330" s="32"/>
    </row>
    <row r="331" spans="1:15" ht="12.75" customHeight="1">
      <c r="A331" s="30"/>
      <c r="B331" s="29" t="str">
        <f t="shared" si="420"/>
        <v>토</v>
      </c>
      <c r="C331" s="29"/>
      <c r="D331" s="29" t="e">
        <f>VLOOKUP($C331,청소코드!$C$4:$J$188,3,FALSE)</f>
        <v>#N/A</v>
      </c>
      <c r="E331" s="29" t="e">
        <f>VLOOKUP($C331,청소코드!$C$4:$J$188,4,FALSE)</f>
        <v>#N/A</v>
      </c>
      <c r="F331" s="29"/>
      <c r="G331" s="29"/>
      <c r="H331" s="29"/>
      <c r="I331" s="29"/>
      <c r="J331" s="47" t="e">
        <f t="shared" si="421"/>
        <v>#N/A</v>
      </c>
      <c r="K331" s="29" t="e">
        <f>VLOOKUP($C331,청소코드!$C$4:$J$188,8,FALSE)</f>
        <v>#N/A</v>
      </c>
      <c r="L331" s="32"/>
      <c r="M331" s="31"/>
      <c r="N331" s="32"/>
      <c r="O331" s="32"/>
    </row>
    <row r="332" spans="1:15" ht="12.75" customHeight="1">
      <c r="A332" s="30"/>
      <c r="B332" s="29" t="str">
        <f t="shared" si="420"/>
        <v>토</v>
      </c>
      <c r="C332" s="29"/>
      <c r="D332" s="29" t="e">
        <f>VLOOKUP($C332,청소코드!$C$4:$J$188,3,FALSE)</f>
        <v>#N/A</v>
      </c>
      <c r="E332" s="29" t="e">
        <f>VLOOKUP($C332,청소코드!$C$4:$J$188,4,FALSE)</f>
        <v>#N/A</v>
      </c>
      <c r="F332" s="29"/>
      <c r="G332" s="29"/>
      <c r="H332" s="29"/>
      <c r="I332" s="29"/>
      <c r="J332" s="47" t="e">
        <f t="shared" si="421"/>
        <v>#N/A</v>
      </c>
      <c r="K332" s="29" t="e">
        <f>VLOOKUP($C332,청소코드!$C$4:$J$188,8,FALSE)</f>
        <v>#N/A</v>
      </c>
      <c r="L332" s="32"/>
      <c r="M332" s="31"/>
      <c r="N332" s="32"/>
      <c r="O332" s="32"/>
    </row>
    <row r="333" spans="1:15" ht="12.75" customHeight="1">
      <c r="A333" s="30"/>
      <c r="B333" s="29" t="str">
        <f t="shared" si="420"/>
        <v>토</v>
      </c>
      <c r="C333" s="29"/>
      <c r="D333" s="29" t="e">
        <f>VLOOKUP($C333,청소코드!$C$4:$J$188,3,FALSE)</f>
        <v>#N/A</v>
      </c>
      <c r="E333" s="29" t="e">
        <f>VLOOKUP($C333,청소코드!$C$4:$J$188,4,FALSE)</f>
        <v>#N/A</v>
      </c>
      <c r="F333" s="29"/>
      <c r="G333" s="29"/>
      <c r="H333" s="29"/>
      <c r="I333" s="29"/>
      <c r="J333" s="47" t="e">
        <f t="shared" si="421"/>
        <v>#N/A</v>
      </c>
      <c r="K333" s="29" t="e">
        <f>VLOOKUP($C333,청소코드!$C$4:$J$188,8,FALSE)</f>
        <v>#N/A</v>
      </c>
      <c r="L333" s="32"/>
      <c r="M333" s="31"/>
      <c r="N333" s="32"/>
      <c r="O333" s="32"/>
    </row>
    <row r="334" spans="1:15" ht="12.75" customHeight="1">
      <c r="A334" s="30"/>
      <c r="B334" s="29" t="str">
        <f t="shared" si="420"/>
        <v>토</v>
      </c>
      <c r="C334" s="29"/>
      <c r="D334" s="29" t="e">
        <f>VLOOKUP($C334,청소코드!$C$4:$J$188,3,FALSE)</f>
        <v>#N/A</v>
      </c>
      <c r="E334" s="29" t="e">
        <f>VLOOKUP($C334,청소코드!$C$4:$J$188,4,FALSE)</f>
        <v>#N/A</v>
      </c>
      <c r="F334" s="29"/>
      <c r="G334" s="29"/>
      <c r="H334" s="29"/>
      <c r="I334" s="29"/>
      <c r="J334" s="47" t="e">
        <f t="shared" si="421"/>
        <v>#N/A</v>
      </c>
      <c r="K334" s="29" t="e">
        <f>VLOOKUP($C334,청소코드!$C$4:$J$188,8,FALSE)</f>
        <v>#N/A</v>
      </c>
      <c r="L334" s="32"/>
      <c r="M334" s="31"/>
      <c r="N334" s="32"/>
      <c r="O334" s="32"/>
    </row>
    <row r="335" spans="1:15" ht="12.75" customHeight="1">
      <c r="A335" s="30"/>
      <c r="B335" s="29" t="str">
        <f t="shared" si="420"/>
        <v>토</v>
      </c>
      <c r="C335" s="29"/>
      <c r="D335" s="29" t="e">
        <f>VLOOKUP($C335,청소코드!$C$4:$J$188,3,FALSE)</f>
        <v>#N/A</v>
      </c>
      <c r="E335" s="29" t="e">
        <f>VLOOKUP($C335,청소코드!$C$4:$J$188,4,FALSE)</f>
        <v>#N/A</v>
      </c>
      <c r="F335" s="29"/>
      <c r="G335" s="29"/>
      <c r="H335" s="29"/>
      <c r="I335" s="29"/>
      <c r="J335" s="47" t="e">
        <f t="shared" si="421"/>
        <v>#N/A</v>
      </c>
      <c r="K335" s="29" t="e">
        <f>VLOOKUP($C335,청소코드!$C$4:$J$188,8,FALSE)</f>
        <v>#N/A</v>
      </c>
      <c r="L335" s="32"/>
      <c r="M335" s="31"/>
      <c r="N335" s="32"/>
      <c r="O335" s="32"/>
    </row>
    <row r="336" spans="1:15" ht="12.75" customHeight="1">
      <c r="A336" s="30"/>
      <c r="B336" s="29" t="str">
        <f t="shared" si="420"/>
        <v>토</v>
      </c>
      <c r="C336" s="29"/>
      <c r="D336" s="29" t="e">
        <f>VLOOKUP($C336,청소코드!$C$4:$J$188,3,FALSE)</f>
        <v>#N/A</v>
      </c>
      <c r="E336" s="29" t="e">
        <f>VLOOKUP($C336,청소코드!$C$4:$J$188,4,FALSE)</f>
        <v>#N/A</v>
      </c>
      <c r="F336" s="29"/>
      <c r="G336" s="29"/>
      <c r="H336" s="29"/>
      <c r="I336" s="29"/>
      <c r="J336" s="47" t="e">
        <f t="shared" si="421"/>
        <v>#N/A</v>
      </c>
      <c r="K336" s="29" t="e">
        <f>VLOOKUP($C336,청소코드!$C$4:$J$188,8,FALSE)</f>
        <v>#N/A</v>
      </c>
      <c r="L336" s="32"/>
      <c r="M336" s="31"/>
      <c r="N336" s="32"/>
      <c r="O336" s="32"/>
    </row>
    <row r="337" spans="1:15" ht="12.75" customHeight="1">
      <c r="A337" s="30"/>
      <c r="B337" s="29" t="str">
        <f t="shared" si="420"/>
        <v>토</v>
      </c>
      <c r="C337" s="29"/>
      <c r="D337" s="29" t="e">
        <f>VLOOKUP($C337,청소코드!$C$4:$J$188,3,FALSE)</f>
        <v>#N/A</v>
      </c>
      <c r="E337" s="29" t="e">
        <f>VLOOKUP($C337,청소코드!$C$4:$J$188,4,FALSE)</f>
        <v>#N/A</v>
      </c>
      <c r="F337" s="29"/>
      <c r="G337" s="29"/>
      <c r="H337" s="29"/>
      <c r="I337" s="29"/>
      <c r="J337" s="47" t="e">
        <f t="shared" si="421"/>
        <v>#N/A</v>
      </c>
      <c r="K337" s="29" t="e">
        <f>VLOOKUP($C337,청소코드!$C$4:$J$188,8,FALSE)</f>
        <v>#N/A</v>
      </c>
      <c r="L337" s="32"/>
      <c r="M337" s="31"/>
      <c r="N337" s="32"/>
      <c r="O337" s="32"/>
    </row>
    <row r="338" spans="1:15" ht="12.75" customHeight="1">
      <c r="A338" s="30"/>
      <c r="B338" s="45"/>
      <c r="C338" s="45"/>
      <c r="D338" s="45"/>
      <c r="E338" s="45"/>
      <c r="F338" s="45"/>
      <c r="G338" s="45"/>
      <c r="H338" s="34"/>
      <c r="I338" s="34"/>
      <c r="J338" s="33" t="e">
        <f>SUM(J$3:J$1048576)</f>
        <v>#N/A</v>
      </c>
      <c r="K338" s="29" t="e">
        <f>VLOOKUP($C338,청소코드!$C$4:$J$188,8,FALSE)</f>
        <v>#N/A</v>
      </c>
      <c r="L338" s="33">
        <f>SUM(L261:L337)</f>
        <v>0</v>
      </c>
      <c r="M338" s="33">
        <f>SUM(M261:M337)</f>
        <v>0</v>
      </c>
      <c r="N338" s="33">
        <f>SUM(N261:N337)</f>
        <v>0</v>
      </c>
      <c r="O338" s="33">
        <f>SUM(O261:O337)</f>
        <v>0</v>
      </c>
    </row>
  </sheetData>
  <autoFilter ref="A2:O338" xr:uid="{00000000-0009-0000-0000-000004000000}"/>
  <phoneticPr fontId="12" type="noConversion"/>
  <pageMargins left="0.69972223043441772" right="0.69972223043441772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291F-DB8B-4936-A806-AD3B903EB2BF}">
  <dimension ref="A2:L69"/>
  <sheetViews>
    <sheetView topLeftCell="A42" zoomScaleNormal="100" workbookViewId="0">
      <selection activeCell="D62" sqref="D62"/>
    </sheetView>
  </sheetViews>
  <sheetFormatPr defaultRowHeight="12.75"/>
  <cols>
    <col min="1" max="1" width="11.42578125" bestFit="1" customWidth="1"/>
    <col min="2" max="2" width="15.5703125" bestFit="1" customWidth="1"/>
    <col min="3" max="3" width="15.7109375" bestFit="1" customWidth="1"/>
    <col min="4" max="4" width="12" bestFit="1" customWidth="1"/>
    <col min="5" max="5" width="16.42578125" bestFit="1" customWidth="1"/>
    <col min="7" max="7" width="12" bestFit="1" customWidth="1"/>
    <col min="8" max="8" width="16.42578125" bestFit="1" customWidth="1"/>
    <col min="10" max="10" width="11.42578125" bestFit="1" customWidth="1"/>
    <col min="11" max="11" width="15.5703125" bestFit="1" customWidth="1"/>
  </cols>
  <sheetData>
    <row r="2" spans="1:12" ht="13.5">
      <c r="A2" s="80" t="s">
        <v>588</v>
      </c>
      <c r="B2" s="80" t="s">
        <v>589</v>
      </c>
      <c r="D2" s="80" t="s">
        <v>590</v>
      </c>
      <c r="E2" s="80" t="s">
        <v>591</v>
      </c>
      <c r="G2" s="80" t="s">
        <v>592</v>
      </c>
      <c r="H2" s="80" t="s">
        <v>593</v>
      </c>
      <c r="J2" s="80" t="s">
        <v>592</v>
      </c>
      <c r="K2" s="80" t="s">
        <v>594</v>
      </c>
    </row>
    <row r="3" spans="1:12">
      <c r="A3" s="51" t="s">
        <v>433</v>
      </c>
      <c r="B3" t="s">
        <v>435</v>
      </c>
      <c r="D3" s="51" t="s">
        <v>433</v>
      </c>
      <c r="E3" t="s">
        <v>435</v>
      </c>
      <c r="G3" s="51" t="s">
        <v>433</v>
      </c>
      <c r="H3" t="s">
        <v>435</v>
      </c>
      <c r="J3" s="51" t="s">
        <v>433</v>
      </c>
      <c r="K3" t="s">
        <v>435</v>
      </c>
    </row>
    <row r="4" spans="1:12" ht="13.5">
      <c r="A4" s="52" t="s">
        <v>407</v>
      </c>
      <c r="B4">
        <v>201000</v>
      </c>
      <c r="C4" s="57" t="s">
        <v>439</v>
      </c>
      <c r="D4" s="52" t="s">
        <v>407</v>
      </c>
      <c r="E4" s="56">
        <v>260000</v>
      </c>
      <c r="F4" s="57" t="s">
        <v>439</v>
      </c>
      <c r="G4" s="52" t="s">
        <v>407</v>
      </c>
      <c r="H4">
        <v>376000</v>
      </c>
      <c r="I4" s="11" t="s">
        <v>439</v>
      </c>
      <c r="J4" s="52" t="s">
        <v>134</v>
      </c>
      <c r="K4" s="56">
        <v>100000</v>
      </c>
      <c r="L4" s="81" t="s">
        <v>439</v>
      </c>
    </row>
    <row r="5" spans="1:12" ht="13.5">
      <c r="A5" s="52" t="s">
        <v>141</v>
      </c>
      <c r="B5">
        <v>25000</v>
      </c>
      <c r="C5" s="57" t="s">
        <v>439</v>
      </c>
      <c r="D5" s="52" t="s">
        <v>44</v>
      </c>
      <c r="E5" s="56">
        <v>406000</v>
      </c>
      <c r="F5" s="57" t="s">
        <v>439</v>
      </c>
      <c r="G5" s="52" t="s">
        <v>141</v>
      </c>
      <c r="H5">
        <v>25000</v>
      </c>
      <c r="I5" s="58" t="s">
        <v>439</v>
      </c>
      <c r="J5" s="52" t="s">
        <v>407</v>
      </c>
      <c r="K5" s="56">
        <v>220000</v>
      </c>
      <c r="L5" s="59" t="s">
        <v>431</v>
      </c>
    </row>
    <row r="6" spans="1:12" ht="13.5">
      <c r="A6" s="52" t="s">
        <v>44</v>
      </c>
      <c r="B6">
        <v>325000</v>
      </c>
      <c r="C6" s="57" t="s">
        <v>439</v>
      </c>
      <c r="D6" s="52" t="s">
        <v>89</v>
      </c>
      <c r="E6" s="56">
        <v>149000</v>
      </c>
      <c r="F6" s="57" t="s">
        <v>439</v>
      </c>
      <c r="G6" s="52" t="s">
        <v>44</v>
      </c>
      <c r="H6">
        <v>345000</v>
      </c>
      <c r="I6" s="59" t="s">
        <v>431</v>
      </c>
      <c r="J6" s="52" t="s">
        <v>580</v>
      </c>
      <c r="K6" s="56">
        <v>90800</v>
      </c>
      <c r="L6" s="59" t="s">
        <v>431</v>
      </c>
    </row>
    <row r="7" spans="1:12" ht="13.5">
      <c r="A7" s="52" t="s">
        <v>89</v>
      </c>
      <c r="B7">
        <v>134000</v>
      </c>
      <c r="C7" s="57" t="s">
        <v>439</v>
      </c>
      <c r="D7" s="52" t="s">
        <v>77</v>
      </c>
      <c r="E7" s="56">
        <v>418000</v>
      </c>
      <c r="F7" s="57" t="s">
        <v>439</v>
      </c>
      <c r="G7" s="52" t="s">
        <v>89</v>
      </c>
      <c r="H7">
        <v>150000</v>
      </c>
      <c r="I7" s="59" t="s">
        <v>431</v>
      </c>
      <c r="J7" s="52" t="s">
        <v>44</v>
      </c>
      <c r="K7" s="56">
        <v>366000</v>
      </c>
      <c r="L7" s="59" t="s">
        <v>431</v>
      </c>
    </row>
    <row r="8" spans="1:12" ht="13.5">
      <c r="A8" s="52" t="s">
        <v>77</v>
      </c>
      <c r="B8">
        <v>431000</v>
      </c>
      <c r="C8" s="57" t="s">
        <v>439</v>
      </c>
      <c r="D8" s="52" t="s">
        <v>27</v>
      </c>
      <c r="E8" s="56">
        <v>286000</v>
      </c>
      <c r="F8" s="57" t="s">
        <v>439</v>
      </c>
      <c r="G8" s="52" t="s">
        <v>77</v>
      </c>
      <c r="H8">
        <v>363000</v>
      </c>
      <c r="I8" s="59" t="s">
        <v>431</v>
      </c>
      <c r="J8" s="52" t="s">
        <v>89</v>
      </c>
      <c r="K8" s="56">
        <v>132000</v>
      </c>
      <c r="L8" s="59" t="s">
        <v>431</v>
      </c>
    </row>
    <row r="9" spans="1:12" ht="13.5">
      <c r="A9" s="52" t="s">
        <v>27</v>
      </c>
      <c r="B9">
        <v>308000</v>
      </c>
      <c r="C9" s="57" t="s">
        <v>439</v>
      </c>
      <c r="D9" s="52" t="s">
        <v>100</v>
      </c>
      <c r="E9" s="56">
        <v>448000</v>
      </c>
      <c r="F9" s="57" t="s">
        <v>439</v>
      </c>
      <c r="G9" s="52" t="s">
        <v>27</v>
      </c>
      <c r="H9">
        <v>299000</v>
      </c>
      <c r="I9" s="59" t="s">
        <v>431</v>
      </c>
      <c r="J9" s="52" t="s">
        <v>77</v>
      </c>
      <c r="K9" s="56">
        <v>116000</v>
      </c>
      <c r="L9" s="59" t="s">
        <v>431</v>
      </c>
    </row>
    <row r="10" spans="1:12" ht="13.5">
      <c r="A10" s="52" t="s">
        <v>100</v>
      </c>
      <c r="B10">
        <v>404000</v>
      </c>
      <c r="C10" s="57" t="s">
        <v>439</v>
      </c>
      <c r="D10" s="52" t="s">
        <v>152</v>
      </c>
      <c r="E10" s="56">
        <v>131000</v>
      </c>
      <c r="F10" s="57" t="s">
        <v>439</v>
      </c>
      <c r="G10" s="52" t="s">
        <v>100</v>
      </c>
      <c r="H10">
        <v>400000</v>
      </c>
      <c r="I10" s="59" t="s">
        <v>431</v>
      </c>
      <c r="J10" s="52" t="s">
        <v>27</v>
      </c>
      <c r="K10" s="56">
        <v>252000</v>
      </c>
      <c r="L10" s="59" t="s">
        <v>431</v>
      </c>
    </row>
    <row r="11" spans="1:12" ht="13.5">
      <c r="A11" s="52" t="s">
        <v>152</v>
      </c>
      <c r="B11">
        <v>98000</v>
      </c>
      <c r="C11" s="57" t="s">
        <v>439</v>
      </c>
      <c r="D11" s="52" t="s">
        <v>68</v>
      </c>
      <c r="E11" s="56">
        <v>332500</v>
      </c>
      <c r="F11" s="57" t="s">
        <v>439</v>
      </c>
      <c r="G11" s="52" t="s">
        <v>152</v>
      </c>
      <c r="H11">
        <v>137000</v>
      </c>
      <c r="I11" s="59" t="s">
        <v>431</v>
      </c>
      <c r="J11" s="52" t="s">
        <v>100</v>
      </c>
      <c r="K11" s="56">
        <v>405000</v>
      </c>
      <c r="L11" s="59" t="s">
        <v>431</v>
      </c>
    </row>
    <row r="12" spans="1:12" ht="13.5">
      <c r="A12" s="52" t="s">
        <v>68</v>
      </c>
      <c r="B12">
        <v>278500</v>
      </c>
      <c r="C12" s="57" t="s">
        <v>439</v>
      </c>
      <c r="D12" s="52" t="s">
        <v>412</v>
      </c>
      <c r="E12" s="56">
        <v>158000</v>
      </c>
      <c r="F12" s="57" t="s">
        <v>439</v>
      </c>
      <c r="G12" s="52" t="s">
        <v>68</v>
      </c>
      <c r="H12">
        <v>128000</v>
      </c>
      <c r="I12" s="59" t="s">
        <v>431</v>
      </c>
      <c r="J12" s="52" t="s">
        <v>68</v>
      </c>
      <c r="K12" s="56">
        <v>130000</v>
      </c>
      <c r="L12" s="59" t="s">
        <v>431</v>
      </c>
    </row>
    <row r="13" spans="1:12" ht="13.5">
      <c r="A13" s="52" t="s">
        <v>412</v>
      </c>
      <c r="B13">
        <v>184000</v>
      </c>
      <c r="C13" s="57" t="s">
        <v>439</v>
      </c>
      <c r="D13" s="52" t="s">
        <v>150</v>
      </c>
      <c r="E13" s="56">
        <v>31500</v>
      </c>
      <c r="F13" s="57" t="s">
        <v>439</v>
      </c>
      <c r="G13" s="52" t="s">
        <v>412</v>
      </c>
      <c r="H13">
        <v>115000</v>
      </c>
      <c r="I13" s="59" t="s">
        <v>431</v>
      </c>
      <c r="J13" s="52" t="s">
        <v>412</v>
      </c>
      <c r="K13" s="56">
        <v>125000</v>
      </c>
      <c r="L13" s="59" t="s">
        <v>431</v>
      </c>
    </row>
    <row r="14" spans="1:12" ht="13.5">
      <c r="A14" s="52" t="s">
        <v>150</v>
      </c>
      <c r="B14">
        <v>23000</v>
      </c>
      <c r="C14" s="57" t="s">
        <v>439</v>
      </c>
      <c r="D14" s="52" t="s">
        <v>434</v>
      </c>
      <c r="E14" s="56">
        <v>2620000</v>
      </c>
      <c r="F14" s="57"/>
      <c r="G14" s="52" t="s">
        <v>150</v>
      </c>
      <c r="H14">
        <v>27000</v>
      </c>
      <c r="I14" s="59" t="s">
        <v>431</v>
      </c>
      <c r="J14" s="52" t="s">
        <v>434</v>
      </c>
      <c r="K14" s="56">
        <v>1936800</v>
      </c>
    </row>
    <row r="15" spans="1:12">
      <c r="A15" s="52" t="s">
        <v>434</v>
      </c>
      <c r="B15">
        <v>2411500</v>
      </c>
      <c r="G15" s="52" t="s">
        <v>153</v>
      </c>
      <c r="H15">
        <v>40000</v>
      </c>
      <c r="I15" s="58" t="s">
        <v>439</v>
      </c>
    </row>
    <row r="16" spans="1:12">
      <c r="G16" s="52" t="s">
        <v>434</v>
      </c>
      <c r="H16">
        <v>2405000</v>
      </c>
    </row>
    <row r="19" spans="1:12" ht="13.5">
      <c r="A19" s="80" t="s">
        <v>705</v>
      </c>
      <c r="B19" s="80" t="s">
        <v>589</v>
      </c>
      <c r="D19" s="80" t="s">
        <v>726</v>
      </c>
      <c r="E19" s="80" t="s">
        <v>727</v>
      </c>
      <c r="G19" s="80" t="s">
        <v>728</v>
      </c>
      <c r="H19" s="80" t="s">
        <v>729</v>
      </c>
      <c r="J19" s="80" t="s">
        <v>726</v>
      </c>
      <c r="K19" s="80" t="s">
        <v>730</v>
      </c>
    </row>
    <row r="20" spans="1:12">
      <c r="A20" s="51" t="s">
        <v>433</v>
      </c>
      <c r="B20" t="s">
        <v>435</v>
      </c>
      <c r="D20" s="51" t="s">
        <v>433</v>
      </c>
      <c r="E20" t="s">
        <v>435</v>
      </c>
      <c r="G20" s="51" t="s">
        <v>433</v>
      </c>
      <c r="H20" t="s">
        <v>435</v>
      </c>
      <c r="J20" s="51" t="s">
        <v>433</v>
      </c>
      <c r="K20" t="s">
        <v>435</v>
      </c>
    </row>
    <row r="21" spans="1:12" ht="13.5">
      <c r="A21" s="52" t="s">
        <v>407</v>
      </c>
      <c r="B21" s="56">
        <v>157000</v>
      </c>
      <c r="C21" s="57" t="s">
        <v>439</v>
      </c>
      <c r="D21" s="52" t="s">
        <v>407</v>
      </c>
      <c r="E21">
        <v>195000</v>
      </c>
      <c r="G21" s="52" t="s">
        <v>134</v>
      </c>
      <c r="H21">
        <v>40000</v>
      </c>
      <c r="I21" s="58" t="s">
        <v>439</v>
      </c>
      <c r="J21" s="52" t="s">
        <v>134</v>
      </c>
      <c r="K21" s="56">
        <v>82000</v>
      </c>
      <c r="L21" s="57" t="s">
        <v>439</v>
      </c>
    </row>
    <row r="22" spans="1:12" ht="13.5">
      <c r="A22" s="52" t="s">
        <v>580</v>
      </c>
      <c r="B22" s="56">
        <v>101000</v>
      </c>
      <c r="C22" s="57" t="s">
        <v>439</v>
      </c>
      <c r="D22" s="52" t="s">
        <v>580</v>
      </c>
      <c r="E22">
        <v>164000</v>
      </c>
      <c r="G22" s="52" t="s">
        <v>407</v>
      </c>
      <c r="H22">
        <v>214000</v>
      </c>
      <c r="I22" s="59" t="s">
        <v>431</v>
      </c>
      <c r="J22" s="52" t="s">
        <v>407</v>
      </c>
      <c r="K22" s="56">
        <v>124000</v>
      </c>
      <c r="L22" s="59" t="s">
        <v>431</v>
      </c>
    </row>
    <row r="23" spans="1:12" ht="13.5">
      <c r="A23" s="52" t="s">
        <v>706</v>
      </c>
      <c r="B23" s="56">
        <v>30000</v>
      </c>
      <c r="C23" s="57" t="s">
        <v>439</v>
      </c>
      <c r="D23" s="52" t="s">
        <v>706</v>
      </c>
      <c r="E23">
        <v>34000</v>
      </c>
      <c r="G23" s="52" t="s">
        <v>580</v>
      </c>
      <c r="H23">
        <v>63000</v>
      </c>
      <c r="I23" s="59" t="s">
        <v>431</v>
      </c>
      <c r="J23" s="52" t="s">
        <v>580</v>
      </c>
      <c r="K23" s="56">
        <v>80000</v>
      </c>
      <c r="L23" s="59" t="s">
        <v>431</v>
      </c>
    </row>
    <row r="24" spans="1:12" ht="13.5">
      <c r="A24" s="52" t="s">
        <v>44</v>
      </c>
      <c r="B24" s="56">
        <v>257000</v>
      </c>
      <c r="C24" s="57" t="s">
        <v>439</v>
      </c>
      <c r="D24" s="52" t="s">
        <v>44</v>
      </c>
      <c r="E24">
        <v>171000</v>
      </c>
      <c r="G24" s="52" t="s">
        <v>44</v>
      </c>
      <c r="H24">
        <v>144000</v>
      </c>
      <c r="I24" s="59" t="s">
        <v>431</v>
      </c>
      <c r="J24" s="52" t="s">
        <v>706</v>
      </c>
      <c r="K24" s="56">
        <v>84000</v>
      </c>
      <c r="L24" s="59" t="s">
        <v>431</v>
      </c>
    </row>
    <row r="25" spans="1:12" ht="13.5">
      <c r="A25" s="52" t="s">
        <v>89</v>
      </c>
      <c r="B25" s="56">
        <v>192000</v>
      </c>
      <c r="C25" s="57" t="s">
        <v>439</v>
      </c>
      <c r="D25" s="52" t="s">
        <v>89</v>
      </c>
      <c r="E25">
        <v>92000</v>
      </c>
      <c r="G25" s="52" t="s">
        <v>89</v>
      </c>
      <c r="H25">
        <v>87000</v>
      </c>
      <c r="I25" s="59" t="s">
        <v>431</v>
      </c>
      <c r="J25" s="52" t="s">
        <v>44</v>
      </c>
      <c r="K25" s="56">
        <v>234000</v>
      </c>
      <c r="L25" s="59" t="s">
        <v>431</v>
      </c>
    </row>
    <row r="26" spans="1:12" ht="13.5">
      <c r="A26" s="52" t="s">
        <v>77</v>
      </c>
      <c r="B26" s="56">
        <v>184000</v>
      </c>
      <c r="C26" s="57" t="s">
        <v>439</v>
      </c>
      <c r="D26" s="52" t="s">
        <v>77</v>
      </c>
      <c r="E26">
        <v>172000</v>
      </c>
      <c r="G26" s="52" t="s">
        <v>77</v>
      </c>
      <c r="H26">
        <v>299000</v>
      </c>
      <c r="I26" s="59" t="s">
        <v>431</v>
      </c>
      <c r="J26" s="52" t="s">
        <v>89</v>
      </c>
      <c r="K26" s="56">
        <v>133000</v>
      </c>
      <c r="L26" s="59" t="s">
        <v>431</v>
      </c>
    </row>
    <row r="27" spans="1:12" ht="13.5">
      <c r="A27" s="52" t="s">
        <v>27</v>
      </c>
      <c r="B27" s="56">
        <v>169000</v>
      </c>
      <c r="C27" s="57" t="s">
        <v>439</v>
      </c>
      <c r="D27" s="52" t="s">
        <v>27</v>
      </c>
      <c r="E27">
        <v>112000</v>
      </c>
      <c r="G27" s="52" t="s">
        <v>27</v>
      </c>
      <c r="H27">
        <v>151000</v>
      </c>
      <c r="I27" s="59" t="s">
        <v>431</v>
      </c>
      <c r="J27" s="52" t="s">
        <v>77</v>
      </c>
      <c r="K27" s="56">
        <v>184000</v>
      </c>
      <c r="L27" s="59" t="s">
        <v>431</v>
      </c>
    </row>
    <row r="28" spans="1:12" ht="13.5">
      <c r="A28" s="52" t="s">
        <v>100</v>
      </c>
      <c r="B28" s="56">
        <v>341000</v>
      </c>
      <c r="C28" s="57" t="s">
        <v>439</v>
      </c>
      <c r="D28" s="52" t="s">
        <v>100</v>
      </c>
      <c r="E28">
        <v>363000</v>
      </c>
      <c r="G28" s="52" t="s">
        <v>100</v>
      </c>
      <c r="H28">
        <v>263000</v>
      </c>
      <c r="I28" s="59" t="s">
        <v>431</v>
      </c>
      <c r="J28" s="52" t="s">
        <v>27</v>
      </c>
      <c r="K28" s="56">
        <v>173000</v>
      </c>
      <c r="L28" s="59" t="s">
        <v>431</v>
      </c>
    </row>
    <row r="29" spans="1:12" ht="13.5">
      <c r="A29" s="52" t="s">
        <v>68</v>
      </c>
      <c r="B29" s="56">
        <v>177000</v>
      </c>
      <c r="C29" s="57" t="s">
        <v>439</v>
      </c>
      <c r="D29" s="52" t="s">
        <v>68</v>
      </c>
      <c r="E29">
        <v>174000</v>
      </c>
      <c r="G29" s="52" t="s">
        <v>68</v>
      </c>
      <c r="H29">
        <v>172000</v>
      </c>
      <c r="I29" s="59" t="s">
        <v>431</v>
      </c>
      <c r="J29" s="52" t="s">
        <v>100</v>
      </c>
      <c r="K29" s="56">
        <v>309000</v>
      </c>
      <c r="L29" s="59" t="s">
        <v>431</v>
      </c>
    </row>
    <row r="30" spans="1:12" ht="13.5">
      <c r="A30" s="52" t="s">
        <v>412</v>
      </c>
      <c r="B30" s="56">
        <v>51000</v>
      </c>
      <c r="C30" s="57" t="s">
        <v>439</v>
      </c>
      <c r="D30" s="52" t="s">
        <v>412</v>
      </c>
      <c r="E30">
        <v>125000</v>
      </c>
      <c r="G30" s="52" t="s">
        <v>412</v>
      </c>
      <c r="H30">
        <v>97000</v>
      </c>
      <c r="I30" s="59" t="s">
        <v>431</v>
      </c>
      <c r="J30" s="52" t="s">
        <v>68</v>
      </c>
      <c r="K30" s="56">
        <v>260000</v>
      </c>
      <c r="L30" s="59" t="s">
        <v>431</v>
      </c>
    </row>
    <row r="31" spans="1:12">
      <c r="A31" s="52" t="s">
        <v>434</v>
      </c>
      <c r="B31" s="56">
        <v>1659000</v>
      </c>
      <c r="D31" s="52" t="s">
        <v>150</v>
      </c>
      <c r="E31">
        <v>55500</v>
      </c>
      <c r="G31" s="52" t="s">
        <v>434</v>
      </c>
      <c r="H31">
        <v>1530000</v>
      </c>
      <c r="J31" s="52" t="s">
        <v>412</v>
      </c>
      <c r="K31" s="56">
        <v>69000</v>
      </c>
      <c r="L31" s="59" t="s">
        <v>431</v>
      </c>
    </row>
    <row r="32" spans="1:12" ht="13.5">
      <c r="A32" s="82" t="s">
        <v>708</v>
      </c>
      <c r="B32" s="80" t="s">
        <v>709</v>
      </c>
      <c r="C32" s="57" t="s">
        <v>439</v>
      </c>
      <c r="D32" s="52" t="s">
        <v>434</v>
      </c>
      <c r="E32">
        <v>1657500</v>
      </c>
      <c r="J32" s="52" t="s">
        <v>434</v>
      </c>
      <c r="K32" s="56">
        <v>1732000</v>
      </c>
    </row>
    <row r="39" spans="1:12">
      <c r="A39" s="80" t="s">
        <v>867</v>
      </c>
      <c r="B39" s="80" t="s">
        <v>868</v>
      </c>
      <c r="D39" s="80" t="s">
        <v>867</v>
      </c>
      <c r="E39" s="80" t="s">
        <v>727</v>
      </c>
      <c r="G39" s="80" t="s">
        <v>867</v>
      </c>
      <c r="H39" s="80" t="s">
        <v>729</v>
      </c>
      <c r="J39" s="80" t="s">
        <v>867</v>
      </c>
      <c r="K39" s="80" t="s">
        <v>730</v>
      </c>
    </row>
    <row r="40" spans="1:12">
      <c r="A40" s="51" t="s">
        <v>433</v>
      </c>
      <c r="B40" t="s">
        <v>435</v>
      </c>
      <c r="D40" s="51" t="s">
        <v>433</v>
      </c>
      <c r="E40" t="s">
        <v>435</v>
      </c>
      <c r="G40" s="51" t="s">
        <v>433</v>
      </c>
      <c r="H40" t="s">
        <v>435</v>
      </c>
      <c r="J40" s="51" t="s">
        <v>433</v>
      </c>
      <c r="K40" t="s">
        <v>435</v>
      </c>
    </row>
    <row r="41" spans="1:12" ht="13.5">
      <c r="A41" s="52" t="s">
        <v>407</v>
      </c>
      <c r="B41">
        <v>185000</v>
      </c>
      <c r="C41" s="57" t="s">
        <v>439</v>
      </c>
      <c r="D41" s="52" t="s">
        <v>407</v>
      </c>
      <c r="E41" s="56">
        <v>293000</v>
      </c>
      <c r="F41" s="11" t="s">
        <v>439</v>
      </c>
      <c r="G41" s="52" t="s">
        <v>134</v>
      </c>
      <c r="H41" s="56">
        <v>40000</v>
      </c>
      <c r="I41" s="11" t="s">
        <v>439</v>
      </c>
      <c r="J41" s="52" t="s">
        <v>407</v>
      </c>
      <c r="K41" s="56">
        <v>92000</v>
      </c>
      <c r="L41" s="59" t="s">
        <v>431</v>
      </c>
    </row>
    <row r="42" spans="1:12">
      <c r="A42" s="52" t="s">
        <v>580</v>
      </c>
      <c r="B42">
        <v>60000</v>
      </c>
      <c r="C42" s="59" t="s">
        <v>431</v>
      </c>
      <c r="D42" s="52" t="s">
        <v>580</v>
      </c>
      <c r="E42" s="56">
        <v>161000</v>
      </c>
      <c r="F42" s="59" t="s">
        <v>431</v>
      </c>
      <c r="G42" s="52" t="s">
        <v>407</v>
      </c>
      <c r="H42" s="56">
        <v>181000</v>
      </c>
      <c r="I42" s="59" t="s">
        <v>431</v>
      </c>
      <c r="J42" s="52" t="s">
        <v>580</v>
      </c>
      <c r="K42" s="56">
        <v>150000</v>
      </c>
      <c r="L42" s="59" t="s">
        <v>431</v>
      </c>
    </row>
    <row r="43" spans="1:12">
      <c r="A43" s="52" t="s">
        <v>706</v>
      </c>
      <c r="B43">
        <v>137500</v>
      </c>
      <c r="C43" s="59" t="s">
        <v>431</v>
      </c>
      <c r="D43" s="52" t="s">
        <v>44</v>
      </c>
      <c r="E43" s="56">
        <v>298000</v>
      </c>
      <c r="F43" s="59" t="s">
        <v>431</v>
      </c>
      <c r="G43" s="52" t="s">
        <v>580</v>
      </c>
      <c r="H43" s="56">
        <v>200000</v>
      </c>
      <c r="I43" s="59" t="s">
        <v>431</v>
      </c>
      <c r="J43" s="52" t="s">
        <v>44</v>
      </c>
      <c r="K43" s="56">
        <v>265000</v>
      </c>
      <c r="L43" s="59" t="s">
        <v>431</v>
      </c>
    </row>
    <row r="44" spans="1:12">
      <c r="A44" s="52" t="s">
        <v>44</v>
      </c>
      <c r="B44">
        <v>139000</v>
      </c>
      <c r="C44" s="59" t="s">
        <v>431</v>
      </c>
      <c r="D44" s="52" t="s">
        <v>77</v>
      </c>
      <c r="E44" s="56">
        <v>18000</v>
      </c>
      <c r="F44" s="59" t="s">
        <v>431</v>
      </c>
      <c r="G44" s="52" t="s">
        <v>44</v>
      </c>
      <c r="H44" s="56">
        <v>274000</v>
      </c>
      <c r="I44" s="59" t="s">
        <v>431</v>
      </c>
      <c r="J44" s="52" t="s">
        <v>89</v>
      </c>
      <c r="K44" s="56">
        <v>196000</v>
      </c>
      <c r="L44" s="59" t="s">
        <v>431</v>
      </c>
    </row>
    <row r="45" spans="1:12">
      <c r="A45" s="52" t="s">
        <v>89</v>
      </c>
      <c r="B45">
        <v>138000</v>
      </c>
      <c r="C45" s="59" t="s">
        <v>431</v>
      </c>
      <c r="D45" s="52" t="s">
        <v>27</v>
      </c>
      <c r="E45" s="56">
        <v>172000</v>
      </c>
      <c r="F45" s="59" t="s">
        <v>431</v>
      </c>
      <c r="G45" s="52" t="s">
        <v>89</v>
      </c>
      <c r="H45" s="56">
        <v>225000</v>
      </c>
      <c r="I45" s="59" t="s">
        <v>431</v>
      </c>
      <c r="J45" s="52" t="s">
        <v>77</v>
      </c>
      <c r="K45" s="56">
        <v>144000</v>
      </c>
      <c r="L45" s="59" t="s">
        <v>431</v>
      </c>
    </row>
    <row r="46" spans="1:12">
      <c r="A46" s="52" t="s">
        <v>77</v>
      </c>
      <c r="B46">
        <v>43000</v>
      </c>
      <c r="C46" s="59" t="s">
        <v>431</v>
      </c>
      <c r="D46" s="52" t="s">
        <v>100</v>
      </c>
      <c r="E46" s="56">
        <v>268000</v>
      </c>
      <c r="F46" s="59" t="s">
        <v>431</v>
      </c>
      <c r="G46" s="52" t="s">
        <v>77</v>
      </c>
      <c r="H46" s="56">
        <v>58000</v>
      </c>
      <c r="I46" s="59" t="s">
        <v>431</v>
      </c>
      <c r="J46" s="52" t="s">
        <v>27</v>
      </c>
      <c r="K46" s="56">
        <v>310000</v>
      </c>
      <c r="L46" s="59" t="s">
        <v>431</v>
      </c>
    </row>
    <row r="47" spans="1:12">
      <c r="A47" s="52" t="s">
        <v>27</v>
      </c>
      <c r="B47">
        <v>259000</v>
      </c>
      <c r="C47" s="59" t="s">
        <v>431</v>
      </c>
      <c r="D47" s="52" t="s">
        <v>68</v>
      </c>
      <c r="E47" s="56">
        <v>195000</v>
      </c>
      <c r="F47" s="59" t="s">
        <v>431</v>
      </c>
      <c r="G47" s="52" t="s">
        <v>27</v>
      </c>
      <c r="H47" s="56">
        <v>339000</v>
      </c>
      <c r="I47" s="59" t="s">
        <v>431</v>
      </c>
      <c r="J47" s="52" t="s">
        <v>1309</v>
      </c>
      <c r="K47" s="56">
        <v>36000</v>
      </c>
      <c r="L47" s="59" t="s">
        <v>431</v>
      </c>
    </row>
    <row r="48" spans="1:12">
      <c r="A48" s="52" t="s">
        <v>100</v>
      </c>
      <c r="B48">
        <v>347000</v>
      </c>
      <c r="C48" s="59" t="s">
        <v>431</v>
      </c>
      <c r="D48" s="52" t="s">
        <v>412</v>
      </c>
      <c r="E48" s="56">
        <v>120000</v>
      </c>
      <c r="F48" s="59" t="s">
        <v>431</v>
      </c>
      <c r="G48" s="52" t="s">
        <v>100</v>
      </c>
      <c r="H48" s="56">
        <v>375000</v>
      </c>
      <c r="I48" s="59" t="s">
        <v>431</v>
      </c>
      <c r="J48" s="52" t="s">
        <v>100</v>
      </c>
      <c r="K48" s="56">
        <v>421000</v>
      </c>
      <c r="L48" s="59" t="s">
        <v>431</v>
      </c>
    </row>
    <row r="49" spans="1:12">
      <c r="A49" s="52" t="s">
        <v>68</v>
      </c>
      <c r="B49">
        <v>241000</v>
      </c>
      <c r="C49" s="59" t="s">
        <v>431</v>
      </c>
      <c r="D49" s="52" t="s">
        <v>434</v>
      </c>
      <c r="E49" s="56">
        <v>1525000</v>
      </c>
      <c r="G49" s="52" t="s">
        <v>68</v>
      </c>
      <c r="H49" s="56">
        <v>236000</v>
      </c>
      <c r="I49" s="59" t="s">
        <v>431</v>
      </c>
      <c r="J49" s="52" t="s">
        <v>1306</v>
      </c>
      <c r="K49" s="56">
        <v>56000</v>
      </c>
      <c r="L49" s="59" t="s">
        <v>431</v>
      </c>
    </row>
    <row r="50" spans="1:12" ht="13.5">
      <c r="A50" s="52" t="s">
        <v>434</v>
      </c>
      <c r="B50">
        <v>1549500</v>
      </c>
      <c r="G50" s="52" t="s">
        <v>412</v>
      </c>
      <c r="H50" s="56">
        <v>171000</v>
      </c>
      <c r="I50" s="57" t="s">
        <v>439</v>
      </c>
      <c r="J50" s="52" t="s">
        <v>68</v>
      </c>
      <c r="K50" s="56">
        <v>36000</v>
      </c>
      <c r="L50" s="59" t="s">
        <v>431</v>
      </c>
    </row>
    <row r="51" spans="1:12">
      <c r="G51" s="52" t="s">
        <v>434</v>
      </c>
      <c r="H51" s="56">
        <v>2099000</v>
      </c>
      <c r="J51" s="52" t="s">
        <v>412</v>
      </c>
      <c r="K51" s="56">
        <v>46000</v>
      </c>
      <c r="L51" s="59" t="s">
        <v>431</v>
      </c>
    </row>
    <row r="52" spans="1:12">
      <c r="J52" s="52" t="s">
        <v>1305</v>
      </c>
      <c r="K52" s="56">
        <v>56000</v>
      </c>
      <c r="L52" s="59" t="s">
        <v>431</v>
      </c>
    </row>
    <row r="53" spans="1:12">
      <c r="J53" s="52" t="s">
        <v>434</v>
      </c>
      <c r="K53" s="56">
        <v>1808000</v>
      </c>
    </row>
    <row r="57" spans="1:12" ht="13.5">
      <c r="A57" s="80" t="s">
        <v>1311</v>
      </c>
      <c r="B57" s="80" t="s">
        <v>589</v>
      </c>
      <c r="D57" s="80" t="s">
        <v>1311</v>
      </c>
      <c r="E57" s="80" t="s">
        <v>591</v>
      </c>
      <c r="G57" s="80" t="s">
        <v>1311</v>
      </c>
      <c r="H57" s="80" t="s">
        <v>593</v>
      </c>
      <c r="J57" s="80" t="s">
        <v>1311</v>
      </c>
      <c r="K57" s="80" t="s">
        <v>594</v>
      </c>
    </row>
    <row r="58" spans="1:12">
      <c r="A58" s="51" t="s">
        <v>433</v>
      </c>
      <c r="B58" t="s">
        <v>435</v>
      </c>
    </row>
    <row r="59" spans="1:12" ht="13.5">
      <c r="A59" s="52" t="s">
        <v>407</v>
      </c>
      <c r="B59" s="56">
        <v>159000</v>
      </c>
      <c r="C59" s="57" t="s">
        <v>439</v>
      </c>
    </row>
    <row r="60" spans="1:12" ht="13.5">
      <c r="A60" s="52" t="s">
        <v>580</v>
      </c>
      <c r="B60" s="56">
        <v>86500</v>
      </c>
      <c r="C60" s="57" t="s">
        <v>439</v>
      </c>
    </row>
    <row r="61" spans="1:12" ht="13.5">
      <c r="A61" s="52" t="s">
        <v>706</v>
      </c>
      <c r="B61" s="56">
        <v>36000</v>
      </c>
      <c r="C61" s="57" t="s">
        <v>439</v>
      </c>
    </row>
    <row r="62" spans="1:12" ht="13.5">
      <c r="A62" s="52" t="s">
        <v>44</v>
      </c>
      <c r="B62" s="56">
        <v>276000</v>
      </c>
      <c r="C62" s="57" t="s">
        <v>439</v>
      </c>
    </row>
    <row r="63" spans="1:12" ht="13.5">
      <c r="A63" s="52" t="s">
        <v>89</v>
      </c>
      <c r="B63" s="56">
        <v>60000</v>
      </c>
      <c r="C63" s="57" t="s">
        <v>439</v>
      </c>
    </row>
    <row r="64" spans="1:12" ht="13.5">
      <c r="A64" s="52" t="s">
        <v>27</v>
      </c>
      <c r="B64" s="56">
        <v>308000</v>
      </c>
      <c r="C64" s="57" t="s">
        <v>439</v>
      </c>
    </row>
    <row r="65" spans="1:3" ht="13.5">
      <c r="A65" s="52" t="s">
        <v>100</v>
      </c>
      <c r="B65" s="56">
        <v>405000</v>
      </c>
      <c r="C65" s="57" t="s">
        <v>439</v>
      </c>
    </row>
    <row r="66" spans="1:3" ht="13.5">
      <c r="A66" s="52" t="s">
        <v>1306</v>
      </c>
      <c r="B66" s="56">
        <v>210000</v>
      </c>
      <c r="C66" s="57" t="s">
        <v>439</v>
      </c>
    </row>
    <row r="67" spans="1:3" ht="13.5">
      <c r="A67" s="52" t="s">
        <v>412</v>
      </c>
      <c r="B67" s="56">
        <v>46000</v>
      </c>
      <c r="C67" s="57" t="s">
        <v>439</v>
      </c>
    </row>
    <row r="68" spans="1:3" ht="13.5">
      <c r="A68" s="52" t="s">
        <v>1305</v>
      </c>
      <c r="B68" s="56">
        <v>167000</v>
      </c>
      <c r="C68" s="57" t="s">
        <v>439</v>
      </c>
    </row>
    <row r="69" spans="1:3">
      <c r="A69" s="52" t="s">
        <v>434</v>
      </c>
      <c r="B69" s="56">
        <v>1753500</v>
      </c>
    </row>
  </sheetData>
  <phoneticPr fontId="12" type="noConversion"/>
  <pageMargins left="0.7" right="0.7" top="0.75" bottom="0.75" header="0.3" footer="0.3"/>
  <pageSetup paperSize="9" orientation="portrait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7F3B-839E-4439-90F6-BCDD9D9C72D4}">
  <dimension ref="A1:J964"/>
  <sheetViews>
    <sheetView zoomScale="115" zoomScaleNormal="115" workbookViewId="0">
      <pane ySplit="1" topLeftCell="A2" activePane="bottomLeft" state="frozen"/>
      <selection pane="bottomLeft" activeCell="C3" sqref="C3:D3"/>
    </sheetView>
  </sheetViews>
  <sheetFormatPr defaultColWidth="12.5703125" defaultRowHeight="15" customHeight="1"/>
  <cols>
    <col min="1" max="1" width="8" customWidth="1"/>
    <col min="2" max="2" width="16.7109375" customWidth="1"/>
    <col min="3" max="3" width="8" customWidth="1"/>
    <col min="4" max="4" width="20.5703125" customWidth="1"/>
    <col min="5" max="5" width="33.7109375" customWidth="1"/>
    <col min="6" max="10" width="9.140625" customWidth="1"/>
  </cols>
  <sheetData>
    <row r="1" spans="1:10" ht="12.75" customHeight="1">
      <c r="A1" s="3" t="s">
        <v>6</v>
      </c>
      <c r="B1" s="1" t="s">
        <v>18</v>
      </c>
      <c r="C1" s="1" t="s">
        <v>19</v>
      </c>
      <c r="D1" s="1" t="s">
        <v>20</v>
      </c>
      <c r="E1" s="2" t="s">
        <v>466</v>
      </c>
      <c r="F1" s="2"/>
      <c r="G1" s="2"/>
      <c r="H1" s="2"/>
      <c r="I1" s="2"/>
      <c r="J1" s="2"/>
    </row>
    <row r="2" spans="1:10" ht="12.75" customHeight="1">
      <c r="A2" s="1" t="s">
        <v>27</v>
      </c>
      <c r="B2" s="1" t="s">
        <v>31</v>
      </c>
      <c r="C2" s="1" t="s">
        <v>32</v>
      </c>
      <c r="D2" s="1" t="s">
        <v>33</v>
      </c>
      <c r="E2" s="55" t="s">
        <v>467</v>
      </c>
      <c r="F2" s="2"/>
      <c r="G2" s="2"/>
      <c r="H2" s="2"/>
      <c r="I2" s="2"/>
      <c r="J2" s="2"/>
    </row>
    <row r="3" spans="1:10" ht="12.75" customHeight="1">
      <c r="A3" s="1" t="s">
        <v>44</v>
      </c>
      <c r="B3" s="1" t="s">
        <v>45</v>
      </c>
      <c r="C3" s="1" t="s">
        <v>427</v>
      </c>
      <c r="D3" s="1" t="s">
        <v>428</v>
      </c>
      <c r="E3" s="55" t="s">
        <v>468</v>
      </c>
      <c r="F3" s="2"/>
      <c r="G3" s="2"/>
      <c r="H3" s="2"/>
      <c r="I3" s="2"/>
      <c r="J3" s="2"/>
    </row>
    <row r="4" spans="1:10" ht="12.75" customHeight="1">
      <c r="A4" s="1" t="s">
        <v>68</v>
      </c>
      <c r="B4" s="1" t="s">
        <v>70</v>
      </c>
      <c r="C4" s="1" t="s">
        <v>345</v>
      </c>
      <c r="D4" s="1" t="s">
        <v>346</v>
      </c>
      <c r="E4" s="42" t="s">
        <v>469</v>
      </c>
      <c r="F4" s="2"/>
      <c r="G4" s="2"/>
      <c r="H4" s="2"/>
      <c r="I4" s="2"/>
      <c r="J4" s="2"/>
    </row>
    <row r="5" spans="1:10" ht="12.75" customHeight="1">
      <c r="A5" s="1" t="s">
        <v>77</v>
      </c>
      <c r="B5" s="1" t="s">
        <v>81</v>
      </c>
      <c r="C5" s="1" t="s">
        <v>436</v>
      </c>
      <c r="D5" s="1" t="s">
        <v>83</v>
      </c>
      <c r="E5" s="42" t="s">
        <v>470</v>
      </c>
      <c r="F5" s="2"/>
      <c r="G5" s="2"/>
      <c r="H5" s="2"/>
      <c r="I5" s="2"/>
      <c r="J5" s="2"/>
    </row>
    <row r="6" spans="1:10" ht="12.75" customHeight="1">
      <c r="A6" s="1" t="s">
        <v>89</v>
      </c>
      <c r="B6" s="1" t="s">
        <v>91</v>
      </c>
      <c r="C6" s="1" t="s">
        <v>71</v>
      </c>
      <c r="D6" s="1" t="s">
        <v>92</v>
      </c>
      <c r="E6" s="42" t="s">
        <v>471</v>
      </c>
      <c r="F6" s="2"/>
      <c r="G6" s="2"/>
      <c r="H6" s="2"/>
      <c r="I6" s="2"/>
      <c r="J6" s="2"/>
    </row>
    <row r="7" spans="1:10" ht="12.75" customHeight="1">
      <c r="A7" s="1" t="s">
        <v>100</v>
      </c>
      <c r="B7" s="1" t="s">
        <v>598</v>
      </c>
      <c r="C7" s="1" t="s">
        <v>101</v>
      </c>
      <c r="D7" s="1" t="s">
        <v>102</v>
      </c>
      <c r="E7" s="42" t="s">
        <v>472</v>
      </c>
      <c r="F7" s="2"/>
      <c r="G7" s="2"/>
      <c r="H7" s="2"/>
      <c r="I7" s="2"/>
      <c r="J7" s="2"/>
    </row>
    <row r="8" spans="1:10" ht="12.75" customHeight="1">
      <c r="A8" s="1" t="s">
        <v>401</v>
      </c>
      <c r="B8" s="1" t="s">
        <v>455</v>
      </c>
      <c r="C8" s="1" t="s">
        <v>345</v>
      </c>
      <c r="D8" s="1" t="s">
        <v>411</v>
      </c>
      <c r="E8" s="42" t="s">
        <v>473</v>
      </c>
      <c r="F8" s="2"/>
      <c r="G8" s="2"/>
      <c r="H8" s="2"/>
      <c r="I8" s="2"/>
      <c r="J8" s="2"/>
    </row>
    <row r="9" spans="1:10" ht="12.75" customHeight="1">
      <c r="A9" s="1" t="s">
        <v>122</v>
      </c>
      <c r="B9" s="1" t="s">
        <v>123</v>
      </c>
      <c r="C9" s="1" t="s">
        <v>124</v>
      </c>
      <c r="D9" s="1" t="s">
        <v>125</v>
      </c>
      <c r="E9" s="42" t="s">
        <v>474</v>
      </c>
      <c r="F9" s="2"/>
      <c r="G9" s="2"/>
      <c r="H9" s="2"/>
      <c r="I9" s="2"/>
      <c r="J9" s="2"/>
    </row>
    <row r="10" spans="1:10" ht="12.75" customHeight="1">
      <c r="A10" s="1" t="s">
        <v>134</v>
      </c>
      <c r="B10" s="1" t="s">
        <v>135</v>
      </c>
      <c r="C10" s="1" t="s">
        <v>71</v>
      </c>
      <c r="D10" s="1" t="s">
        <v>136</v>
      </c>
      <c r="E10" s="42" t="s">
        <v>475</v>
      </c>
      <c r="F10" s="2"/>
      <c r="G10" s="2"/>
      <c r="H10" s="2"/>
      <c r="I10" s="2"/>
      <c r="J10" s="2"/>
    </row>
    <row r="11" spans="1:10" ht="12.75" customHeight="1">
      <c r="A11" s="1" t="s">
        <v>137</v>
      </c>
      <c r="B11" s="1" t="s">
        <v>138</v>
      </c>
      <c r="C11" s="1" t="s">
        <v>139</v>
      </c>
      <c r="D11" s="1" t="s">
        <v>140</v>
      </c>
      <c r="E11" s="42" t="s">
        <v>476</v>
      </c>
      <c r="F11" s="2"/>
      <c r="G11" s="2"/>
      <c r="H11" s="2"/>
      <c r="I11" s="2"/>
      <c r="J11" s="2"/>
    </row>
    <row r="12" spans="1:10" ht="12.75" customHeight="1">
      <c r="A12" s="1" t="s">
        <v>141</v>
      </c>
      <c r="B12" s="1" t="s">
        <v>596</v>
      </c>
      <c r="C12" s="1" t="s">
        <v>101</v>
      </c>
      <c r="D12" s="1" t="s">
        <v>142</v>
      </c>
      <c r="E12" s="42" t="s">
        <v>477</v>
      </c>
      <c r="F12" s="2"/>
      <c r="G12" s="2"/>
      <c r="H12" s="2"/>
      <c r="I12" s="2"/>
      <c r="J12" s="2"/>
    </row>
    <row r="13" spans="1:10" ht="12.75" customHeight="1">
      <c r="A13" s="1" t="s">
        <v>143</v>
      </c>
      <c r="B13" s="1" t="s">
        <v>144</v>
      </c>
      <c r="C13" s="1" t="s">
        <v>46</v>
      </c>
      <c r="D13" s="1" t="s">
        <v>145</v>
      </c>
      <c r="E13" s="42" t="s">
        <v>478</v>
      </c>
      <c r="F13" s="2"/>
      <c r="G13" s="2"/>
      <c r="H13" s="2"/>
      <c r="I13" s="2"/>
      <c r="J13" s="2"/>
    </row>
    <row r="14" spans="1:10" ht="12.75" customHeight="1">
      <c r="A14" s="1" t="s">
        <v>146</v>
      </c>
      <c r="B14" s="1" t="s">
        <v>148</v>
      </c>
      <c r="C14" s="1" t="s">
        <v>82</v>
      </c>
      <c r="D14" s="1" t="s">
        <v>149</v>
      </c>
      <c r="E14" s="42" t="s">
        <v>479</v>
      </c>
      <c r="F14" s="2"/>
      <c r="G14" s="2"/>
      <c r="H14" s="2"/>
      <c r="I14" s="2"/>
      <c r="J14" s="4"/>
    </row>
    <row r="15" spans="1:10" ht="12.75" customHeight="1">
      <c r="A15" s="1" t="s">
        <v>150</v>
      </c>
      <c r="B15" s="1" t="s">
        <v>151</v>
      </c>
      <c r="C15" s="1" t="s">
        <v>447</v>
      </c>
      <c r="D15" s="53" t="s">
        <v>448</v>
      </c>
      <c r="E15" s="42" t="s">
        <v>480</v>
      </c>
      <c r="F15" s="2"/>
      <c r="G15" s="2"/>
      <c r="H15" s="2"/>
      <c r="I15" s="2"/>
      <c r="J15" s="2"/>
    </row>
    <row r="16" spans="1:10" ht="12.75" customHeight="1">
      <c r="A16" s="1" t="s">
        <v>408</v>
      </c>
      <c r="B16" s="1" t="s">
        <v>597</v>
      </c>
      <c r="C16" s="1" t="s">
        <v>409</v>
      </c>
      <c r="D16" s="1" t="s">
        <v>410</v>
      </c>
      <c r="E16" s="2" t="s">
        <v>481</v>
      </c>
      <c r="F16" s="2"/>
      <c r="G16" s="2"/>
      <c r="H16" s="2"/>
      <c r="I16" s="2"/>
      <c r="J16" s="2"/>
    </row>
    <row r="17" spans="1:10" ht="12.75" customHeight="1">
      <c r="A17" s="1" t="s">
        <v>155</v>
      </c>
      <c r="B17" s="53" t="s">
        <v>442</v>
      </c>
      <c r="C17" s="1" t="s">
        <v>443</v>
      </c>
      <c r="D17" s="53" t="s">
        <v>444</v>
      </c>
      <c r="E17" s="2" t="s">
        <v>482</v>
      </c>
      <c r="F17" s="2"/>
      <c r="G17" s="2"/>
      <c r="H17" s="2"/>
      <c r="I17" s="2"/>
      <c r="J17" s="2"/>
    </row>
    <row r="18" spans="1:10" ht="12.75" customHeight="1">
      <c r="A18" s="1" t="s">
        <v>158</v>
      </c>
      <c r="B18" s="1" t="s">
        <v>159</v>
      </c>
      <c r="C18" s="1" t="s">
        <v>139</v>
      </c>
      <c r="D18" s="1" t="s">
        <v>160</v>
      </c>
      <c r="E18" s="2" t="s">
        <v>416</v>
      </c>
      <c r="F18" s="2"/>
      <c r="G18" s="2"/>
      <c r="H18" s="2"/>
      <c r="I18" s="2"/>
      <c r="J18" s="2"/>
    </row>
    <row r="19" spans="1:10" ht="12.75" customHeight="1">
      <c r="A19" s="1" t="s">
        <v>153</v>
      </c>
      <c r="B19" s="1" t="s">
        <v>488</v>
      </c>
      <c r="C19" s="1" t="s">
        <v>427</v>
      </c>
      <c r="D19" s="53" t="s">
        <v>585</v>
      </c>
      <c r="E19" s="4"/>
      <c r="F19" s="2"/>
      <c r="G19" s="2"/>
      <c r="H19" s="2"/>
      <c r="I19" s="2"/>
      <c r="J19" s="2"/>
    </row>
    <row r="20" spans="1:10" ht="12.75" customHeight="1">
      <c r="A20" s="1" t="s">
        <v>499</v>
      </c>
      <c r="B20" s="1" t="s">
        <v>866</v>
      </c>
      <c r="C20" s="1" t="s">
        <v>447</v>
      </c>
      <c r="D20" s="53" t="s">
        <v>595</v>
      </c>
      <c r="E20" s="2"/>
      <c r="F20" s="2"/>
      <c r="G20" s="2"/>
      <c r="H20" s="2"/>
      <c r="I20" s="2"/>
      <c r="J20" s="2"/>
    </row>
    <row r="21" spans="1:10" ht="12.75" customHeight="1">
      <c r="A21" s="1" t="s">
        <v>957</v>
      </c>
      <c r="B21" s="1" t="s">
        <v>1221</v>
      </c>
      <c r="C21" s="1" t="s">
        <v>443</v>
      </c>
      <c r="D21" s="1" t="s">
        <v>958</v>
      </c>
      <c r="E21" s="2"/>
      <c r="F21" s="2"/>
      <c r="G21" s="2"/>
      <c r="H21" s="2"/>
      <c r="I21" s="2"/>
      <c r="J21" s="2"/>
    </row>
    <row r="22" spans="1:10" ht="12.75" customHeight="1">
      <c r="A22" s="1" t="s">
        <v>1222</v>
      </c>
      <c r="B22" s="1" t="s">
        <v>1223</v>
      </c>
      <c r="C22" s="1" t="s">
        <v>436</v>
      </c>
      <c r="D22" s="86">
        <v>3333332544587</v>
      </c>
      <c r="E22" s="2"/>
      <c r="F22" s="2"/>
      <c r="G22" s="2"/>
      <c r="H22" s="2"/>
      <c r="I22" s="2"/>
      <c r="J22" s="2"/>
    </row>
    <row r="23" spans="1:10" ht="12.75" customHeight="1">
      <c r="A23" s="1" t="s">
        <v>1241</v>
      </c>
      <c r="B23" s="1"/>
      <c r="C23" s="1" t="s">
        <v>436</v>
      </c>
      <c r="D23" s="86">
        <v>3333177575080</v>
      </c>
      <c r="E23" s="2"/>
      <c r="F23" s="2"/>
      <c r="G23" s="2"/>
      <c r="H23" s="2"/>
      <c r="I23" s="2"/>
      <c r="J23" s="2"/>
    </row>
    <row r="24" spans="1:10" ht="12.75" customHeight="1">
      <c r="A24" s="1" t="s">
        <v>1245</v>
      </c>
      <c r="B24" s="1" t="s">
        <v>1314</v>
      </c>
      <c r="C24" s="1" t="s">
        <v>1312</v>
      </c>
      <c r="D24" s="86">
        <v>142001941581</v>
      </c>
      <c r="E24" s="2"/>
      <c r="F24" s="2"/>
      <c r="G24" s="2"/>
      <c r="H24" s="2"/>
      <c r="I24" s="2"/>
      <c r="J24" s="2"/>
    </row>
    <row r="25" spans="1:10" ht="12.75" customHeight="1">
      <c r="A25" s="1"/>
      <c r="B25" s="1"/>
      <c r="C25" s="1"/>
      <c r="D25" s="1"/>
      <c r="E25" s="2"/>
      <c r="F25" s="2"/>
      <c r="G25" s="2"/>
      <c r="H25" s="2"/>
      <c r="I25" s="2"/>
      <c r="J25" s="2"/>
    </row>
    <row r="26" spans="1:10" ht="12.75" customHeight="1">
      <c r="A26" s="1"/>
      <c r="B26" s="1"/>
      <c r="C26" s="1"/>
      <c r="D26" s="1"/>
      <c r="E26" s="2"/>
      <c r="F26" s="2"/>
      <c r="G26" s="2"/>
      <c r="H26" s="2"/>
      <c r="I26" s="2"/>
      <c r="J26" s="2"/>
    </row>
    <row r="27" spans="1:10" ht="12.75" customHeight="1">
      <c r="A27" s="1"/>
      <c r="B27" s="1"/>
      <c r="C27" s="1"/>
      <c r="D27" s="1"/>
      <c r="E27" s="2"/>
      <c r="F27" s="2"/>
      <c r="G27" s="2"/>
      <c r="H27" s="2"/>
      <c r="I27" s="2"/>
      <c r="J27" s="2"/>
    </row>
    <row r="28" spans="1:10" ht="12.75" customHeight="1">
      <c r="A28" s="1"/>
      <c r="B28" s="1"/>
      <c r="C28" s="1"/>
      <c r="D28" s="1"/>
      <c r="E28" s="2"/>
      <c r="F28" s="2"/>
      <c r="G28" s="2"/>
      <c r="H28" s="2"/>
      <c r="I28" s="2"/>
      <c r="J28" s="2"/>
    </row>
    <row r="29" spans="1:10" ht="12.75" customHeight="1">
      <c r="A29" s="1"/>
      <c r="B29" s="1"/>
      <c r="C29" s="1"/>
      <c r="D29" s="1"/>
      <c r="E29" s="2"/>
      <c r="F29" s="2"/>
      <c r="G29" s="2"/>
      <c r="H29" s="2"/>
      <c r="I29" s="2"/>
      <c r="J29" s="2"/>
    </row>
    <row r="30" spans="1:10" ht="12.75" customHeight="1">
      <c r="A30" s="1"/>
      <c r="B30" s="1"/>
      <c r="C30" s="1"/>
      <c r="D30" s="1"/>
      <c r="E30" s="2"/>
      <c r="F30" s="2"/>
      <c r="G30" s="2"/>
      <c r="H30" s="2"/>
      <c r="I30" s="2"/>
      <c r="J30" s="2"/>
    </row>
    <row r="31" spans="1:10" ht="12.75" customHeight="1">
      <c r="A31" s="1"/>
      <c r="B31" s="1"/>
      <c r="C31" s="1"/>
      <c r="D31" s="1"/>
      <c r="E31" s="2"/>
      <c r="F31" s="2"/>
      <c r="G31" s="2"/>
      <c r="H31" s="2"/>
      <c r="I31" s="2"/>
      <c r="J31" s="2"/>
    </row>
    <row r="32" spans="1:10" ht="12.75" customHeight="1">
      <c r="A32" s="1"/>
      <c r="B32" s="1"/>
      <c r="C32" s="1"/>
      <c r="D32" s="1"/>
      <c r="E32" s="2"/>
      <c r="F32" s="2"/>
      <c r="G32" s="2"/>
      <c r="H32" s="2"/>
      <c r="I32" s="2"/>
      <c r="J32" s="2"/>
    </row>
    <row r="33" spans="1:10" ht="12.75" customHeight="1">
      <c r="A33" s="1"/>
      <c r="B33" s="1"/>
      <c r="C33" s="1"/>
      <c r="D33" s="1"/>
      <c r="E33" s="2"/>
      <c r="F33" s="2"/>
      <c r="G33" s="2"/>
      <c r="H33" s="2"/>
      <c r="I33" s="2"/>
      <c r="J33" s="2"/>
    </row>
    <row r="34" spans="1:10" ht="12.75" customHeight="1">
      <c r="A34" s="1"/>
      <c r="B34" s="1"/>
      <c r="C34" s="1"/>
      <c r="D34" s="1"/>
      <c r="E34" s="2"/>
      <c r="F34" s="2"/>
      <c r="G34" s="2"/>
      <c r="H34" s="2"/>
      <c r="I34" s="2"/>
      <c r="J34" s="2"/>
    </row>
    <row r="35" spans="1:10" ht="12.75" customHeight="1">
      <c r="A35" s="1"/>
      <c r="B35" s="1"/>
      <c r="C35" s="1"/>
      <c r="D35" s="1"/>
      <c r="E35" s="2"/>
      <c r="F35" s="2"/>
      <c r="G35" s="2"/>
      <c r="H35" s="2"/>
      <c r="I35" s="2"/>
      <c r="J35" s="2"/>
    </row>
    <row r="36" spans="1:10" ht="12.75" customHeight="1">
      <c r="A36" s="1"/>
      <c r="B36" s="1"/>
      <c r="C36" s="1"/>
      <c r="D36" s="1"/>
      <c r="E36" s="2"/>
      <c r="F36" s="2"/>
      <c r="G36" s="2"/>
      <c r="H36" s="2"/>
      <c r="I36" s="2"/>
      <c r="J36" s="2"/>
    </row>
    <row r="37" spans="1:10" ht="12.75" customHeight="1">
      <c r="A37" s="1"/>
      <c r="B37" s="1"/>
      <c r="C37" s="1"/>
      <c r="D37" s="1"/>
      <c r="E37" s="2"/>
      <c r="F37" s="2"/>
      <c r="G37" s="2"/>
      <c r="H37" s="2"/>
      <c r="I37" s="2"/>
      <c r="J37" s="2"/>
    </row>
    <row r="38" spans="1:10" ht="12.75" customHeight="1">
      <c r="A38" s="1"/>
      <c r="B38" s="1"/>
      <c r="C38" s="1"/>
      <c r="D38" s="1"/>
      <c r="E38" s="2"/>
      <c r="F38" s="2"/>
      <c r="G38" s="2"/>
      <c r="H38" s="2"/>
      <c r="I38" s="2"/>
      <c r="J38" s="2"/>
    </row>
    <row r="39" spans="1:10" ht="12.75" customHeight="1">
      <c r="A39" s="1"/>
      <c r="B39" s="1"/>
      <c r="C39" s="1"/>
      <c r="D39" s="1"/>
      <c r="E39" s="2"/>
      <c r="F39" s="2"/>
      <c r="G39" s="2"/>
      <c r="H39" s="2"/>
      <c r="I39" s="2"/>
      <c r="J39" s="2"/>
    </row>
    <row r="40" spans="1:10" ht="12.75" customHeight="1">
      <c r="A40" s="1"/>
      <c r="B40" s="1"/>
      <c r="C40" s="1"/>
      <c r="D40" s="1"/>
      <c r="E40" s="2"/>
      <c r="F40" s="2"/>
      <c r="G40" s="2"/>
      <c r="H40" s="2"/>
      <c r="I40" s="2"/>
      <c r="J40" s="2"/>
    </row>
    <row r="41" spans="1:10" ht="12.75" customHeight="1">
      <c r="A41" s="1"/>
      <c r="B41" s="1"/>
      <c r="C41" s="1"/>
      <c r="D41" s="1"/>
      <c r="E41" s="2"/>
      <c r="F41" s="2"/>
      <c r="G41" s="2"/>
      <c r="H41" s="2"/>
      <c r="I41" s="2"/>
      <c r="J41" s="2"/>
    </row>
    <row r="42" spans="1:10" ht="12.75" customHeight="1">
      <c r="A42" s="1"/>
      <c r="B42" s="1"/>
      <c r="C42" s="1"/>
      <c r="D42" s="1"/>
      <c r="E42" s="2"/>
      <c r="F42" s="2"/>
      <c r="G42" s="2"/>
      <c r="H42" s="2"/>
      <c r="I42" s="2"/>
      <c r="J42" s="2"/>
    </row>
    <row r="43" spans="1:10" ht="12.75" customHeight="1">
      <c r="A43" s="1"/>
      <c r="B43" s="1"/>
      <c r="C43" s="1"/>
      <c r="D43" s="1"/>
      <c r="E43" s="2"/>
      <c r="F43" s="2"/>
      <c r="G43" s="2"/>
      <c r="H43" s="2"/>
      <c r="I43" s="2"/>
      <c r="J43" s="2"/>
    </row>
    <row r="44" spans="1:10" ht="12.75" customHeight="1">
      <c r="A44" s="1"/>
      <c r="B44" s="1"/>
      <c r="C44" s="1"/>
      <c r="D44" s="1"/>
      <c r="E44" s="2"/>
      <c r="F44" s="2"/>
      <c r="G44" s="2"/>
      <c r="H44" s="2"/>
      <c r="I44" s="2"/>
      <c r="J44" s="2"/>
    </row>
    <row r="45" spans="1:10" ht="12.75" customHeight="1">
      <c r="A45" s="1"/>
      <c r="B45" s="1"/>
      <c r="C45" s="1"/>
      <c r="D45" s="1"/>
      <c r="E45" s="2"/>
      <c r="F45" s="2"/>
      <c r="G45" s="2"/>
      <c r="H45" s="2"/>
      <c r="I45" s="2"/>
      <c r="J45" s="2"/>
    </row>
    <row r="46" spans="1:10" ht="12.75" customHeight="1">
      <c r="A46" s="1"/>
      <c r="B46" s="1"/>
      <c r="C46" s="1"/>
      <c r="D46" s="1"/>
      <c r="E46" s="2"/>
      <c r="F46" s="2"/>
      <c r="G46" s="2"/>
      <c r="H46" s="2"/>
      <c r="I46" s="2"/>
      <c r="J46" s="2"/>
    </row>
    <row r="47" spans="1:10" ht="12.75" customHeight="1">
      <c r="A47" s="1"/>
      <c r="B47" s="1"/>
      <c r="C47" s="1"/>
      <c r="D47" s="1"/>
      <c r="E47" s="2"/>
      <c r="F47" s="2"/>
      <c r="G47" s="2"/>
      <c r="H47" s="2"/>
      <c r="I47" s="2"/>
      <c r="J47" s="2"/>
    </row>
    <row r="48" spans="1:10" ht="12.75" customHeight="1">
      <c r="A48" s="1"/>
      <c r="B48" s="1"/>
      <c r="C48" s="1"/>
      <c r="D48" s="1"/>
      <c r="E48" s="2"/>
      <c r="F48" s="2"/>
      <c r="G48" s="2"/>
      <c r="H48" s="2"/>
      <c r="I48" s="2"/>
      <c r="J48" s="2"/>
    </row>
    <row r="49" spans="1:10" ht="12.75" customHeight="1">
      <c r="A49" s="1"/>
      <c r="B49" s="1"/>
      <c r="C49" s="1"/>
      <c r="D49" s="1"/>
      <c r="E49" s="2"/>
      <c r="F49" s="2"/>
      <c r="G49" s="2"/>
      <c r="H49" s="2"/>
      <c r="I49" s="2"/>
      <c r="J49" s="2"/>
    </row>
    <row r="50" spans="1:10" ht="12.75" customHeight="1">
      <c r="A50" s="1"/>
      <c r="B50" s="1"/>
      <c r="C50" s="1"/>
      <c r="D50" s="1"/>
      <c r="E50" s="2"/>
      <c r="F50" s="2"/>
      <c r="G50" s="2"/>
      <c r="H50" s="2"/>
      <c r="I50" s="2"/>
      <c r="J50" s="2"/>
    </row>
    <row r="51" spans="1:10" ht="12.75" customHeight="1">
      <c r="A51" s="1"/>
      <c r="B51" s="1"/>
      <c r="C51" s="1"/>
      <c r="D51" s="1"/>
      <c r="E51" s="2"/>
      <c r="F51" s="2"/>
      <c r="G51" s="2"/>
      <c r="H51" s="2"/>
      <c r="I51" s="2"/>
      <c r="J51" s="2"/>
    </row>
    <row r="52" spans="1:10" ht="12.75" customHeight="1">
      <c r="A52" s="1"/>
      <c r="B52" s="1"/>
      <c r="C52" s="1"/>
      <c r="D52" s="1"/>
      <c r="E52" s="2"/>
      <c r="F52" s="2"/>
      <c r="G52" s="2"/>
      <c r="H52" s="2"/>
      <c r="I52" s="2"/>
      <c r="J52" s="2"/>
    </row>
    <row r="53" spans="1:10" ht="12.75" customHeight="1">
      <c r="A53" s="1"/>
      <c r="B53" s="1"/>
      <c r="C53" s="1"/>
      <c r="D53" s="1"/>
      <c r="E53" s="2"/>
      <c r="F53" s="2"/>
      <c r="G53" s="2"/>
      <c r="H53" s="2"/>
      <c r="I53" s="2"/>
      <c r="J53" s="2"/>
    </row>
    <row r="54" spans="1:10" ht="12.75" customHeight="1">
      <c r="A54" s="1"/>
      <c r="B54" s="1"/>
      <c r="C54" s="1"/>
      <c r="D54" s="1"/>
      <c r="E54" s="2"/>
      <c r="F54" s="2"/>
      <c r="G54" s="2"/>
      <c r="H54" s="2"/>
      <c r="I54" s="2"/>
      <c r="J54" s="2"/>
    </row>
    <row r="55" spans="1:10" ht="12.75" customHeight="1">
      <c r="A55" s="1"/>
      <c r="B55" s="1"/>
      <c r="C55" s="1"/>
      <c r="D55" s="1"/>
      <c r="E55" s="2"/>
      <c r="F55" s="2"/>
      <c r="G55" s="2"/>
      <c r="H55" s="2"/>
      <c r="I55" s="2"/>
      <c r="J55" s="2"/>
    </row>
    <row r="56" spans="1:10" ht="12.75" customHeight="1">
      <c r="A56" s="1"/>
      <c r="B56" s="1"/>
      <c r="C56" s="1"/>
      <c r="D56" s="1"/>
      <c r="E56" s="2"/>
      <c r="F56" s="2"/>
      <c r="G56" s="2"/>
      <c r="H56" s="2"/>
      <c r="I56" s="2"/>
      <c r="J56" s="2"/>
    </row>
    <row r="57" spans="1:10" ht="12.75" customHeight="1">
      <c r="A57" s="1"/>
      <c r="B57" s="1"/>
      <c r="C57" s="1"/>
      <c r="D57" s="1"/>
      <c r="E57" s="2"/>
      <c r="F57" s="2"/>
      <c r="G57" s="2"/>
      <c r="H57" s="2"/>
      <c r="I57" s="2"/>
      <c r="J57" s="2"/>
    </row>
    <row r="58" spans="1:10" ht="12.75" customHeight="1">
      <c r="A58" s="1"/>
      <c r="B58" s="1"/>
      <c r="C58" s="1"/>
      <c r="D58" s="1"/>
      <c r="E58" s="2"/>
      <c r="F58" s="2"/>
      <c r="G58" s="2"/>
      <c r="H58" s="2"/>
      <c r="I58" s="2"/>
      <c r="J58" s="2"/>
    </row>
    <row r="59" spans="1:10" ht="12.75" customHeight="1">
      <c r="A59" s="1"/>
      <c r="B59" s="1"/>
      <c r="C59" s="1"/>
      <c r="D59" s="1"/>
      <c r="E59" s="2"/>
      <c r="F59" s="2"/>
      <c r="G59" s="2"/>
      <c r="H59" s="2"/>
      <c r="I59" s="2"/>
      <c r="J59" s="2"/>
    </row>
    <row r="60" spans="1:10" ht="12.75" customHeight="1">
      <c r="A60" s="1"/>
      <c r="B60" s="1"/>
      <c r="C60" s="1"/>
      <c r="D60" s="1"/>
      <c r="E60" s="2"/>
      <c r="F60" s="2"/>
      <c r="G60" s="2"/>
      <c r="H60" s="2"/>
      <c r="I60" s="2"/>
      <c r="J60" s="2"/>
    </row>
    <row r="61" spans="1:10" ht="12.75" customHeight="1">
      <c r="A61" s="1"/>
      <c r="B61" s="1"/>
      <c r="C61" s="1"/>
      <c r="D61" s="1"/>
      <c r="E61" s="2"/>
      <c r="F61" s="2"/>
      <c r="G61" s="2"/>
      <c r="H61" s="2"/>
      <c r="I61" s="2"/>
      <c r="J61" s="2"/>
    </row>
    <row r="62" spans="1:10" ht="12.75" customHeight="1">
      <c r="A62" s="1"/>
      <c r="B62" s="1"/>
      <c r="C62" s="1"/>
      <c r="D62" s="1"/>
      <c r="E62" s="2"/>
      <c r="F62" s="2"/>
      <c r="G62" s="2"/>
      <c r="H62" s="2"/>
      <c r="I62" s="2"/>
      <c r="J62" s="2"/>
    </row>
    <row r="63" spans="1:10" ht="12.75" customHeight="1">
      <c r="A63" s="1"/>
      <c r="B63" s="1"/>
      <c r="C63" s="1"/>
      <c r="D63" s="1"/>
      <c r="E63" s="2"/>
      <c r="F63" s="2"/>
      <c r="G63" s="2"/>
      <c r="H63" s="2"/>
      <c r="I63" s="2"/>
      <c r="J63" s="2"/>
    </row>
    <row r="64" spans="1:10" ht="12.75" customHeight="1">
      <c r="A64" s="1"/>
      <c r="B64" s="1"/>
      <c r="C64" s="1"/>
      <c r="D64" s="1"/>
      <c r="E64" s="2"/>
      <c r="F64" s="2"/>
      <c r="G64" s="2"/>
      <c r="H64" s="2"/>
      <c r="I64" s="2"/>
      <c r="J64" s="2"/>
    </row>
    <row r="65" spans="1:10" ht="12.75" customHeight="1">
      <c r="A65" s="1"/>
      <c r="B65" s="1"/>
      <c r="C65" s="1"/>
      <c r="D65" s="1"/>
      <c r="E65" s="2"/>
      <c r="F65" s="2"/>
      <c r="G65" s="2"/>
      <c r="H65" s="2"/>
      <c r="I65" s="2"/>
      <c r="J65" s="2"/>
    </row>
    <row r="66" spans="1:10" ht="12.75" customHeight="1">
      <c r="A66" s="1"/>
      <c r="B66" s="1"/>
      <c r="C66" s="1"/>
      <c r="D66" s="1"/>
      <c r="E66" s="2"/>
      <c r="F66" s="2"/>
      <c r="G66" s="2"/>
      <c r="H66" s="2"/>
      <c r="I66" s="2"/>
      <c r="J66" s="2"/>
    </row>
    <row r="67" spans="1:10" ht="12.75" customHeight="1">
      <c r="A67" s="1"/>
      <c r="B67" s="1"/>
      <c r="C67" s="1"/>
      <c r="D67" s="1"/>
      <c r="E67" s="2"/>
      <c r="F67" s="2"/>
      <c r="G67" s="2"/>
      <c r="H67" s="2"/>
      <c r="I67" s="2"/>
      <c r="J67" s="2"/>
    </row>
    <row r="68" spans="1:10" ht="12.75" customHeight="1">
      <c r="A68" s="1"/>
      <c r="B68" s="1"/>
      <c r="C68" s="1"/>
      <c r="D68" s="1"/>
      <c r="E68" s="2"/>
      <c r="F68" s="2"/>
      <c r="G68" s="2"/>
      <c r="H68" s="2"/>
      <c r="I68" s="2"/>
      <c r="J68" s="2"/>
    </row>
    <row r="69" spans="1:10" ht="12.75" customHeight="1">
      <c r="A69" s="1"/>
      <c r="B69" s="1"/>
      <c r="C69" s="1"/>
      <c r="D69" s="1"/>
      <c r="E69" s="2"/>
      <c r="F69" s="2"/>
      <c r="G69" s="2"/>
      <c r="H69" s="2"/>
      <c r="I69" s="2"/>
      <c r="J69" s="2"/>
    </row>
    <row r="70" spans="1:10" ht="12.75" customHeight="1">
      <c r="A70" s="1"/>
      <c r="B70" s="1"/>
      <c r="C70" s="1"/>
      <c r="D70" s="1"/>
      <c r="E70" s="2"/>
      <c r="F70" s="2"/>
      <c r="G70" s="2"/>
      <c r="H70" s="2"/>
      <c r="I70" s="2"/>
      <c r="J70" s="2"/>
    </row>
    <row r="71" spans="1:10" ht="12.75" customHeight="1">
      <c r="A71" s="1"/>
      <c r="B71" s="1"/>
      <c r="C71" s="1"/>
      <c r="D71" s="1"/>
      <c r="E71" s="2"/>
      <c r="F71" s="2"/>
      <c r="G71" s="2"/>
      <c r="H71" s="2"/>
      <c r="I71" s="2"/>
      <c r="J71" s="2"/>
    </row>
    <row r="72" spans="1:10" ht="12.75" customHeight="1">
      <c r="A72" s="1"/>
      <c r="B72" s="1"/>
      <c r="C72" s="1"/>
      <c r="D72" s="1"/>
      <c r="E72" s="2"/>
      <c r="F72" s="2"/>
      <c r="G72" s="2"/>
      <c r="H72" s="2"/>
      <c r="I72" s="2"/>
      <c r="J72" s="2"/>
    </row>
    <row r="73" spans="1:10" ht="12.75" customHeight="1">
      <c r="A73" s="1"/>
      <c r="B73" s="1"/>
      <c r="C73" s="1"/>
      <c r="D73" s="1"/>
      <c r="E73" s="2"/>
      <c r="F73" s="2"/>
      <c r="G73" s="2"/>
      <c r="H73" s="2"/>
      <c r="I73" s="2"/>
      <c r="J73" s="2"/>
    </row>
    <row r="74" spans="1:10" ht="12.75" customHeight="1">
      <c r="A74" s="1"/>
      <c r="B74" s="1"/>
      <c r="C74" s="1"/>
      <c r="D74" s="1"/>
      <c r="E74" s="2"/>
      <c r="F74" s="2"/>
      <c r="G74" s="2"/>
      <c r="H74" s="2"/>
      <c r="I74" s="2"/>
      <c r="J74" s="2"/>
    </row>
    <row r="75" spans="1:10" ht="12.75" customHeight="1">
      <c r="A75" s="1"/>
      <c r="B75" s="1"/>
      <c r="C75" s="1"/>
      <c r="D75" s="1"/>
      <c r="E75" s="2"/>
      <c r="F75" s="2"/>
      <c r="G75" s="2"/>
      <c r="H75" s="2"/>
      <c r="I75" s="2"/>
      <c r="J75" s="2"/>
    </row>
    <row r="76" spans="1:10" ht="12.75" customHeight="1">
      <c r="A76" s="1"/>
      <c r="B76" s="1"/>
      <c r="C76" s="1"/>
      <c r="D76" s="1"/>
      <c r="E76" s="2"/>
      <c r="F76" s="2"/>
      <c r="G76" s="2"/>
      <c r="H76" s="2"/>
      <c r="I76" s="2"/>
      <c r="J76" s="2"/>
    </row>
    <row r="77" spans="1:10" ht="12.75" customHeight="1">
      <c r="A77" s="1"/>
      <c r="B77" s="1"/>
      <c r="C77" s="1"/>
      <c r="D77" s="1"/>
      <c r="E77" s="2"/>
      <c r="F77" s="2"/>
      <c r="G77" s="2"/>
      <c r="H77" s="2"/>
      <c r="I77" s="2"/>
      <c r="J77" s="2"/>
    </row>
    <row r="78" spans="1:10" ht="12.75" customHeight="1">
      <c r="A78" s="1"/>
      <c r="B78" s="1"/>
      <c r="C78" s="1"/>
      <c r="D78" s="1"/>
      <c r="E78" s="2"/>
      <c r="F78" s="2"/>
      <c r="G78" s="2"/>
      <c r="H78" s="2"/>
      <c r="I78" s="2"/>
      <c r="J78" s="2"/>
    </row>
    <row r="79" spans="1:10" ht="12.75" customHeight="1">
      <c r="A79" s="1"/>
      <c r="B79" s="1"/>
      <c r="C79" s="1"/>
      <c r="D79" s="1"/>
      <c r="E79" s="2"/>
      <c r="F79" s="2"/>
      <c r="G79" s="2"/>
      <c r="H79" s="2"/>
      <c r="I79" s="2"/>
      <c r="J79" s="2"/>
    </row>
    <row r="80" spans="1:10" ht="12.75" customHeight="1">
      <c r="A80" s="1"/>
      <c r="B80" s="1"/>
      <c r="C80" s="1"/>
      <c r="D80" s="1"/>
      <c r="E80" s="2"/>
      <c r="F80" s="2"/>
      <c r="G80" s="2"/>
      <c r="H80" s="2"/>
      <c r="I80" s="2"/>
      <c r="J80" s="2"/>
    </row>
    <row r="81" spans="1:10" ht="12.75" customHeight="1">
      <c r="A81" s="1"/>
      <c r="B81" s="1"/>
      <c r="C81" s="1"/>
      <c r="D81" s="1"/>
      <c r="E81" s="2"/>
      <c r="F81" s="2"/>
      <c r="G81" s="2"/>
      <c r="H81" s="2"/>
      <c r="I81" s="2"/>
      <c r="J81" s="2"/>
    </row>
    <row r="82" spans="1:10" ht="12.75" customHeight="1">
      <c r="A82" s="1"/>
      <c r="B82" s="1"/>
      <c r="C82" s="1"/>
      <c r="D82" s="1"/>
      <c r="E82" s="2"/>
      <c r="F82" s="2"/>
      <c r="G82" s="2"/>
      <c r="H82" s="2"/>
      <c r="I82" s="2"/>
      <c r="J82" s="2"/>
    </row>
    <row r="83" spans="1:10" ht="12.75" customHeight="1">
      <c r="A83" s="1"/>
      <c r="B83" s="1"/>
      <c r="C83" s="1"/>
      <c r="D83" s="1"/>
      <c r="E83" s="2"/>
      <c r="F83" s="2"/>
      <c r="G83" s="2"/>
      <c r="H83" s="2"/>
      <c r="I83" s="2"/>
      <c r="J83" s="2"/>
    </row>
    <row r="84" spans="1:10" ht="12.75" customHeight="1">
      <c r="A84" s="1"/>
      <c r="B84" s="1"/>
      <c r="C84" s="1"/>
      <c r="D84" s="1"/>
      <c r="E84" s="2"/>
      <c r="F84" s="2"/>
      <c r="G84" s="2"/>
      <c r="H84" s="2"/>
      <c r="I84" s="2"/>
      <c r="J84" s="2"/>
    </row>
    <row r="85" spans="1:10" ht="12.75" customHeight="1">
      <c r="A85" s="1"/>
      <c r="B85" s="1"/>
      <c r="C85" s="1"/>
      <c r="D85" s="1"/>
      <c r="E85" s="2"/>
      <c r="F85" s="2"/>
      <c r="G85" s="2"/>
      <c r="H85" s="2"/>
      <c r="I85" s="2"/>
      <c r="J85" s="2"/>
    </row>
    <row r="86" spans="1:10" ht="12.75" customHeight="1">
      <c r="A86" s="1"/>
      <c r="B86" s="1"/>
      <c r="C86" s="1"/>
      <c r="D86" s="1"/>
      <c r="E86" s="2"/>
      <c r="F86" s="2"/>
      <c r="G86" s="2"/>
      <c r="H86" s="2"/>
      <c r="I86" s="2"/>
      <c r="J86" s="2"/>
    </row>
    <row r="87" spans="1:10" ht="12.75" customHeight="1">
      <c r="A87" s="1"/>
      <c r="B87" s="1"/>
      <c r="C87" s="1"/>
      <c r="D87" s="1"/>
      <c r="E87" s="2"/>
      <c r="F87" s="2"/>
      <c r="G87" s="2"/>
      <c r="H87" s="2"/>
      <c r="I87" s="2"/>
      <c r="J87" s="2"/>
    </row>
    <row r="88" spans="1:10" ht="12.75" customHeight="1">
      <c r="A88" s="1"/>
      <c r="B88" s="1"/>
      <c r="C88" s="1"/>
      <c r="D88" s="1"/>
      <c r="E88" s="2"/>
      <c r="F88" s="2"/>
      <c r="G88" s="2"/>
      <c r="H88" s="2"/>
      <c r="I88" s="2"/>
      <c r="J88" s="2"/>
    </row>
    <row r="89" spans="1:10" ht="12.75" customHeight="1">
      <c r="A89" s="1"/>
      <c r="B89" s="1"/>
      <c r="C89" s="1"/>
      <c r="D89" s="1"/>
      <c r="E89" s="2"/>
      <c r="F89" s="2"/>
      <c r="G89" s="2"/>
      <c r="H89" s="2"/>
      <c r="I89" s="2"/>
      <c r="J89" s="2"/>
    </row>
    <row r="90" spans="1:10" ht="12.75" customHeight="1">
      <c r="A90" s="1"/>
      <c r="B90" s="1"/>
      <c r="C90" s="1"/>
      <c r="D90" s="1"/>
      <c r="E90" s="2"/>
      <c r="F90" s="2"/>
      <c r="G90" s="2"/>
      <c r="H90" s="2"/>
      <c r="I90" s="2"/>
      <c r="J90" s="2"/>
    </row>
    <row r="91" spans="1:10" ht="12.75" customHeight="1">
      <c r="A91" s="1"/>
      <c r="B91" s="1"/>
      <c r="C91" s="1"/>
      <c r="D91" s="1"/>
      <c r="E91" s="2"/>
      <c r="F91" s="2"/>
      <c r="G91" s="2"/>
      <c r="H91" s="2"/>
      <c r="I91" s="2"/>
      <c r="J91" s="2"/>
    </row>
    <row r="92" spans="1:10" ht="12.75" customHeight="1">
      <c r="A92" s="1"/>
      <c r="B92" s="1"/>
      <c r="C92" s="1"/>
      <c r="D92" s="1"/>
      <c r="E92" s="2"/>
      <c r="F92" s="2"/>
      <c r="G92" s="2"/>
      <c r="H92" s="2"/>
      <c r="I92" s="2"/>
      <c r="J92" s="2"/>
    </row>
    <row r="93" spans="1:10" ht="12.75" customHeight="1">
      <c r="A93" s="1"/>
      <c r="B93" s="1"/>
      <c r="C93" s="1"/>
      <c r="D93" s="1"/>
      <c r="E93" s="2"/>
      <c r="F93" s="2"/>
      <c r="G93" s="2"/>
      <c r="H93" s="2"/>
      <c r="I93" s="2"/>
      <c r="J93" s="2"/>
    </row>
    <row r="94" spans="1:10" ht="12.75" customHeight="1">
      <c r="A94" s="1"/>
      <c r="B94" s="1"/>
      <c r="C94" s="1"/>
      <c r="D94" s="1"/>
      <c r="E94" s="2"/>
      <c r="F94" s="2"/>
      <c r="G94" s="2"/>
      <c r="H94" s="2"/>
      <c r="I94" s="2"/>
      <c r="J94" s="2"/>
    </row>
    <row r="95" spans="1:10" ht="12.75" customHeight="1">
      <c r="A95" s="1"/>
      <c r="B95" s="1"/>
      <c r="C95" s="1"/>
      <c r="D95" s="1"/>
      <c r="E95" s="2"/>
      <c r="F95" s="2"/>
      <c r="G95" s="2"/>
      <c r="H95" s="2"/>
      <c r="I95" s="2"/>
      <c r="J95" s="2"/>
    </row>
    <row r="96" spans="1:10" ht="12.75" customHeight="1">
      <c r="A96" s="1"/>
      <c r="B96" s="1"/>
      <c r="C96" s="1"/>
      <c r="D96" s="1"/>
      <c r="E96" s="2"/>
      <c r="F96" s="2"/>
      <c r="G96" s="2"/>
      <c r="H96" s="2"/>
      <c r="I96" s="2"/>
      <c r="J96" s="2"/>
    </row>
    <row r="97" spans="1:10" ht="12.75" customHeight="1">
      <c r="A97" s="1"/>
      <c r="B97" s="1"/>
      <c r="C97" s="1"/>
      <c r="D97" s="1"/>
      <c r="E97" s="2"/>
      <c r="F97" s="2"/>
      <c r="G97" s="2"/>
      <c r="H97" s="2"/>
      <c r="I97" s="2"/>
      <c r="J97" s="2"/>
    </row>
    <row r="98" spans="1:10" ht="12.75" customHeight="1">
      <c r="A98" s="1"/>
      <c r="B98" s="1"/>
      <c r="C98" s="1"/>
      <c r="D98" s="1"/>
      <c r="E98" s="2"/>
      <c r="F98" s="2"/>
      <c r="G98" s="2"/>
      <c r="H98" s="2"/>
      <c r="I98" s="2"/>
      <c r="J98" s="2"/>
    </row>
    <row r="99" spans="1:10" ht="12.75" customHeight="1">
      <c r="A99" s="1"/>
      <c r="B99" s="1"/>
      <c r="C99" s="1"/>
      <c r="D99" s="1"/>
      <c r="E99" s="2"/>
      <c r="F99" s="2"/>
      <c r="G99" s="2"/>
      <c r="H99" s="2"/>
      <c r="I99" s="2"/>
      <c r="J99" s="2"/>
    </row>
    <row r="100" spans="1:10" ht="12.75" customHeight="1">
      <c r="A100" s="1"/>
      <c r="B100" s="1"/>
      <c r="C100" s="1"/>
      <c r="D100" s="1"/>
      <c r="E100" s="2"/>
      <c r="F100" s="2"/>
      <c r="G100" s="2"/>
      <c r="H100" s="2"/>
      <c r="I100" s="2"/>
      <c r="J100" s="2"/>
    </row>
    <row r="101" spans="1:10" ht="12.75" customHeight="1">
      <c r="A101" s="1"/>
      <c r="B101" s="1"/>
      <c r="C101" s="1"/>
      <c r="D101" s="1"/>
      <c r="E101" s="2"/>
      <c r="F101" s="2"/>
      <c r="G101" s="2"/>
      <c r="H101" s="2"/>
      <c r="I101" s="2"/>
      <c r="J101" s="2"/>
    </row>
    <row r="102" spans="1:10" ht="12.75" customHeight="1">
      <c r="A102" s="1"/>
      <c r="B102" s="1"/>
      <c r="C102" s="1"/>
      <c r="D102" s="1"/>
      <c r="E102" s="2"/>
      <c r="F102" s="2"/>
      <c r="G102" s="2"/>
      <c r="H102" s="2"/>
      <c r="I102" s="2"/>
      <c r="J102" s="2"/>
    </row>
    <row r="103" spans="1:10" ht="12.75" customHeight="1">
      <c r="A103" s="1"/>
      <c r="B103" s="1"/>
      <c r="C103" s="1"/>
      <c r="D103" s="1"/>
      <c r="E103" s="2"/>
      <c r="F103" s="2"/>
      <c r="G103" s="2"/>
      <c r="H103" s="2"/>
      <c r="I103" s="2"/>
      <c r="J103" s="2"/>
    </row>
    <row r="104" spans="1:10" ht="12.75" customHeight="1">
      <c r="A104" s="1"/>
      <c r="B104" s="1"/>
      <c r="C104" s="1"/>
      <c r="D104" s="1"/>
      <c r="E104" s="2"/>
      <c r="F104" s="2"/>
      <c r="G104" s="2"/>
      <c r="H104" s="2"/>
      <c r="I104" s="2"/>
      <c r="J104" s="2"/>
    </row>
    <row r="105" spans="1:10" ht="12.75" customHeight="1">
      <c r="A105" s="1"/>
      <c r="B105" s="1"/>
      <c r="C105" s="1"/>
      <c r="D105" s="1"/>
      <c r="E105" s="2"/>
      <c r="F105" s="2"/>
      <c r="G105" s="2"/>
      <c r="H105" s="2"/>
      <c r="I105" s="2"/>
      <c r="J105" s="2"/>
    </row>
    <row r="106" spans="1:10" ht="12.75" customHeight="1">
      <c r="A106" s="1"/>
      <c r="B106" s="1"/>
      <c r="C106" s="1"/>
      <c r="D106" s="1"/>
      <c r="E106" s="2"/>
      <c r="F106" s="2"/>
      <c r="G106" s="2"/>
      <c r="H106" s="2"/>
      <c r="I106" s="2"/>
      <c r="J106" s="2"/>
    </row>
    <row r="107" spans="1:10" ht="12.75" customHeight="1">
      <c r="A107" s="1"/>
      <c r="B107" s="1"/>
      <c r="C107" s="1"/>
      <c r="D107" s="1"/>
      <c r="E107" s="2"/>
      <c r="F107" s="2"/>
      <c r="G107" s="2"/>
      <c r="H107" s="2"/>
      <c r="I107" s="2"/>
      <c r="J107" s="2"/>
    </row>
    <row r="108" spans="1:10" ht="12.75" customHeight="1">
      <c r="A108" s="1"/>
      <c r="B108" s="1"/>
      <c r="C108" s="1"/>
      <c r="D108" s="1"/>
      <c r="E108" s="2"/>
      <c r="F108" s="2"/>
      <c r="G108" s="2"/>
      <c r="H108" s="2"/>
      <c r="I108" s="2"/>
      <c r="J108" s="2"/>
    </row>
    <row r="109" spans="1:10" ht="12.75" customHeight="1">
      <c r="A109" s="1"/>
      <c r="B109" s="1"/>
      <c r="C109" s="1"/>
      <c r="D109" s="1"/>
      <c r="E109" s="2"/>
      <c r="F109" s="2"/>
      <c r="G109" s="2"/>
      <c r="H109" s="2"/>
      <c r="I109" s="2"/>
      <c r="J109" s="2"/>
    </row>
    <row r="110" spans="1:10" ht="12.75" customHeight="1">
      <c r="A110" s="1"/>
      <c r="B110" s="1"/>
      <c r="C110" s="1"/>
      <c r="D110" s="1"/>
      <c r="E110" s="2"/>
      <c r="F110" s="2"/>
      <c r="G110" s="2"/>
      <c r="H110" s="2"/>
      <c r="I110" s="2"/>
      <c r="J110" s="2"/>
    </row>
    <row r="111" spans="1:10" ht="12.75" customHeight="1">
      <c r="A111" s="1"/>
      <c r="B111" s="1"/>
      <c r="C111" s="1"/>
      <c r="D111" s="1"/>
      <c r="E111" s="2"/>
      <c r="F111" s="2"/>
      <c r="G111" s="2"/>
      <c r="H111" s="2"/>
      <c r="I111" s="2"/>
      <c r="J111" s="2"/>
    </row>
    <row r="112" spans="1:10" ht="12.75" customHeight="1">
      <c r="A112" s="1"/>
      <c r="B112" s="1"/>
      <c r="C112" s="1"/>
      <c r="D112" s="1"/>
      <c r="E112" s="2"/>
      <c r="F112" s="2"/>
      <c r="G112" s="2"/>
      <c r="H112" s="2"/>
      <c r="I112" s="2"/>
      <c r="J112" s="2"/>
    </row>
    <row r="113" spans="1:10" ht="12.75" customHeight="1">
      <c r="A113" s="1"/>
      <c r="B113" s="1"/>
      <c r="C113" s="1"/>
      <c r="D113" s="1"/>
      <c r="E113" s="2"/>
      <c r="F113" s="2"/>
      <c r="G113" s="2"/>
      <c r="H113" s="2"/>
      <c r="I113" s="2"/>
      <c r="J113" s="2"/>
    </row>
    <row r="114" spans="1:10" ht="12.75" customHeight="1">
      <c r="A114" s="1"/>
      <c r="B114" s="1"/>
      <c r="C114" s="1"/>
      <c r="D114" s="1"/>
      <c r="E114" s="2"/>
      <c r="F114" s="2"/>
      <c r="G114" s="2"/>
      <c r="H114" s="2"/>
      <c r="I114" s="2"/>
      <c r="J114" s="2"/>
    </row>
    <row r="115" spans="1:10" ht="12.75" customHeight="1">
      <c r="A115" s="1"/>
      <c r="B115" s="1"/>
      <c r="C115" s="1"/>
      <c r="D115" s="1"/>
      <c r="E115" s="2"/>
      <c r="F115" s="2"/>
      <c r="G115" s="2"/>
      <c r="H115" s="2"/>
      <c r="I115" s="2"/>
      <c r="J115" s="2"/>
    </row>
    <row r="116" spans="1:10" ht="12.75" customHeight="1">
      <c r="A116" s="1"/>
      <c r="B116" s="1"/>
      <c r="C116" s="1"/>
      <c r="D116" s="1"/>
      <c r="E116" s="2"/>
      <c r="F116" s="2"/>
      <c r="G116" s="2"/>
      <c r="H116" s="2"/>
      <c r="I116" s="2"/>
      <c r="J116" s="2"/>
    </row>
    <row r="117" spans="1:10" ht="12.75" customHeight="1">
      <c r="A117" s="1"/>
      <c r="B117" s="1"/>
      <c r="C117" s="1"/>
      <c r="D117" s="1"/>
      <c r="E117" s="2"/>
      <c r="F117" s="2"/>
      <c r="G117" s="2"/>
      <c r="H117" s="2"/>
      <c r="I117" s="2"/>
      <c r="J117" s="2"/>
    </row>
    <row r="118" spans="1:10" ht="12.75" customHeight="1">
      <c r="A118" s="1"/>
      <c r="B118" s="1"/>
      <c r="C118" s="1"/>
      <c r="D118" s="1"/>
      <c r="E118" s="2"/>
      <c r="F118" s="2"/>
      <c r="G118" s="2"/>
      <c r="H118" s="2"/>
      <c r="I118" s="2"/>
      <c r="J118" s="2"/>
    </row>
    <row r="119" spans="1:10" ht="12.75" customHeight="1">
      <c r="A119" s="1"/>
      <c r="B119" s="1"/>
      <c r="C119" s="1"/>
      <c r="D119" s="1"/>
      <c r="E119" s="2"/>
      <c r="F119" s="2"/>
      <c r="G119" s="2"/>
      <c r="H119" s="2"/>
      <c r="I119" s="2"/>
      <c r="J119" s="2"/>
    </row>
    <row r="120" spans="1:10" ht="12.75" customHeight="1">
      <c r="A120" s="1"/>
      <c r="B120" s="1"/>
      <c r="C120" s="1"/>
      <c r="D120" s="1"/>
      <c r="E120" s="2"/>
      <c r="F120" s="2"/>
      <c r="G120" s="2"/>
      <c r="H120" s="2"/>
      <c r="I120" s="2"/>
      <c r="J120" s="2"/>
    </row>
    <row r="121" spans="1:10" ht="12.75" customHeight="1">
      <c r="A121" s="1"/>
      <c r="B121" s="1"/>
      <c r="C121" s="1"/>
      <c r="D121" s="1"/>
      <c r="E121" s="2"/>
      <c r="F121" s="2"/>
      <c r="G121" s="2"/>
      <c r="H121" s="2"/>
      <c r="I121" s="2"/>
      <c r="J121" s="2"/>
    </row>
    <row r="122" spans="1:10" ht="12.75" customHeight="1">
      <c r="A122" s="1"/>
      <c r="B122" s="1"/>
      <c r="C122" s="1"/>
      <c r="D122" s="1"/>
      <c r="E122" s="2"/>
      <c r="F122" s="2"/>
      <c r="G122" s="2"/>
      <c r="H122" s="2"/>
      <c r="I122" s="2"/>
      <c r="J122" s="2"/>
    </row>
    <row r="123" spans="1:10" ht="12.75" customHeight="1">
      <c r="A123" s="1"/>
      <c r="B123" s="1"/>
      <c r="C123" s="1"/>
      <c r="D123" s="1"/>
      <c r="E123" s="2"/>
      <c r="F123" s="2"/>
      <c r="G123" s="2"/>
      <c r="H123" s="2"/>
      <c r="I123" s="2"/>
      <c r="J123" s="2"/>
    </row>
    <row r="124" spans="1:10" ht="12.75" customHeight="1">
      <c r="A124" s="1"/>
      <c r="B124" s="1"/>
      <c r="C124" s="1"/>
      <c r="D124" s="1"/>
      <c r="E124" s="2"/>
      <c r="F124" s="2"/>
      <c r="G124" s="2"/>
      <c r="H124" s="2"/>
      <c r="I124" s="2"/>
      <c r="J124" s="2"/>
    </row>
    <row r="125" spans="1:10" ht="12.75" customHeight="1">
      <c r="A125" s="1"/>
      <c r="B125" s="1"/>
      <c r="C125" s="1"/>
      <c r="D125" s="1"/>
      <c r="E125" s="2"/>
      <c r="F125" s="2"/>
      <c r="G125" s="2"/>
      <c r="H125" s="2"/>
      <c r="I125" s="2"/>
      <c r="J125" s="2"/>
    </row>
    <row r="126" spans="1:10" ht="12.75" customHeight="1">
      <c r="A126" s="1"/>
      <c r="B126" s="1"/>
      <c r="C126" s="1"/>
      <c r="D126" s="1"/>
      <c r="E126" s="2"/>
      <c r="F126" s="2"/>
      <c r="G126" s="2"/>
      <c r="H126" s="2"/>
      <c r="I126" s="2"/>
      <c r="J126" s="2"/>
    </row>
    <row r="127" spans="1:10" ht="12.75" customHeight="1">
      <c r="A127" s="1"/>
      <c r="B127" s="1"/>
      <c r="C127" s="1"/>
      <c r="D127" s="1"/>
      <c r="E127" s="2"/>
      <c r="F127" s="2"/>
      <c r="G127" s="2"/>
      <c r="H127" s="2"/>
      <c r="I127" s="2"/>
      <c r="J127" s="2"/>
    </row>
    <row r="128" spans="1:10" ht="12.75" customHeight="1">
      <c r="A128" s="1"/>
      <c r="B128" s="1"/>
      <c r="C128" s="1"/>
      <c r="D128" s="1"/>
      <c r="E128" s="2"/>
      <c r="F128" s="2"/>
      <c r="G128" s="2"/>
      <c r="H128" s="2"/>
      <c r="I128" s="2"/>
      <c r="J128" s="2"/>
    </row>
    <row r="129" spans="1:10" ht="12.75" customHeight="1">
      <c r="A129" s="1"/>
      <c r="B129" s="1"/>
      <c r="C129" s="1"/>
      <c r="D129" s="1"/>
      <c r="E129" s="2"/>
      <c r="F129" s="2"/>
      <c r="G129" s="2"/>
      <c r="H129" s="2"/>
      <c r="I129" s="2"/>
      <c r="J129" s="2"/>
    </row>
    <row r="130" spans="1:10" ht="12.75" customHeight="1">
      <c r="A130" s="1"/>
      <c r="B130" s="1"/>
      <c r="C130" s="1"/>
      <c r="D130" s="1"/>
      <c r="E130" s="2"/>
      <c r="F130" s="2"/>
      <c r="G130" s="2"/>
      <c r="H130" s="2"/>
      <c r="I130" s="2"/>
      <c r="J130" s="2"/>
    </row>
    <row r="131" spans="1:10" ht="12.75" customHeight="1">
      <c r="A131" s="1"/>
      <c r="B131" s="1"/>
      <c r="C131" s="1"/>
      <c r="D131" s="1"/>
      <c r="E131" s="2"/>
      <c r="F131" s="2"/>
      <c r="G131" s="2"/>
      <c r="H131" s="2"/>
      <c r="I131" s="2"/>
      <c r="J131" s="2"/>
    </row>
    <row r="132" spans="1:10" ht="12.75" customHeight="1">
      <c r="A132" s="1"/>
      <c r="B132" s="1"/>
      <c r="C132" s="1"/>
      <c r="D132" s="1"/>
      <c r="E132" s="2"/>
      <c r="F132" s="2"/>
      <c r="G132" s="2"/>
      <c r="H132" s="2"/>
      <c r="I132" s="2"/>
      <c r="J132" s="2"/>
    </row>
    <row r="133" spans="1:10" ht="12.75" customHeight="1">
      <c r="A133" s="1"/>
      <c r="B133" s="1"/>
      <c r="C133" s="1"/>
      <c r="D133" s="1"/>
      <c r="E133" s="2"/>
      <c r="F133" s="2"/>
      <c r="G133" s="2"/>
      <c r="H133" s="2"/>
      <c r="I133" s="2"/>
      <c r="J133" s="2"/>
    </row>
    <row r="134" spans="1:10" ht="12.75" customHeight="1">
      <c r="A134" s="1"/>
      <c r="B134" s="1"/>
      <c r="C134" s="1"/>
      <c r="D134" s="1"/>
      <c r="E134" s="2"/>
      <c r="F134" s="2"/>
      <c r="G134" s="2"/>
      <c r="H134" s="2"/>
      <c r="I134" s="2"/>
      <c r="J134" s="2"/>
    </row>
    <row r="135" spans="1:10" ht="12.75" customHeight="1">
      <c r="A135" s="1"/>
      <c r="B135" s="1"/>
      <c r="C135" s="1"/>
      <c r="D135" s="1"/>
      <c r="E135" s="2"/>
      <c r="F135" s="2"/>
      <c r="G135" s="2"/>
      <c r="H135" s="2"/>
      <c r="I135" s="2"/>
      <c r="J135" s="2"/>
    </row>
    <row r="136" spans="1:10" ht="12.75" customHeight="1">
      <c r="A136" s="1"/>
      <c r="B136" s="1"/>
      <c r="C136" s="1"/>
      <c r="D136" s="1"/>
      <c r="E136" s="2"/>
      <c r="F136" s="2"/>
      <c r="G136" s="2"/>
      <c r="H136" s="2"/>
      <c r="I136" s="2"/>
      <c r="J136" s="2"/>
    </row>
    <row r="137" spans="1:10" ht="12.75" customHeight="1">
      <c r="A137" s="1"/>
      <c r="B137" s="1"/>
      <c r="C137" s="1"/>
      <c r="D137" s="1"/>
      <c r="E137" s="2"/>
      <c r="F137" s="2"/>
      <c r="G137" s="2"/>
      <c r="H137" s="2"/>
      <c r="I137" s="2"/>
      <c r="J137" s="2"/>
    </row>
    <row r="138" spans="1:10" ht="12.75" customHeight="1">
      <c r="A138" s="1"/>
      <c r="B138" s="1"/>
      <c r="C138" s="1"/>
      <c r="D138" s="1"/>
      <c r="E138" s="2"/>
      <c r="F138" s="2"/>
      <c r="G138" s="2"/>
      <c r="H138" s="2"/>
      <c r="I138" s="2"/>
      <c r="J138" s="2"/>
    </row>
    <row r="139" spans="1:10" ht="12.75" customHeight="1">
      <c r="A139" s="1"/>
      <c r="B139" s="1"/>
      <c r="C139" s="1"/>
      <c r="D139" s="1"/>
      <c r="E139" s="2"/>
      <c r="F139" s="2"/>
      <c r="G139" s="2"/>
      <c r="H139" s="2"/>
      <c r="I139" s="2"/>
      <c r="J139" s="2"/>
    </row>
    <row r="140" spans="1:10" ht="12.75" customHeight="1">
      <c r="A140" s="1"/>
      <c r="B140" s="1"/>
      <c r="C140" s="1"/>
      <c r="D140" s="1"/>
      <c r="E140" s="2"/>
      <c r="F140" s="2"/>
      <c r="G140" s="2"/>
      <c r="H140" s="2"/>
      <c r="I140" s="2"/>
      <c r="J140" s="2"/>
    </row>
    <row r="141" spans="1:10" ht="12.75" customHeight="1">
      <c r="A141" s="1"/>
      <c r="B141" s="1"/>
      <c r="C141" s="1"/>
      <c r="D141" s="1"/>
      <c r="E141" s="2"/>
      <c r="F141" s="2"/>
      <c r="G141" s="2"/>
      <c r="H141" s="2"/>
      <c r="I141" s="2"/>
      <c r="J141" s="2"/>
    </row>
    <row r="142" spans="1:10" ht="12.75" customHeight="1">
      <c r="A142" s="1"/>
      <c r="B142" s="1"/>
      <c r="C142" s="1"/>
      <c r="D142" s="1"/>
      <c r="E142" s="2"/>
      <c r="F142" s="2"/>
      <c r="G142" s="2"/>
      <c r="H142" s="2"/>
      <c r="I142" s="2"/>
      <c r="J142" s="2"/>
    </row>
    <row r="143" spans="1:10" ht="12.75" customHeight="1">
      <c r="A143" s="1"/>
      <c r="B143" s="1"/>
      <c r="C143" s="1"/>
      <c r="D143" s="1"/>
      <c r="E143" s="2"/>
      <c r="F143" s="2"/>
      <c r="G143" s="2"/>
      <c r="H143" s="2"/>
      <c r="I143" s="2"/>
      <c r="J143" s="2"/>
    </row>
    <row r="144" spans="1:10" ht="12.75" customHeight="1">
      <c r="A144" s="1"/>
      <c r="B144" s="1"/>
      <c r="C144" s="1"/>
      <c r="D144" s="1"/>
      <c r="E144" s="2"/>
      <c r="F144" s="2"/>
      <c r="G144" s="2"/>
      <c r="H144" s="2"/>
      <c r="I144" s="2"/>
      <c r="J144" s="2"/>
    </row>
    <row r="145" spans="1:10" ht="12.75" customHeight="1">
      <c r="A145" s="1"/>
      <c r="B145" s="1"/>
      <c r="C145" s="1"/>
      <c r="D145" s="1"/>
      <c r="E145" s="2"/>
      <c r="F145" s="2"/>
      <c r="G145" s="2"/>
      <c r="H145" s="2"/>
      <c r="I145" s="2"/>
      <c r="J145" s="2"/>
    </row>
    <row r="146" spans="1:10" ht="12.75" customHeight="1">
      <c r="A146" s="1"/>
      <c r="B146" s="1"/>
      <c r="C146" s="1"/>
      <c r="D146" s="1"/>
      <c r="E146" s="2"/>
      <c r="F146" s="2"/>
      <c r="G146" s="2"/>
      <c r="H146" s="2"/>
      <c r="I146" s="2"/>
      <c r="J146" s="2"/>
    </row>
    <row r="147" spans="1:10" ht="12.75" customHeight="1">
      <c r="A147" s="1"/>
      <c r="B147" s="1"/>
      <c r="C147" s="1"/>
      <c r="D147" s="1"/>
      <c r="E147" s="2"/>
      <c r="F147" s="2"/>
      <c r="G147" s="2"/>
      <c r="H147" s="2"/>
      <c r="I147" s="2"/>
      <c r="J147" s="2"/>
    </row>
    <row r="148" spans="1:10" ht="12.75" customHeight="1">
      <c r="A148" s="1"/>
      <c r="B148" s="1"/>
      <c r="C148" s="1"/>
      <c r="D148" s="1"/>
      <c r="E148" s="2"/>
      <c r="F148" s="2"/>
      <c r="G148" s="2"/>
      <c r="H148" s="2"/>
      <c r="I148" s="2"/>
      <c r="J148" s="2"/>
    </row>
    <row r="149" spans="1:10" ht="12.75" customHeight="1">
      <c r="A149" s="1"/>
      <c r="B149" s="1"/>
      <c r="C149" s="1"/>
      <c r="D149" s="1"/>
      <c r="E149" s="2"/>
      <c r="F149" s="2"/>
      <c r="G149" s="2"/>
      <c r="H149" s="2"/>
      <c r="I149" s="2"/>
      <c r="J149" s="2"/>
    </row>
    <row r="150" spans="1:10" ht="12.75" customHeight="1">
      <c r="A150" s="1"/>
      <c r="B150" s="1"/>
      <c r="C150" s="1"/>
      <c r="D150" s="1"/>
      <c r="E150" s="2"/>
      <c r="F150" s="2"/>
      <c r="G150" s="2"/>
      <c r="H150" s="2"/>
      <c r="I150" s="2"/>
      <c r="J150" s="2"/>
    </row>
    <row r="151" spans="1:10" ht="12.75" customHeight="1">
      <c r="A151" s="1"/>
      <c r="B151" s="1"/>
      <c r="C151" s="1"/>
      <c r="D151" s="1"/>
      <c r="E151" s="2"/>
      <c r="F151" s="2"/>
      <c r="G151" s="2"/>
      <c r="H151" s="2"/>
      <c r="I151" s="2"/>
      <c r="J151" s="2"/>
    </row>
    <row r="152" spans="1:10" ht="12.75" customHeight="1">
      <c r="A152" s="1"/>
      <c r="B152" s="1"/>
      <c r="C152" s="1"/>
      <c r="D152" s="1"/>
      <c r="E152" s="2"/>
      <c r="F152" s="2"/>
      <c r="G152" s="2"/>
      <c r="H152" s="2"/>
      <c r="I152" s="2"/>
      <c r="J152" s="2"/>
    </row>
    <row r="153" spans="1:10" ht="12.75" customHeight="1">
      <c r="A153" s="1"/>
      <c r="B153" s="1"/>
      <c r="C153" s="1"/>
      <c r="D153" s="1"/>
      <c r="E153" s="2"/>
      <c r="F153" s="2"/>
      <c r="G153" s="2"/>
      <c r="H153" s="2"/>
      <c r="I153" s="2"/>
      <c r="J153" s="2"/>
    </row>
    <row r="154" spans="1:10" ht="12.75" customHeight="1">
      <c r="A154" s="1"/>
      <c r="B154" s="1"/>
      <c r="C154" s="1"/>
      <c r="D154" s="1"/>
      <c r="E154" s="2"/>
      <c r="F154" s="2"/>
      <c r="G154" s="2"/>
      <c r="H154" s="2"/>
      <c r="I154" s="2"/>
      <c r="J154" s="2"/>
    </row>
    <row r="155" spans="1:10" ht="12.75" customHeight="1">
      <c r="A155" s="1"/>
      <c r="B155" s="1"/>
      <c r="C155" s="1"/>
      <c r="D155" s="1"/>
      <c r="E155" s="2"/>
      <c r="F155" s="2"/>
      <c r="G155" s="2"/>
      <c r="H155" s="2"/>
      <c r="I155" s="2"/>
      <c r="J155" s="2"/>
    </row>
    <row r="156" spans="1:10" ht="12.75" customHeight="1">
      <c r="A156" s="1"/>
      <c r="B156" s="1"/>
      <c r="C156" s="1"/>
      <c r="D156" s="1"/>
      <c r="E156" s="2"/>
      <c r="F156" s="2"/>
      <c r="G156" s="2"/>
      <c r="H156" s="2"/>
      <c r="I156" s="2"/>
      <c r="J156" s="2"/>
    </row>
    <row r="157" spans="1:10" ht="12.75" customHeight="1">
      <c r="A157" s="1"/>
      <c r="B157" s="1"/>
      <c r="C157" s="1"/>
      <c r="D157" s="1"/>
      <c r="E157" s="2"/>
      <c r="F157" s="2"/>
      <c r="G157" s="2"/>
      <c r="H157" s="2"/>
      <c r="I157" s="2"/>
      <c r="J157" s="2"/>
    </row>
    <row r="158" spans="1:10" ht="12.75" customHeight="1">
      <c r="A158" s="1"/>
      <c r="B158" s="1"/>
      <c r="C158" s="1"/>
      <c r="D158" s="1"/>
      <c r="E158" s="2"/>
      <c r="F158" s="2"/>
      <c r="G158" s="2"/>
      <c r="H158" s="2"/>
      <c r="I158" s="2"/>
      <c r="J158" s="2"/>
    </row>
    <row r="159" spans="1:10" ht="12.75" customHeight="1">
      <c r="A159" s="1"/>
      <c r="B159" s="1"/>
      <c r="C159" s="1"/>
      <c r="D159" s="1"/>
      <c r="E159" s="2"/>
      <c r="F159" s="2"/>
      <c r="G159" s="2"/>
      <c r="H159" s="2"/>
      <c r="I159" s="2"/>
      <c r="J159" s="2"/>
    </row>
    <row r="160" spans="1:10" ht="12.75" customHeight="1">
      <c r="A160" s="1"/>
      <c r="B160" s="1"/>
      <c r="C160" s="1"/>
      <c r="D160" s="1"/>
      <c r="E160" s="2"/>
      <c r="F160" s="2"/>
      <c r="G160" s="2"/>
      <c r="H160" s="2"/>
      <c r="I160" s="2"/>
      <c r="J160" s="2"/>
    </row>
    <row r="161" spans="1:10" ht="12.75" customHeight="1">
      <c r="A161" s="1"/>
      <c r="B161" s="1"/>
      <c r="C161" s="1"/>
      <c r="D161" s="1"/>
      <c r="E161" s="2"/>
      <c r="F161" s="2"/>
      <c r="G161" s="2"/>
      <c r="H161" s="2"/>
      <c r="I161" s="2"/>
      <c r="J161" s="2"/>
    </row>
    <row r="162" spans="1:10" ht="12.75" customHeight="1">
      <c r="A162" s="1"/>
      <c r="B162" s="1"/>
      <c r="C162" s="1"/>
      <c r="D162" s="1"/>
      <c r="E162" s="2"/>
      <c r="F162" s="2"/>
      <c r="G162" s="2"/>
      <c r="H162" s="2"/>
      <c r="I162" s="2"/>
      <c r="J162" s="2"/>
    </row>
    <row r="163" spans="1:10" ht="12.75" customHeight="1">
      <c r="A163" s="1"/>
      <c r="B163" s="1"/>
      <c r="C163" s="1"/>
      <c r="D163" s="1"/>
      <c r="E163" s="2"/>
      <c r="F163" s="2"/>
      <c r="G163" s="2"/>
      <c r="H163" s="2"/>
      <c r="I163" s="2"/>
      <c r="J163" s="2"/>
    </row>
    <row r="164" spans="1:10" ht="12.75" customHeight="1">
      <c r="A164" s="1"/>
      <c r="B164" s="1"/>
      <c r="C164" s="1"/>
      <c r="D164" s="1"/>
      <c r="E164" s="2"/>
      <c r="F164" s="2"/>
      <c r="G164" s="2"/>
      <c r="H164" s="2"/>
      <c r="I164" s="2"/>
      <c r="J164" s="2"/>
    </row>
    <row r="165" spans="1:10" ht="12.75" customHeight="1">
      <c r="A165" s="1"/>
      <c r="B165" s="1"/>
      <c r="C165" s="1"/>
      <c r="D165" s="1"/>
      <c r="E165" s="2"/>
      <c r="F165" s="2"/>
      <c r="G165" s="2"/>
      <c r="H165" s="2"/>
      <c r="I165" s="2"/>
      <c r="J165" s="2"/>
    </row>
    <row r="166" spans="1:10" ht="12.75" customHeight="1">
      <c r="A166" s="1"/>
      <c r="B166" s="1"/>
      <c r="C166" s="1"/>
      <c r="D166" s="1"/>
      <c r="E166" s="2"/>
      <c r="F166" s="2"/>
      <c r="G166" s="2"/>
      <c r="H166" s="2"/>
      <c r="I166" s="2"/>
      <c r="J166" s="2"/>
    </row>
    <row r="167" spans="1:10" ht="12.75" customHeight="1">
      <c r="A167" s="1"/>
      <c r="B167" s="1"/>
      <c r="C167" s="1"/>
      <c r="D167" s="1"/>
      <c r="E167" s="2"/>
      <c r="F167" s="2"/>
      <c r="G167" s="2"/>
      <c r="H167" s="2"/>
      <c r="I167" s="2"/>
      <c r="J167" s="2"/>
    </row>
    <row r="168" spans="1:10" ht="12.75" customHeight="1">
      <c r="A168" s="1"/>
      <c r="B168" s="1"/>
      <c r="C168" s="1"/>
      <c r="D168" s="1"/>
      <c r="E168" s="2"/>
      <c r="F168" s="2"/>
      <c r="G168" s="2"/>
      <c r="H168" s="2"/>
      <c r="I168" s="2"/>
      <c r="J168" s="2"/>
    </row>
    <row r="169" spans="1:10" ht="12.75" customHeight="1">
      <c r="A169" s="1"/>
      <c r="B169" s="1"/>
      <c r="C169" s="1"/>
      <c r="D169" s="1"/>
      <c r="E169" s="2"/>
      <c r="F169" s="2"/>
      <c r="G169" s="2"/>
      <c r="H169" s="2"/>
      <c r="I169" s="2"/>
      <c r="J169" s="2"/>
    </row>
    <row r="170" spans="1:10" ht="12.75" customHeight="1">
      <c r="A170" s="1"/>
      <c r="B170" s="1"/>
      <c r="C170" s="1"/>
      <c r="D170" s="1"/>
      <c r="E170" s="2"/>
      <c r="F170" s="2"/>
      <c r="G170" s="2"/>
      <c r="H170" s="2"/>
      <c r="I170" s="2"/>
      <c r="J170" s="2"/>
    </row>
    <row r="171" spans="1:10" ht="12.75" customHeight="1">
      <c r="A171" s="1"/>
      <c r="B171" s="1"/>
      <c r="C171" s="1"/>
      <c r="D171" s="1"/>
      <c r="E171" s="2"/>
      <c r="F171" s="2"/>
      <c r="G171" s="2"/>
      <c r="H171" s="2"/>
      <c r="I171" s="2"/>
      <c r="J171" s="2"/>
    </row>
    <row r="172" spans="1:10" ht="12.75" customHeight="1">
      <c r="A172" s="1"/>
      <c r="B172" s="1"/>
      <c r="C172" s="1"/>
      <c r="D172" s="1"/>
      <c r="E172" s="2"/>
      <c r="F172" s="2"/>
      <c r="G172" s="2"/>
      <c r="H172" s="2"/>
      <c r="I172" s="2"/>
      <c r="J172" s="2"/>
    </row>
    <row r="173" spans="1:10" ht="12.75" customHeight="1">
      <c r="A173" s="1"/>
      <c r="B173" s="1"/>
      <c r="C173" s="1"/>
      <c r="D173" s="1"/>
      <c r="E173" s="2"/>
      <c r="F173" s="2"/>
      <c r="G173" s="2"/>
      <c r="H173" s="2"/>
      <c r="I173" s="2"/>
      <c r="J173" s="2"/>
    </row>
    <row r="174" spans="1:10" ht="12.75" customHeight="1">
      <c r="A174" s="1"/>
      <c r="B174" s="1"/>
      <c r="C174" s="1"/>
      <c r="D174" s="1"/>
      <c r="E174" s="2"/>
      <c r="F174" s="2"/>
      <c r="G174" s="2"/>
      <c r="H174" s="2"/>
      <c r="I174" s="2"/>
      <c r="J174" s="2"/>
    </row>
    <row r="175" spans="1:10" ht="12.75" customHeight="1">
      <c r="A175" s="1"/>
      <c r="B175" s="1"/>
      <c r="C175" s="1"/>
      <c r="D175" s="1"/>
      <c r="E175" s="2"/>
      <c r="F175" s="2"/>
      <c r="G175" s="2"/>
      <c r="H175" s="2"/>
      <c r="I175" s="2"/>
      <c r="J175" s="2"/>
    </row>
    <row r="176" spans="1:10" ht="12.75" customHeight="1">
      <c r="A176" s="1"/>
      <c r="B176" s="1"/>
      <c r="C176" s="1"/>
      <c r="D176" s="1"/>
      <c r="E176" s="2"/>
      <c r="F176" s="2"/>
      <c r="G176" s="2"/>
      <c r="H176" s="2"/>
      <c r="I176" s="2"/>
      <c r="J176" s="2"/>
    </row>
    <row r="177" spans="1:10" ht="12.75" customHeight="1">
      <c r="A177" s="1"/>
      <c r="B177" s="1"/>
      <c r="C177" s="1"/>
      <c r="D177" s="1"/>
      <c r="E177" s="2"/>
      <c r="F177" s="2"/>
      <c r="G177" s="2"/>
      <c r="H177" s="2"/>
      <c r="I177" s="2"/>
      <c r="J177" s="2"/>
    </row>
    <row r="178" spans="1:10" ht="12.75" customHeight="1">
      <c r="A178" s="1"/>
      <c r="B178" s="1"/>
      <c r="C178" s="1"/>
      <c r="D178" s="1"/>
      <c r="E178" s="2"/>
      <c r="F178" s="2"/>
      <c r="G178" s="2"/>
      <c r="H178" s="2"/>
      <c r="I178" s="2"/>
      <c r="J178" s="2"/>
    </row>
    <row r="179" spans="1:10" ht="12.75" customHeight="1">
      <c r="A179" s="1"/>
      <c r="B179" s="1"/>
      <c r="C179" s="1"/>
      <c r="D179" s="1"/>
      <c r="E179" s="2"/>
      <c r="F179" s="2"/>
      <c r="G179" s="2"/>
      <c r="H179" s="2"/>
      <c r="I179" s="2"/>
      <c r="J179" s="2"/>
    </row>
    <row r="180" spans="1:10" ht="12.75" customHeight="1">
      <c r="A180" s="1"/>
      <c r="B180" s="1"/>
      <c r="C180" s="1"/>
      <c r="D180" s="1"/>
      <c r="E180" s="2"/>
      <c r="F180" s="2"/>
      <c r="G180" s="2"/>
      <c r="H180" s="2"/>
      <c r="I180" s="2"/>
      <c r="J180" s="2"/>
    </row>
    <row r="181" spans="1:10" ht="12.75" customHeight="1">
      <c r="A181" s="1"/>
      <c r="B181" s="1"/>
      <c r="C181" s="1"/>
      <c r="D181" s="1"/>
      <c r="E181" s="2"/>
      <c r="F181" s="2"/>
      <c r="G181" s="2"/>
      <c r="H181" s="2"/>
      <c r="I181" s="2"/>
      <c r="J181" s="2"/>
    </row>
    <row r="182" spans="1:10" ht="12.75" customHeight="1">
      <c r="A182" s="1"/>
      <c r="B182" s="1"/>
      <c r="C182" s="1"/>
      <c r="D182" s="1"/>
      <c r="E182" s="2"/>
      <c r="F182" s="2"/>
      <c r="G182" s="2"/>
      <c r="H182" s="2"/>
      <c r="I182" s="2"/>
      <c r="J182" s="2"/>
    </row>
    <row r="183" spans="1:10" ht="12.75" customHeight="1">
      <c r="A183" s="1"/>
      <c r="B183" s="1"/>
      <c r="C183" s="1"/>
      <c r="D183" s="1"/>
      <c r="E183" s="2"/>
      <c r="F183" s="2"/>
      <c r="G183" s="2"/>
      <c r="H183" s="2"/>
      <c r="I183" s="2"/>
      <c r="J183" s="2"/>
    </row>
    <row r="184" spans="1:10" ht="12.75" customHeight="1">
      <c r="A184" s="1"/>
      <c r="B184" s="1"/>
      <c r="C184" s="1"/>
      <c r="D184" s="1"/>
      <c r="E184" s="2"/>
      <c r="F184" s="2"/>
      <c r="G184" s="2"/>
      <c r="H184" s="2"/>
      <c r="I184" s="2"/>
      <c r="J184" s="2"/>
    </row>
    <row r="185" spans="1:10" ht="12.75" customHeight="1">
      <c r="A185" s="1"/>
      <c r="B185" s="1"/>
      <c r="C185" s="1"/>
      <c r="D185" s="1"/>
      <c r="E185" s="2"/>
      <c r="F185" s="2"/>
      <c r="G185" s="2"/>
      <c r="H185" s="2"/>
      <c r="I185" s="2"/>
      <c r="J185" s="2"/>
    </row>
    <row r="186" spans="1:10" ht="12.75" customHeight="1">
      <c r="A186" s="1"/>
      <c r="B186" s="1"/>
      <c r="C186" s="1"/>
      <c r="D186" s="1"/>
      <c r="E186" s="2"/>
      <c r="F186" s="2"/>
      <c r="G186" s="2"/>
      <c r="H186" s="2"/>
      <c r="I186" s="2"/>
      <c r="J186" s="2"/>
    </row>
    <row r="187" spans="1:10" ht="12.75" customHeight="1">
      <c r="A187" s="1"/>
      <c r="B187" s="1"/>
      <c r="C187" s="1"/>
      <c r="D187" s="1"/>
      <c r="E187" s="2"/>
      <c r="F187" s="2"/>
      <c r="G187" s="2"/>
      <c r="H187" s="2"/>
      <c r="I187" s="2"/>
      <c r="J187" s="2"/>
    </row>
    <row r="188" spans="1:10" ht="12.75" customHeight="1">
      <c r="A188" s="1"/>
      <c r="B188" s="1"/>
      <c r="C188" s="1"/>
      <c r="D188" s="1"/>
      <c r="E188" s="2"/>
      <c r="F188" s="2"/>
      <c r="G188" s="2"/>
      <c r="H188" s="2"/>
      <c r="I188" s="2"/>
      <c r="J188" s="2"/>
    </row>
    <row r="189" spans="1:10" ht="12.75" customHeight="1">
      <c r="A189" s="1"/>
      <c r="B189" s="1"/>
      <c r="C189" s="1"/>
      <c r="D189" s="1"/>
      <c r="E189" s="2"/>
      <c r="F189" s="2"/>
      <c r="G189" s="2"/>
      <c r="H189" s="2"/>
      <c r="I189" s="2"/>
      <c r="J189" s="2"/>
    </row>
    <row r="190" spans="1:10" ht="12.75" customHeight="1">
      <c r="A190" s="1"/>
      <c r="B190" s="1"/>
      <c r="C190" s="1"/>
      <c r="D190" s="1"/>
      <c r="E190" s="2"/>
      <c r="F190" s="2"/>
      <c r="G190" s="2"/>
      <c r="H190" s="2"/>
      <c r="I190" s="2"/>
      <c r="J190" s="2"/>
    </row>
    <row r="191" spans="1:10" ht="12.75" customHeight="1">
      <c r="A191" s="1"/>
      <c r="B191" s="1"/>
      <c r="C191" s="1"/>
      <c r="D191" s="1"/>
      <c r="E191" s="2"/>
      <c r="F191" s="2"/>
      <c r="G191" s="2"/>
      <c r="H191" s="2"/>
      <c r="I191" s="2"/>
      <c r="J191" s="2"/>
    </row>
    <row r="192" spans="1:10" ht="12.75" customHeight="1">
      <c r="A192" s="1"/>
      <c r="B192" s="1"/>
      <c r="C192" s="1"/>
      <c r="D192" s="1"/>
      <c r="E192" s="2"/>
      <c r="F192" s="2"/>
      <c r="G192" s="2"/>
      <c r="H192" s="2"/>
      <c r="I192" s="2"/>
      <c r="J192" s="2"/>
    </row>
    <row r="193" spans="1:10" ht="12.75" customHeight="1">
      <c r="A193" s="1"/>
      <c r="B193" s="1"/>
      <c r="C193" s="1"/>
      <c r="D193" s="1"/>
      <c r="E193" s="2"/>
      <c r="F193" s="2"/>
      <c r="G193" s="2"/>
      <c r="H193" s="2"/>
      <c r="I193" s="2"/>
      <c r="J193" s="2"/>
    </row>
    <row r="194" spans="1:10" ht="12.75" customHeight="1">
      <c r="A194" s="1"/>
      <c r="B194" s="1"/>
      <c r="C194" s="1"/>
      <c r="D194" s="1"/>
      <c r="E194" s="2"/>
      <c r="F194" s="2"/>
      <c r="G194" s="2"/>
      <c r="H194" s="2"/>
      <c r="I194" s="2"/>
      <c r="J194" s="2"/>
    </row>
    <row r="195" spans="1:10" ht="12.75" customHeight="1">
      <c r="A195" s="1"/>
      <c r="B195" s="1"/>
      <c r="C195" s="1"/>
      <c r="D195" s="1"/>
      <c r="E195" s="2"/>
      <c r="F195" s="2"/>
      <c r="G195" s="2"/>
      <c r="H195" s="2"/>
      <c r="I195" s="2"/>
      <c r="J195" s="2"/>
    </row>
    <row r="196" spans="1:10" ht="12.75" customHeight="1">
      <c r="A196" s="1"/>
      <c r="B196" s="1"/>
      <c r="C196" s="1"/>
      <c r="D196" s="1"/>
      <c r="E196" s="2"/>
      <c r="F196" s="2"/>
      <c r="G196" s="2"/>
      <c r="H196" s="2"/>
      <c r="I196" s="2"/>
      <c r="J196" s="2"/>
    </row>
    <row r="197" spans="1:10" ht="12.75" customHeight="1">
      <c r="A197" s="1"/>
      <c r="B197" s="1"/>
      <c r="C197" s="1"/>
      <c r="D197" s="1"/>
      <c r="E197" s="2"/>
      <c r="F197" s="2"/>
      <c r="G197" s="2"/>
      <c r="H197" s="2"/>
      <c r="I197" s="2"/>
      <c r="J197" s="2"/>
    </row>
    <row r="198" spans="1:10" ht="12.75" customHeight="1">
      <c r="A198" s="1"/>
      <c r="B198" s="1"/>
      <c r="C198" s="1"/>
      <c r="D198" s="1"/>
      <c r="E198" s="2"/>
      <c r="F198" s="2"/>
      <c r="G198" s="2"/>
      <c r="H198" s="2"/>
      <c r="I198" s="2"/>
      <c r="J198" s="2"/>
    </row>
    <row r="199" spans="1:10" ht="12.75" customHeight="1">
      <c r="A199" s="1"/>
      <c r="B199" s="1"/>
      <c r="C199" s="1"/>
      <c r="D199" s="1"/>
      <c r="E199" s="2"/>
      <c r="F199" s="2"/>
      <c r="G199" s="2"/>
      <c r="H199" s="2"/>
      <c r="I199" s="2"/>
      <c r="J199" s="2"/>
    </row>
    <row r="200" spans="1:10" ht="12.75" customHeight="1">
      <c r="A200" s="1"/>
      <c r="B200" s="1"/>
      <c r="C200" s="1"/>
      <c r="D200" s="1"/>
      <c r="E200" s="2"/>
      <c r="F200" s="2"/>
      <c r="G200" s="2"/>
      <c r="H200" s="2"/>
      <c r="I200" s="2"/>
      <c r="J200" s="2"/>
    </row>
    <row r="201" spans="1:10" ht="12.75" customHeight="1">
      <c r="A201" s="1"/>
      <c r="B201" s="1"/>
      <c r="C201" s="1"/>
      <c r="D201" s="1"/>
      <c r="E201" s="2"/>
      <c r="F201" s="2"/>
      <c r="G201" s="2"/>
      <c r="H201" s="2"/>
      <c r="I201" s="2"/>
      <c r="J201" s="2"/>
    </row>
    <row r="202" spans="1:10" ht="12.75" customHeight="1">
      <c r="A202" s="1"/>
      <c r="B202" s="1"/>
      <c r="C202" s="1"/>
      <c r="D202" s="1"/>
      <c r="E202" s="2"/>
      <c r="F202" s="2"/>
      <c r="G202" s="2"/>
      <c r="H202" s="2"/>
      <c r="I202" s="2"/>
      <c r="J202" s="2"/>
    </row>
    <row r="203" spans="1:10" ht="12.75" customHeight="1">
      <c r="A203" s="1"/>
      <c r="B203" s="1"/>
      <c r="C203" s="1"/>
      <c r="D203" s="1"/>
      <c r="E203" s="2"/>
      <c r="F203" s="2"/>
      <c r="G203" s="2"/>
      <c r="H203" s="2"/>
      <c r="I203" s="2"/>
      <c r="J203" s="2"/>
    </row>
    <row r="204" spans="1:10" ht="12.75" customHeight="1">
      <c r="A204" s="1"/>
      <c r="B204" s="1"/>
      <c r="C204" s="1"/>
      <c r="D204" s="1"/>
      <c r="E204" s="2"/>
      <c r="F204" s="2"/>
      <c r="G204" s="2"/>
      <c r="H204" s="2"/>
      <c r="I204" s="2"/>
      <c r="J204" s="2"/>
    </row>
    <row r="205" spans="1:10" ht="12.75" customHeight="1">
      <c r="A205" s="1"/>
      <c r="B205" s="1"/>
      <c r="C205" s="1"/>
      <c r="D205" s="1"/>
      <c r="E205" s="2"/>
      <c r="F205" s="2"/>
      <c r="G205" s="2"/>
      <c r="H205" s="2"/>
      <c r="I205" s="2"/>
      <c r="J205" s="2"/>
    </row>
    <row r="206" spans="1:10" ht="12.75" customHeight="1">
      <c r="A206" s="1"/>
      <c r="B206" s="1"/>
      <c r="C206" s="1"/>
      <c r="D206" s="1"/>
      <c r="E206" s="2"/>
      <c r="F206" s="2"/>
      <c r="G206" s="2"/>
      <c r="H206" s="2"/>
      <c r="I206" s="2"/>
      <c r="J206" s="2"/>
    </row>
    <row r="207" spans="1:10" ht="12.75" customHeight="1">
      <c r="A207" s="1"/>
      <c r="B207" s="1"/>
      <c r="C207" s="1"/>
      <c r="D207" s="1"/>
      <c r="E207" s="2"/>
      <c r="F207" s="2"/>
      <c r="G207" s="2"/>
      <c r="H207" s="2"/>
      <c r="I207" s="2"/>
      <c r="J207" s="2"/>
    </row>
    <row r="208" spans="1:10" ht="12.75" customHeight="1">
      <c r="A208" s="1"/>
      <c r="B208" s="1"/>
      <c r="C208" s="1"/>
      <c r="D208" s="1"/>
      <c r="E208" s="2"/>
      <c r="F208" s="2"/>
      <c r="G208" s="2"/>
      <c r="H208" s="2"/>
      <c r="I208" s="2"/>
      <c r="J208" s="2"/>
    </row>
    <row r="209" spans="1:10" ht="12.75" customHeight="1">
      <c r="A209" s="1"/>
      <c r="B209" s="1"/>
      <c r="C209" s="1"/>
      <c r="D209" s="1"/>
      <c r="E209" s="2"/>
      <c r="F209" s="2"/>
      <c r="G209" s="2"/>
      <c r="H209" s="2"/>
      <c r="I209" s="2"/>
      <c r="J209" s="2"/>
    </row>
    <row r="210" spans="1:10" ht="12.75" customHeight="1">
      <c r="A210" s="1"/>
      <c r="B210" s="1"/>
      <c r="C210" s="1"/>
      <c r="D210" s="1"/>
      <c r="E210" s="2"/>
      <c r="F210" s="2"/>
      <c r="G210" s="2"/>
      <c r="H210" s="2"/>
      <c r="I210" s="2"/>
      <c r="J210" s="2"/>
    </row>
    <row r="211" spans="1:10" ht="12.75" customHeight="1">
      <c r="A211" s="1"/>
      <c r="B211" s="1"/>
      <c r="C211" s="1"/>
      <c r="D211" s="1"/>
      <c r="E211" s="2"/>
      <c r="F211" s="2"/>
      <c r="G211" s="2"/>
      <c r="H211" s="2"/>
      <c r="I211" s="2"/>
      <c r="J211" s="2"/>
    </row>
    <row r="212" spans="1:10" ht="12.75" customHeight="1">
      <c r="A212" s="1"/>
      <c r="B212" s="1"/>
      <c r="C212" s="1"/>
      <c r="D212" s="1"/>
      <c r="E212" s="2"/>
      <c r="F212" s="2"/>
      <c r="G212" s="2"/>
      <c r="H212" s="2"/>
      <c r="I212" s="2"/>
      <c r="J212" s="2"/>
    </row>
    <row r="213" spans="1:10" ht="12.75" customHeight="1">
      <c r="A213" s="1"/>
      <c r="B213" s="1"/>
      <c r="C213" s="1"/>
      <c r="D213" s="1"/>
      <c r="E213" s="2"/>
      <c r="F213" s="2"/>
      <c r="G213" s="2"/>
      <c r="H213" s="2"/>
      <c r="I213" s="2"/>
      <c r="J213" s="2"/>
    </row>
    <row r="214" spans="1:10" ht="12.75" customHeight="1">
      <c r="A214" s="1"/>
      <c r="B214" s="1"/>
      <c r="C214" s="1"/>
      <c r="D214" s="1"/>
      <c r="E214" s="2"/>
      <c r="F214" s="2"/>
      <c r="G214" s="2"/>
      <c r="H214" s="2"/>
      <c r="I214" s="2"/>
      <c r="J214" s="2"/>
    </row>
    <row r="215" spans="1:10" ht="12.75" customHeight="1">
      <c r="A215" s="1"/>
      <c r="B215" s="1"/>
      <c r="C215" s="1"/>
      <c r="D215" s="1"/>
      <c r="E215" s="2"/>
      <c r="F215" s="2"/>
      <c r="G215" s="2"/>
      <c r="H215" s="2"/>
      <c r="I215" s="2"/>
      <c r="J215" s="2"/>
    </row>
    <row r="216" spans="1:10" ht="12.75" customHeight="1">
      <c r="A216" s="1"/>
      <c r="B216" s="1"/>
      <c r="C216" s="1"/>
      <c r="D216" s="1"/>
      <c r="E216" s="2"/>
      <c r="F216" s="2"/>
      <c r="G216" s="2"/>
      <c r="H216" s="2"/>
      <c r="I216" s="2"/>
      <c r="J216" s="2"/>
    </row>
    <row r="217" spans="1:10" ht="12.75" customHeight="1">
      <c r="A217" s="1"/>
      <c r="B217" s="1"/>
      <c r="C217" s="1"/>
      <c r="D217" s="1"/>
      <c r="E217" s="2"/>
      <c r="F217" s="2"/>
      <c r="G217" s="2"/>
      <c r="H217" s="2"/>
      <c r="I217" s="2"/>
      <c r="J217" s="2"/>
    </row>
    <row r="218" spans="1:10" ht="12.75" customHeight="1">
      <c r="A218" s="1"/>
      <c r="B218" s="1"/>
      <c r="C218" s="1"/>
      <c r="D218" s="1"/>
      <c r="E218" s="2"/>
      <c r="F218" s="2"/>
      <c r="G218" s="2"/>
      <c r="H218" s="2"/>
      <c r="I218" s="2"/>
      <c r="J218" s="2"/>
    </row>
    <row r="219" spans="1:10" ht="12.75" customHeight="1">
      <c r="A219" s="1"/>
      <c r="B219" s="1"/>
      <c r="C219" s="1"/>
      <c r="D219" s="1"/>
      <c r="E219" s="2"/>
      <c r="F219" s="2"/>
      <c r="G219" s="2"/>
      <c r="H219" s="2"/>
      <c r="I219" s="2"/>
      <c r="J219" s="2"/>
    </row>
    <row r="220" spans="1:10" ht="12.75" customHeight="1">
      <c r="A220" s="1"/>
      <c r="B220" s="1"/>
      <c r="C220" s="1"/>
      <c r="D220" s="1"/>
      <c r="E220" s="2"/>
      <c r="F220" s="2"/>
      <c r="G220" s="2"/>
      <c r="H220" s="2"/>
      <c r="I220" s="2"/>
      <c r="J220" s="2"/>
    </row>
    <row r="221" spans="1:10" ht="12.75" customHeight="1">
      <c r="A221" s="1"/>
      <c r="B221" s="1"/>
      <c r="C221" s="1"/>
      <c r="D221" s="1"/>
      <c r="E221" s="2"/>
      <c r="F221" s="2"/>
      <c r="G221" s="2"/>
      <c r="H221" s="2"/>
      <c r="I221" s="2"/>
      <c r="J221" s="2"/>
    </row>
    <row r="222" spans="1:10" ht="12.75" customHeight="1">
      <c r="A222" s="1"/>
      <c r="B222" s="1"/>
      <c r="C222" s="1"/>
      <c r="D222" s="1"/>
      <c r="E222" s="2"/>
      <c r="F222" s="2"/>
      <c r="G222" s="2"/>
      <c r="H222" s="2"/>
      <c r="I222" s="2"/>
      <c r="J222" s="2"/>
    </row>
    <row r="223" spans="1:10" ht="12.75" customHeight="1">
      <c r="A223" s="1"/>
      <c r="B223" s="1"/>
      <c r="C223" s="1"/>
      <c r="D223" s="1"/>
      <c r="E223" s="2"/>
      <c r="F223" s="2"/>
      <c r="G223" s="2"/>
      <c r="H223" s="2"/>
      <c r="I223" s="2"/>
      <c r="J223" s="2"/>
    </row>
    <row r="224" spans="1:10" ht="12.75" customHeight="1">
      <c r="A224" s="1"/>
      <c r="B224" s="1"/>
      <c r="C224" s="1"/>
      <c r="D224" s="1"/>
      <c r="E224" s="2"/>
      <c r="F224" s="2"/>
      <c r="G224" s="2"/>
      <c r="H224" s="2"/>
      <c r="I224" s="2"/>
      <c r="J224" s="2"/>
    </row>
    <row r="225" spans="1:10" ht="12.75" customHeight="1">
      <c r="A225" s="1"/>
      <c r="B225" s="1"/>
      <c r="C225" s="1"/>
      <c r="D225" s="1"/>
      <c r="E225" s="2"/>
      <c r="F225" s="2"/>
      <c r="G225" s="2"/>
      <c r="H225" s="2"/>
      <c r="I225" s="2"/>
      <c r="J225" s="2"/>
    </row>
    <row r="226" spans="1:10" ht="12.75" customHeight="1">
      <c r="A226" s="1"/>
      <c r="B226" s="1"/>
      <c r="C226" s="1"/>
      <c r="D226" s="1"/>
      <c r="E226" s="2"/>
      <c r="F226" s="2"/>
      <c r="G226" s="2"/>
      <c r="H226" s="2"/>
      <c r="I226" s="2"/>
      <c r="J226" s="2"/>
    </row>
    <row r="227" spans="1:10" ht="12.75" customHeight="1">
      <c r="A227" s="1"/>
      <c r="B227" s="1"/>
      <c r="C227" s="1"/>
      <c r="D227" s="1"/>
      <c r="E227" s="2"/>
      <c r="F227" s="2"/>
      <c r="G227" s="2"/>
      <c r="H227" s="2"/>
      <c r="I227" s="2"/>
      <c r="J227" s="2"/>
    </row>
    <row r="228" spans="1:10" ht="12.75" customHeight="1">
      <c r="A228" s="1"/>
      <c r="B228" s="1"/>
      <c r="C228" s="1"/>
      <c r="D228" s="1"/>
      <c r="E228" s="2"/>
      <c r="F228" s="2"/>
      <c r="G228" s="2"/>
      <c r="H228" s="2"/>
      <c r="I228" s="2"/>
      <c r="J228" s="2"/>
    </row>
    <row r="229" spans="1:10" ht="12.75" customHeight="1">
      <c r="A229" s="1"/>
      <c r="B229" s="1"/>
      <c r="C229" s="1"/>
      <c r="D229" s="1"/>
      <c r="E229" s="2"/>
      <c r="F229" s="2"/>
      <c r="G229" s="2"/>
      <c r="H229" s="2"/>
      <c r="I229" s="2"/>
      <c r="J229" s="2"/>
    </row>
    <row r="230" spans="1:10" ht="12.75" customHeight="1">
      <c r="A230" s="1"/>
      <c r="B230" s="1"/>
      <c r="C230" s="1"/>
      <c r="D230" s="1"/>
      <c r="E230" s="2"/>
      <c r="F230" s="2"/>
      <c r="G230" s="2"/>
      <c r="H230" s="2"/>
      <c r="I230" s="2"/>
      <c r="J230" s="2"/>
    </row>
    <row r="231" spans="1:10" ht="12.75" customHeight="1">
      <c r="A231" s="1"/>
      <c r="B231" s="1"/>
      <c r="C231" s="1"/>
      <c r="D231" s="1"/>
      <c r="E231" s="2"/>
      <c r="F231" s="2"/>
      <c r="G231" s="2"/>
      <c r="H231" s="2"/>
      <c r="I231" s="2"/>
      <c r="J231" s="2"/>
    </row>
    <row r="232" spans="1:10" ht="12.75" customHeight="1">
      <c r="A232" s="1"/>
      <c r="B232" s="1"/>
      <c r="C232" s="1"/>
      <c r="D232" s="1"/>
      <c r="E232" s="2"/>
      <c r="F232" s="2"/>
      <c r="G232" s="2"/>
      <c r="H232" s="2"/>
      <c r="I232" s="2"/>
      <c r="J232" s="2"/>
    </row>
    <row r="233" spans="1:10" ht="12.75" customHeight="1">
      <c r="A233" s="1"/>
      <c r="B233" s="1"/>
      <c r="C233" s="1"/>
      <c r="D233" s="1"/>
      <c r="E233" s="2"/>
      <c r="F233" s="2"/>
      <c r="G233" s="2"/>
      <c r="H233" s="2"/>
      <c r="I233" s="2"/>
      <c r="J233" s="2"/>
    </row>
    <row r="234" spans="1:10" ht="12.75" customHeight="1">
      <c r="A234" s="1"/>
      <c r="B234" s="1"/>
      <c r="C234" s="1"/>
      <c r="D234" s="1"/>
      <c r="E234" s="2"/>
      <c r="F234" s="2"/>
      <c r="G234" s="2"/>
      <c r="H234" s="2"/>
      <c r="I234" s="2"/>
      <c r="J234" s="2"/>
    </row>
    <row r="235" spans="1:10" ht="12.75" customHeight="1">
      <c r="A235" s="1"/>
      <c r="B235" s="1"/>
      <c r="C235" s="1"/>
      <c r="D235" s="1"/>
      <c r="E235" s="2"/>
      <c r="F235" s="2"/>
      <c r="G235" s="2"/>
      <c r="H235" s="2"/>
      <c r="I235" s="2"/>
      <c r="J235" s="2"/>
    </row>
    <row r="236" spans="1:10" ht="12.75" customHeight="1">
      <c r="A236" s="1"/>
      <c r="B236" s="1"/>
      <c r="C236" s="1"/>
      <c r="D236" s="1"/>
      <c r="E236" s="2"/>
      <c r="F236" s="2"/>
      <c r="G236" s="2"/>
      <c r="H236" s="2"/>
      <c r="I236" s="2"/>
      <c r="J236" s="2"/>
    </row>
    <row r="237" spans="1:10" ht="12.75" customHeight="1">
      <c r="A237" s="1"/>
      <c r="B237" s="1"/>
      <c r="C237" s="1"/>
      <c r="D237" s="1"/>
      <c r="E237" s="2"/>
      <c r="F237" s="2"/>
      <c r="G237" s="2"/>
      <c r="H237" s="2"/>
      <c r="I237" s="2"/>
      <c r="J237" s="2"/>
    </row>
    <row r="238" spans="1:10" ht="12.75" customHeight="1">
      <c r="A238" s="1"/>
      <c r="B238" s="1"/>
      <c r="C238" s="1"/>
      <c r="D238" s="1"/>
      <c r="E238" s="2"/>
      <c r="F238" s="2"/>
      <c r="G238" s="2"/>
      <c r="H238" s="2"/>
      <c r="I238" s="2"/>
      <c r="J238" s="2"/>
    </row>
    <row r="239" spans="1:10" ht="12.75" customHeight="1">
      <c r="A239" s="1"/>
      <c r="B239" s="1"/>
      <c r="C239" s="1"/>
      <c r="D239" s="1"/>
      <c r="E239" s="2"/>
      <c r="F239" s="2"/>
      <c r="G239" s="2"/>
      <c r="H239" s="2"/>
      <c r="I239" s="2"/>
      <c r="J239" s="2"/>
    </row>
    <row r="240" spans="1:10" ht="12.75" customHeight="1">
      <c r="A240" s="1"/>
      <c r="B240" s="1"/>
      <c r="C240" s="1"/>
      <c r="D240" s="1"/>
      <c r="E240" s="2"/>
      <c r="F240" s="2"/>
      <c r="G240" s="2"/>
      <c r="H240" s="2"/>
      <c r="I240" s="2"/>
      <c r="J240" s="2"/>
    </row>
    <row r="241" spans="1:10" ht="12.75" customHeight="1">
      <c r="A241" s="1"/>
      <c r="B241" s="1"/>
      <c r="C241" s="1"/>
      <c r="D241" s="1"/>
      <c r="E241" s="2"/>
      <c r="F241" s="2"/>
      <c r="G241" s="2"/>
      <c r="H241" s="2"/>
      <c r="I241" s="2"/>
      <c r="J241" s="2"/>
    </row>
    <row r="242" spans="1:10" ht="12.75" customHeight="1">
      <c r="A242" s="1"/>
      <c r="B242" s="1"/>
      <c r="C242" s="1"/>
      <c r="D242" s="1"/>
      <c r="E242" s="2"/>
      <c r="F242" s="2"/>
      <c r="G242" s="2"/>
      <c r="H242" s="2"/>
      <c r="I242" s="2"/>
      <c r="J242" s="2"/>
    </row>
    <row r="243" spans="1:10" ht="12.75" customHeight="1">
      <c r="A243" s="1"/>
      <c r="B243" s="1"/>
      <c r="C243" s="1"/>
      <c r="D243" s="1"/>
      <c r="E243" s="2"/>
      <c r="F243" s="2"/>
      <c r="G243" s="2"/>
      <c r="H243" s="2"/>
      <c r="I243" s="2"/>
      <c r="J243" s="2"/>
    </row>
    <row r="244" spans="1:10" ht="12.75" customHeight="1">
      <c r="A244" s="1"/>
      <c r="B244" s="1"/>
      <c r="C244" s="1"/>
      <c r="D244" s="1"/>
      <c r="E244" s="2"/>
      <c r="F244" s="2"/>
      <c r="G244" s="2"/>
      <c r="H244" s="2"/>
      <c r="I244" s="2"/>
      <c r="J244" s="2"/>
    </row>
    <row r="245" spans="1:10" ht="12.75" customHeight="1">
      <c r="A245" s="1"/>
      <c r="B245" s="1"/>
      <c r="C245" s="1"/>
      <c r="D245" s="1"/>
      <c r="E245" s="2"/>
      <c r="F245" s="2"/>
      <c r="G245" s="2"/>
      <c r="H245" s="2"/>
      <c r="I245" s="2"/>
      <c r="J245" s="2"/>
    </row>
    <row r="246" spans="1:10" ht="12.75" customHeight="1">
      <c r="A246" s="1"/>
      <c r="B246" s="1"/>
      <c r="C246" s="1"/>
      <c r="D246" s="1"/>
      <c r="E246" s="2"/>
      <c r="F246" s="2"/>
      <c r="G246" s="2"/>
      <c r="H246" s="2"/>
      <c r="I246" s="2"/>
      <c r="J246" s="2"/>
    </row>
    <row r="247" spans="1:10" ht="12.75" customHeight="1">
      <c r="A247" s="1"/>
      <c r="B247" s="1"/>
      <c r="C247" s="1"/>
      <c r="D247" s="1"/>
      <c r="E247" s="2"/>
      <c r="F247" s="2"/>
      <c r="G247" s="2"/>
      <c r="H247" s="2"/>
      <c r="I247" s="2"/>
      <c r="J247" s="2"/>
    </row>
    <row r="248" spans="1:10" ht="12.75" customHeight="1">
      <c r="A248" s="1"/>
      <c r="B248" s="1"/>
      <c r="C248" s="1"/>
      <c r="D248" s="1"/>
      <c r="E248" s="2"/>
      <c r="F248" s="2"/>
      <c r="G248" s="2"/>
      <c r="H248" s="2"/>
      <c r="I248" s="2"/>
      <c r="J248" s="2"/>
    </row>
    <row r="249" spans="1:10" ht="12.75" customHeight="1">
      <c r="A249" s="1"/>
      <c r="B249" s="1"/>
      <c r="C249" s="1"/>
      <c r="D249" s="1"/>
      <c r="E249" s="2"/>
      <c r="F249" s="2"/>
      <c r="G249" s="2"/>
      <c r="H249" s="2"/>
      <c r="I249" s="2"/>
      <c r="J249" s="2"/>
    </row>
    <row r="250" spans="1:10" ht="12.75" customHeight="1">
      <c r="A250" s="1"/>
      <c r="B250" s="1"/>
      <c r="C250" s="1"/>
      <c r="D250" s="1"/>
      <c r="E250" s="2"/>
      <c r="F250" s="2"/>
      <c r="G250" s="2"/>
      <c r="H250" s="2"/>
      <c r="I250" s="2"/>
      <c r="J250" s="2"/>
    </row>
    <row r="251" spans="1:10" ht="12.75" customHeight="1">
      <c r="A251" s="1"/>
      <c r="B251" s="1"/>
      <c r="C251" s="1"/>
      <c r="D251" s="1"/>
      <c r="E251" s="2"/>
      <c r="F251" s="2"/>
      <c r="G251" s="2"/>
      <c r="H251" s="2"/>
      <c r="I251" s="2"/>
      <c r="J251" s="2"/>
    </row>
    <row r="252" spans="1:10" ht="12.75" customHeight="1">
      <c r="A252" s="1"/>
      <c r="B252" s="1"/>
      <c r="C252" s="1"/>
      <c r="D252" s="1"/>
      <c r="E252" s="2"/>
      <c r="F252" s="2"/>
      <c r="G252" s="2"/>
      <c r="H252" s="2"/>
      <c r="I252" s="2"/>
      <c r="J252" s="2"/>
    </row>
    <row r="253" spans="1:10" ht="12.75" customHeight="1">
      <c r="A253" s="1"/>
      <c r="B253" s="1"/>
      <c r="C253" s="1"/>
      <c r="D253" s="1"/>
      <c r="E253" s="2"/>
      <c r="F253" s="2"/>
      <c r="G253" s="2"/>
      <c r="H253" s="2"/>
      <c r="I253" s="2"/>
      <c r="J253" s="2"/>
    </row>
    <row r="254" spans="1:10" ht="12.75" customHeight="1">
      <c r="A254" s="1"/>
      <c r="B254" s="1"/>
      <c r="C254" s="1"/>
      <c r="D254" s="1"/>
      <c r="E254" s="2"/>
      <c r="F254" s="2"/>
      <c r="G254" s="2"/>
      <c r="H254" s="2"/>
      <c r="I254" s="2"/>
      <c r="J254" s="2"/>
    </row>
    <row r="255" spans="1:10" ht="12.75" customHeight="1">
      <c r="A255" s="1"/>
      <c r="B255" s="1"/>
      <c r="C255" s="1"/>
      <c r="D255" s="1"/>
      <c r="E255" s="2"/>
      <c r="F255" s="2"/>
      <c r="G255" s="2"/>
      <c r="H255" s="2"/>
      <c r="I255" s="2"/>
      <c r="J255" s="2"/>
    </row>
    <row r="256" spans="1:10" ht="12.75" customHeight="1">
      <c r="A256" s="1"/>
      <c r="B256" s="1"/>
      <c r="C256" s="1"/>
      <c r="D256" s="1"/>
      <c r="E256" s="2"/>
      <c r="F256" s="2"/>
      <c r="G256" s="2"/>
      <c r="H256" s="2"/>
      <c r="I256" s="2"/>
      <c r="J256" s="2"/>
    </row>
    <row r="257" spans="1:10" ht="12.75" customHeight="1">
      <c r="A257" s="1"/>
      <c r="B257" s="1"/>
      <c r="C257" s="1"/>
      <c r="D257" s="1"/>
      <c r="E257" s="2"/>
      <c r="F257" s="2"/>
      <c r="G257" s="2"/>
      <c r="H257" s="2"/>
      <c r="I257" s="2"/>
      <c r="J257" s="2"/>
    </row>
    <row r="258" spans="1:10" ht="12.75" customHeight="1">
      <c r="A258" s="1"/>
      <c r="B258" s="1"/>
      <c r="C258" s="1"/>
      <c r="D258" s="1"/>
      <c r="E258" s="2"/>
      <c r="F258" s="2"/>
      <c r="G258" s="2"/>
      <c r="H258" s="2"/>
      <c r="I258" s="2"/>
      <c r="J258" s="2"/>
    </row>
    <row r="259" spans="1:10" ht="12.75" customHeight="1">
      <c r="A259" s="1"/>
      <c r="B259" s="1"/>
      <c r="C259" s="1"/>
      <c r="D259" s="1"/>
      <c r="E259" s="2"/>
      <c r="F259" s="2"/>
      <c r="G259" s="2"/>
      <c r="H259" s="2"/>
      <c r="I259" s="2"/>
      <c r="J259" s="2"/>
    </row>
    <row r="260" spans="1:10" ht="12.75" customHeight="1">
      <c r="A260" s="1"/>
      <c r="B260" s="1"/>
      <c r="C260" s="1"/>
      <c r="D260" s="1"/>
      <c r="E260" s="2"/>
      <c r="F260" s="2"/>
      <c r="G260" s="2"/>
      <c r="H260" s="2"/>
      <c r="I260" s="2"/>
      <c r="J260" s="2"/>
    </row>
    <row r="261" spans="1:10" ht="12.75" customHeight="1">
      <c r="A261" s="1"/>
      <c r="B261" s="1"/>
      <c r="C261" s="1"/>
      <c r="D261" s="1"/>
      <c r="E261" s="2"/>
      <c r="F261" s="2"/>
      <c r="G261" s="2"/>
      <c r="H261" s="2"/>
      <c r="I261" s="2"/>
      <c r="J261" s="2"/>
    </row>
    <row r="262" spans="1:10" ht="12.75" customHeight="1">
      <c r="A262" s="1"/>
      <c r="B262" s="1"/>
      <c r="C262" s="1"/>
      <c r="D262" s="1"/>
      <c r="E262" s="2"/>
      <c r="F262" s="2"/>
      <c r="G262" s="2"/>
      <c r="H262" s="2"/>
      <c r="I262" s="2"/>
      <c r="J262" s="2"/>
    </row>
    <row r="263" spans="1:10" ht="12.75" customHeight="1">
      <c r="A263" s="1"/>
      <c r="B263" s="1"/>
      <c r="C263" s="1"/>
      <c r="D263" s="1"/>
      <c r="E263" s="2"/>
      <c r="F263" s="2"/>
      <c r="G263" s="2"/>
      <c r="H263" s="2"/>
      <c r="I263" s="2"/>
      <c r="J263" s="2"/>
    </row>
    <row r="264" spans="1:10" ht="12.75" customHeight="1">
      <c r="A264" s="1"/>
      <c r="B264" s="1"/>
      <c r="C264" s="1"/>
      <c r="D264" s="1"/>
      <c r="E264" s="2"/>
      <c r="F264" s="2"/>
      <c r="G264" s="2"/>
      <c r="H264" s="2"/>
      <c r="I264" s="2"/>
      <c r="J264" s="2"/>
    </row>
    <row r="265" spans="1:10" ht="12.75" customHeight="1">
      <c r="A265" s="1"/>
      <c r="B265" s="1"/>
      <c r="C265" s="1"/>
      <c r="D265" s="1"/>
      <c r="E265" s="2"/>
      <c r="F265" s="2"/>
      <c r="G265" s="2"/>
      <c r="H265" s="2"/>
      <c r="I265" s="2"/>
      <c r="J265" s="2"/>
    </row>
    <row r="266" spans="1:10" ht="12.75" customHeight="1">
      <c r="A266" s="1"/>
      <c r="B266" s="1"/>
      <c r="C266" s="1"/>
      <c r="D266" s="1"/>
      <c r="E266" s="2"/>
      <c r="F266" s="2"/>
      <c r="G266" s="2"/>
      <c r="H266" s="2"/>
      <c r="I266" s="2"/>
      <c r="J266" s="2"/>
    </row>
    <row r="267" spans="1:10" ht="12.75" customHeight="1">
      <c r="A267" s="1"/>
      <c r="B267" s="1"/>
      <c r="C267" s="1"/>
      <c r="D267" s="1"/>
      <c r="E267" s="2"/>
      <c r="F267" s="2"/>
      <c r="G267" s="2"/>
      <c r="H267" s="2"/>
      <c r="I267" s="2"/>
      <c r="J267" s="2"/>
    </row>
    <row r="268" spans="1:10" ht="12.75" customHeight="1">
      <c r="A268" s="1"/>
      <c r="B268" s="1"/>
      <c r="C268" s="1"/>
      <c r="D268" s="1"/>
      <c r="E268" s="2"/>
      <c r="F268" s="2"/>
      <c r="G268" s="2"/>
      <c r="H268" s="2"/>
      <c r="I268" s="2"/>
      <c r="J268" s="2"/>
    </row>
    <row r="269" spans="1:10" ht="12.75" customHeight="1">
      <c r="A269" s="1"/>
      <c r="B269" s="1"/>
      <c r="C269" s="1"/>
      <c r="D269" s="1"/>
      <c r="E269" s="2"/>
      <c r="F269" s="2"/>
      <c r="G269" s="2"/>
      <c r="H269" s="2"/>
      <c r="I269" s="2"/>
      <c r="J269" s="2"/>
    </row>
    <row r="270" spans="1:10" ht="12.75" customHeight="1">
      <c r="A270" s="1"/>
      <c r="B270" s="1"/>
      <c r="C270" s="1"/>
      <c r="D270" s="1"/>
      <c r="E270" s="2"/>
      <c r="F270" s="2"/>
      <c r="G270" s="2"/>
      <c r="H270" s="2"/>
      <c r="I270" s="2"/>
      <c r="J270" s="2"/>
    </row>
    <row r="271" spans="1:10" ht="12.75" customHeight="1">
      <c r="A271" s="1"/>
      <c r="B271" s="1"/>
      <c r="C271" s="1"/>
      <c r="D271" s="1"/>
      <c r="E271" s="2"/>
      <c r="F271" s="2"/>
      <c r="G271" s="2"/>
      <c r="H271" s="2"/>
      <c r="I271" s="2"/>
      <c r="J271" s="2"/>
    </row>
    <row r="272" spans="1:10" ht="12.75" customHeight="1">
      <c r="A272" s="1"/>
      <c r="B272" s="1"/>
      <c r="C272" s="1"/>
      <c r="D272" s="1"/>
      <c r="E272" s="2"/>
      <c r="F272" s="2"/>
      <c r="G272" s="2"/>
      <c r="H272" s="2"/>
      <c r="I272" s="2"/>
      <c r="J272" s="2"/>
    </row>
    <row r="273" spans="1:10" ht="12.75" customHeight="1">
      <c r="A273" s="1"/>
      <c r="B273" s="1"/>
      <c r="C273" s="1"/>
      <c r="D273" s="1"/>
      <c r="E273" s="2"/>
      <c r="F273" s="2"/>
      <c r="G273" s="2"/>
      <c r="H273" s="2"/>
      <c r="I273" s="2"/>
      <c r="J273" s="2"/>
    </row>
    <row r="274" spans="1:10" ht="12.75" customHeight="1">
      <c r="A274" s="1"/>
      <c r="B274" s="1"/>
      <c r="C274" s="1"/>
      <c r="D274" s="1"/>
      <c r="E274" s="2"/>
      <c r="F274" s="2"/>
      <c r="G274" s="2"/>
      <c r="H274" s="2"/>
      <c r="I274" s="2"/>
      <c r="J274" s="2"/>
    </row>
    <row r="275" spans="1:10" ht="12.75" customHeight="1">
      <c r="A275" s="1"/>
      <c r="B275" s="1"/>
      <c r="C275" s="1"/>
      <c r="D275" s="1"/>
      <c r="E275" s="2"/>
      <c r="F275" s="2"/>
      <c r="G275" s="2"/>
      <c r="H275" s="2"/>
      <c r="I275" s="2"/>
      <c r="J275" s="2"/>
    </row>
    <row r="276" spans="1:10" ht="12.75" customHeight="1">
      <c r="A276" s="1"/>
      <c r="B276" s="1"/>
      <c r="C276" s="1"/>
      <c r="D276" s="1"/>
      <c r="E276" s="2"/>
      <c r="F276" s="2"/>
      <c r="G276" s="2"/>
      <c r="H276" s="2"/>
      <c r="I276" s="2"/>
      <c r="J276" s="2"/>
    </row>
    <row r="277" spans="1:10" ht="12.75" customHeight="1">
      <c r="A277" s="1"/>
      <c r="B277" s="1"/>
      <c r="C277" s="1"/>
      <c r="D277" s="1"/>
      <c r="E277" s="2"/>
      <c r="F277" s="2"/>
      <c r="G277" s="2"/>
      <c r="H277" s="2"/>
      <c r="I277" s="2"/>
      <c r="J277" s="2"/>
    </row>
    <row r="278" spans="1:10" ht="12.75" customHeight="1">
      <c r="A278" s="1"/>
      <c r="B278" s="1"/>
      <c r="C278" s="1"/>
      <c r="D278" s="1"/>
      <c r="E278" s="2"/>
      <c r="F278" s="2"/>
      <c r="G278" s="2"/>
      <c r="H278" s="2"/>
      <c r="I278" s="2"/>
      <c r="J278" s="2"/>
    </row>
    <row r="279" spans="1:10" ht="12.75" customHeight="1">
      <c r="A279" s="1"/>
      <c r="B279" s="1"/>
      <c r="C279" s="1"/>
      <c r="D279" s="1"/>
      <c r="E279" s="2"/>
      <c r="F279" s="2"/>
      <c r="G279" s="2"/>
      <c r="H279" s="2"/>
      <c r="I279" s="2"/>
      <c r="J279" s="2"/>
    </row>
    <row r="280" spans="1:10" ht="12.75" customHeight="1">
      <c r="A280" s="1"/>
      <c r="B280" s="1"/>
      <c r="C280" s="1"/>
      <c r="D280" s="1"/>
      <c r="E280" s="2"/>
      <c r="F280" s="2"/>
      <c r="G280" s="2"/>
      <c r="H280" s="2"/>
      <c r="I280" s="2"/>
      <c r="J280" s="2"/>
    </row>
    <row r="281" spans="1:10" ht="12.75" customHeight="1">
      <c r="A281" s="1"/>
      <c r="B281" s="1"/>
      <c r="C281" s="1"/>
      <c r="D281" s="1"/>
      <c r="E281" s="2"/>
      <c r="F281" s="2"/>
      <c r="G281" s="2"/>
      <c r="H281" s="2"/>
      <c r="I281" s="2"/>
      <c r="J281" s="2"/>
    </row>
    <row r="282" spans="1:10" ht="12.75" customHeight="1">
      <c r="A282" s="1"/>
      <c r="B282" s="1"/>
      <c r="C282" s="1"/>
      <c r="D282" s="1"/>
      <c r="E282" s="2"/>
      <c r="F282" s="2"/>
      <c r="G282" s="2"/>
      <c r="H282" s="2"/>
      <c r="I282" s="2"/>
      <c r="J282" s="2"/>
    </row>
    <row r="283" spans="1:10" ht="12.75" customHeight="1">
      <c r="A283" s="1"/>
      <c r="B283" s="1"/>
      <c r="C283" s="1"/>
      <c r="D283" s="1"/>
      <c r="E283" s="2"/>
      <c r="F283" s="2"/>
      <c r="G283" s="2"/>
      <c r="H283" s="2"/>
      <c r="I283" s="2"/>
      <c r="J283" s="2"/>
    </row>
    <row r="284" spans="1:10" ht="12.75" customHeight="1">
      <c r="A284" s="1"/>
      <c r="B284" s="1"/>
      <c r="C284" s="1"/>
      <c r="D284" s="1"/>
      <c r="E284" s="2"/>
      <c r="F284" s="2"/>
      <c r="G284" s="2"/>
      <c r="H284" s="2"/>
      <c r="I284" s="2"/>
      <c r="J284" s="2"/>
    </row>
    <row r="285" spans="1:10" ht="12.75" customHeight="1">
      <c r="A285" s="1"/>
      <c r="B285" s="1"/>
      <c r="C285" s="1"/>
      <c r="D285" s="1"/>
      <c r="E285" s="2"/>
      <c r="F285" s="2"/>
      <c r="G285" s="2"/>
      <c r="H285" s="2"/>
      <c r="I285" s="2"/>
      <c r="J285" s="2"/>
    </row>
    <row r="286" spans="1:10" ht="12.75" customHeight="1">
      <c r="A286" s="1"/>
      <c r="B286" s="1"/>
      <c r="C286" s="1"/>
      <c r="D286" s="1"/>
      <c r="E286" s="2"/>
      <c r="F286" s="2"/>
      <c r="G286" s="2"/>
      <c r="H286" s="2"/>
      <c r="I286" s="2"/>
      <c r="J286" s="2"/>
    </row>
    <row r="287" spans="1:10" ht="12.75" customHeight="1">
      <c r="A287" s="1"/>
      <c r="B287" s="1"/>
      <c r="C287" s="1"/>
      <c r="D287" s="1"/>
      <c r="E287" s="2"/>
      <c r="F287" s="2"/>
      <c r="G287" s="2"/>
      <c r="H287" s="2"/>
      <c r="I287" s="2"/>
      <c r="J287" s="2"/>
    </row>
    <row r="288" spans="1:10" ht="12.75" customHeight="1">
      <c r="A288" s="1"/>
      <c r="B288" s="1"/>
      <c r="C288" s="1"/>
      <c r="D288" s="1"/>
      <c r="E288" s="2"/>
      <c r="F288" s="2"/>
      <c r="G288" s="2"/>
      <c r="H288" s="2"/>
      <c r="I288" s="2"/>
      <c r="J288" s="2"/>
    </row>
    <row r="289" spans="1:10" ht="12.75" customHeight="1">
      <c r="A289" s="1"/>
      <c r="B289" s="1"/>
      <c r="C289" s="1"/>
      <c r="D289" s="1"/>
      <c r="E289" s="2"/>
      <c r="F289" s="2"/>
      <c r="G289" s="2"/>
      <c r="H289" s="2"/>
      <c r="I289" s="2"/>
      <c r="J289" s="2"/>
    </row>
    <row r="290" spans="1:10" ht="12.75" customHeight="1">
      <c r="A290" s="1"/>
      <c r="B290" s="1"/>
      <c r="C290" s="1"/>
      <c r="D290" s="1"/>
      <c r="E290" s="2"/>
      <c r="F290" s="2"/>
      <c r="G290" s="2"/>
      <c r="H290" s="2"/>
      <c r="I290" s="2"/>
      <c r="J290" s="2"/>
    </row>
    <row r="291" spans="1:10" ht="12.75" customHeight="1">
      <c r="A291" s="1"/>
      <c r="B291" s="1"/>
      <c r="C291" s="1"/>
      <c r="D291" s="1"/>
      <c r="E291" s="2"/>
      <c r="F291" s="2"/>
      <c r="G291" s="2"/>
      <c r="H291" s="2"/>
      <c r="I291" s="2"/>
      <c r="J291" s="2"/>
    </row>
    <row r="292" spans="1:10" ht="12.75" customHeight="1">
      <c r="A292" s="1"/>
      <c r="B292" s="1"/>
      <c r="C292" s="1"/>
      <c r="D292" s="1"/>
      <c r="E292" s="2"/>
      <c r="F292" s="2"/>
      <c r="G292" s="2"/>
      <c r="H292" s="2"/>
      <c r="I292" s="2"/>
      <c r="J292" s="2"/>
    </row>
    <row r="293" spans="1:10" ht="12.75" customHeight="1">
      <c r="A293" s="1"/>
      <c r="B293" s="1"/>
      <c r="C293" s="1"/>
      <c r="D293" s="1"/>
      <c r="E293" s="2"/>
      <c r="F293" s="2"/>
      <c r="G293" s="2"/>
      <c r="H293" s="2"/>
      <c r="I293" s="2"/>
      <c r="J293" s="2"/>
    </row>
    <row r="294" spans="1:10" ht="12.75" customHeight="1">
      <c r="A294" s="1"/>
      <c r="B294" s="1"/>
      <c r="C294" s="1"/>
      <c r="D294" s="1"/>
      <c r="E294" s="2"/>
      <c r="F294" s="2"/>
      <c r="G294" s="2"/>
      <c r="H294" s="2"/>
      <c r="I294" s="2"/>
      <c r="J294" s="2"/>
    </row>
    <row r="295" spans="1:10" ht="12.75" customHeight="1">
      <c r="A295" s="1"/>
      <c r="B295" s="1"/>
      <c r="C295" s="1"/>
      <c r="D295" s="1"/>
      <c r="E295" s="2"/>
      <c r="F295" s="2"/>
      <c r="G295" s="2"/>
      <c r="H295" s="2"/>
      <c r="I295" s="2"/>
      <c r="J295" s="2"/>
    </row>
    <row r="296" spans="1:10" ht="12.75" customHeight="1">
      <c r="A296" s="1"/>
      <c r="B296" s="1"/>
      <c r="C296" s="1"/>
      <c r="D296" s="1"/>
      <c r="E296" s="2"/>
      <c r="F296" s="2"/>
      <c r="G296" s="2"/>
      <c r="H296" s="2"/>
      <c r="I296" s="2"/>
      <c r="J296" s="2"/>
    </row>
    <row r="297" spans="1:10" ht="12.75" customHeight="1">
      <c r="A297" s="1"/>
      <c r="B297" s="1"/>
      <c r="C297" s="1"/>
      <c r="D297" s="1"/>
      <c r="E297" s="2"/>
      <c r="F297" s="2"/>
      <c r="G297" s="2"/>
      <c r="H297" s="2"/>
      <c r="I297" s="2"/>
      <c r="J297" s="2"/>
    </row>
    <row r="298" spans="1:10" ht="12.75" customHeight="1">
      <c r="A298" s="1"/>
      <c r="B298" s="1"/>
      <c r="C298" s="1"/>
      <c r="D298" s="1"/>
      <c r="E298" s="2"/>
      <c r="F298" s="2"/>
      <c r="G298" s="2"/>
      <c r="H298" s="2"/>
      <c r="I298" s="2"/>
      <c r="J298" s="2"/>
    </row>
    <row r="299" spans="1:10" ht="12.75" customHeight="1">
      <c r="A299" s="1"/>
      <c r="B299" s="1"/>
      <c r="C299" s="1"/>
      <c r="D299" s="1"/>
      <c r="E299" s="2"/>
      <c r="F299" s="2"/>
      <c r="G299" s="2"/>
      <c r="H299" s="2"/>
      <c r="I299" s="2"/>
      <c r="J299" s="2"/>
    </row>
    <row r="300" spans="1:10" ht="12.75" customHeight="1">
      <c r="A300" s="1"/>
      <c r="B300" s="1"/>
      <c r="C300" s="1"/>
      <c r="D300" s="1"/>
      <c r="E300" s="2"/>
      <c r="F300" s="2"/>
      <c r="G300" s="2"/>
      <c r="H300" s="2"/>
      <c r="I300" s="2"/>
      <c r="J300" s="2"/>
    </row>
    <row r="301" spans="1:10" ht="12.75" customHeight="1">
      <c r="A301" s="1"/>
      <c r="B301" s="1"/>
      <c r="C301" s="1"/>
      <c r="D301" s="1"/>
      <c r="E301" s="2"/>
      <c r="F301" s="2"/>
      <c r="G301" s="2"/>
      <c r="H301" s="2"/>
      <c r="I301" s="2"/>
      <c r="J301" s="2"/>
    </row>
    <row r="302" spans="1:10" ht="12.75" customHeight="1">
      <c r="A302" s="1"/>
      <c r="B302" s="1"/>
      <c r="C302" s="1"/>
      <c r="D302" s="1"/>
      <c r="E302" s="2"/>
      <c r="F302" s="2"/>
      <c r="G302" s="2"/>
      <c r="H302" s="2"/>
      <c r="I302" s="2"/>
      <c r="J302" s="2"/>
    </row>
    <row r="303" spans="1:10" ht="12.75" customHeight="1">
      <c r="A303" s="1"/>
      <c r="B303" s="1"/>
      <c r="C303" s="1"/>
      <c r="D303" s="1"/>
      <c r="E303" s="2"/>
      <c r="F303" s="2"/>
      <c r="G303" s="2"/>
      <c r="H303" s="2"/>
      <c r="I303" s="2"/>
      <c r="J303" s="2"/>
    </row>
    <row r="304" spans="1:10" ht="12.75" customHeight="1">
      <c r="A304" s="1"/>
      <c r="B304" s="1"/>
      <c r="C304" s="1"/>
      <c r="D304" s="1"/>
      <c r="E304" s="2"/>
      <c r="F304" s="2"/>
      <c r="G304" s="2"/>
      <c r="H304" s="2"/>
      <c r="I304" s="2"/>
      <c r="J304" s="2"/>
    </row>
    <row r="305" spans="1:10" ht="12.75" customHeight="1">
      <c r="A305" s="1"/>
      <c r="B305" s="1"/>
      <c r="C305" s="1"/>
      <c r="D305" s="1"/>
      <c r="E305" s="2"/>
      <c r="F305" s="2"/>
      <c r="G305" s="2"/>
      <c r="H305" s="2"/>
      <c r="I305" s="2"/>
      <c r="J305" s="2"/>
    </row>
    <row r="306" spans="1:10" ht="12.75" customHeight="1">
      <c r="A306" s="1"/>
      <c r="B306" s="1"/>
      <c r="C306" s="1"/>
      <c r="D306" s="1"/>
      <c r="E306" s="2"/>
      <c r="F306" s="2"/>
      <c r="G306" s="2"/>
      <c r="H306" s="2"/>
      <c r="I306" s="2"/>
      <c r="J306" s="2"/>
    </row>
    <row r="307" spans="1:10" ht="12.75" customHeight="1">
      <c r="A307" s="1"/>
      <c r="B307" s="1"/>
      <c r="C307" s="1"/>
      <c r="D307" s="1"/>
      <c r="E307" s="2"/>
      <c r="F307" s="2"/>
      <c r="G307" s="2"/>
      <c r="H307" s="2"/>
      <c r="I307" s="2"/>
      <c r="J307" s="2"/>
    </row>
    <row r="308" spans="1:10" ht="12.75" customHeight="1">
      <c r="A308" s="1"/>
      <c r="B308" s="1"/>
      <c r="C308" s="1"/>
      <c r="D308" s="1"/>
      <c r="E308" s="2"/>
      <c r="F308" s="2"/>
      <c r="G308" s="2"/>
      <c r="H308" s="2"/>
      <c r="I308" s="2"/>
      <c r="J308" s="2"/>
    </row>
    <row r="309" spans="1:10" ht="12.75" customHeight="1">
      <c r="A309" s="1"/>
      <c r="B309" s="1"/>
      <c r="C309" s="1"/>
      <c r="D309" s="1"/>
      <c r="E309" s="2"/>
      <c r="F309" s="2"/>
      <c r="G309" s="2"/>
      <c r="H309" s="2"/>
      <c r="I309" s="2"/>
      <c r="J309" s="2"/>
    </row>
    <row r="310" spans="1:10" ht="12.75" customHeight="1">
      <c r="A310" s="1"/>
      <c r="B310" s="1"/>
      <c r="C310" s="1"/>
      <c r="D310" s="1"/>
      <c r="E310" s="2"/>
      <c r="F310" s="2"/>
      <c r="G310" s="2"/>
      <c r="H310" s="2"/>
      <c r="I310" s="2"/>
      <c r="J310" s="2"/>
    </row>
    <row r="311" spans="1:10" ht="12.75" customHeight="1">
      <c r="A311" s="1"/>
      <c r="B311" s="1"/>
      <c r="C311" s="1"/>
      <c r="D311" s="1"/>
      <c r="E311" s="2"/>
      <c r="F311" s="2"/>
      <c r="G311" s="2"/>
      <c r="H311" s="2"/>
      <c r="I311" s="2"/>
      <c r="J311" s="2"/>
    </row>
    <row r="312" spans="1:10" ht="12.75" customHeight="1">
      <c r="A312" s="1"/>
      <c r="B312" s="1"/>
      <c r="C312" s="1"/>
      <c r="D312" s="1"/>
      <c r="E312" s="2"/>
      <c r="F312" s="2"/>
      <c r="G312" s="2"/>
      <c r="H312" s="2"/>
      <c r="I312" s="2"/>
      <c r="J312" s="2"/>
    </row>
    <row r="313" spans="1:10" ht="12.75" customHeight="1">
      <c r="A313" s="1"/>
      <c r="B313" s="1"/>
      <c r="C313" s="1"/>
      <c r="D313" s="1"/>
      <c r="E313" s="2"/>
      <c r="F313" s="2"/>
      <c r="G313" s="2"/>
      <c r="H313" s="2"/>
      <c r="I313" s="2"/>
      <c r="J313" s="2"/>
    </row>
    <row r="314" spans="1:10" ht="12.75" customHeight="1">
      <c r="A314" s="1"/>
      <c r="B314" s="1"/>
      <c r="C314" s="1"/>
      <c r="D314" s="1"/>
      <c r="E314" s="2"/>
      <c r="F314" s="2"/>
      <c r="G314" s="2"/>
      <c r="H314" s="2"/>
      <c r="I314" s="2"/>
      <c r="J314" s="2"/>
    </row>
    <row r="315" spans="1:10" ht="12.75" customHeight="1">
      <c r="A315" s="1"/>
      <c r="B315" s="1"/>
      <c r="C315" s="1"/>
      <c r="D315" s="1"/>
      <c r="E315" s="2"/>
      <c r="F315" s="2"/>
      <c r="G315" s="2"/>
      <c r="H315" s="2"/>
      <c r="I315" s="2"/>
      <c r="J315" s="2"/>
    </row>
    <row r="316" spans="1:10" ht="12.75" customHeight="1">
      <c r="A316" s="1"/>
      <c r="B316" s="1"/>
      <c r="C316" s="1"/>
      <c r="D316" s="1"/>
      <c r="E316" s="2"/>
      <c r="F316" s="2"/>
      <c r="G316" s="2"/>
      <c r="H316" s="2"/>
      <c r="I316" s="2"/>
      <c r="J316" s="2"/>
    </row>
    <row r="317" spans="1:10" ht="12.75" customHeight="1">
      <c r="A317" s="1"/>
      <c r="B317" s="1"/>
      <c r="C317" s="1"/>
      <c r="D317" s="1"/>
      <c r="E317" s="2"/>
      <c r="F317" s="2"/>
      <c r="G317" s="2"/>
      <c r="H317" s="2"/>
      <c r="I317" s="2"/>
      <c r="J317" s="2"/>
    </row>
    <row r="318" spans="1:10" ht="12.75" customHeight="1">
      <c r="A318" s="1"/>
      <c r="B318" s="1"/>
      <c r="C318" s="1"/>
      <c r="D318" s="1"/>
      <c r="E318" s="2"/>
      <c r="F318" s="2"/>
      <c r="G318" s="2"/>
      <c r="H318" s="2"/>
      <c r="I318" s="2"/>
      <c r="J318" s="2"/>
    </row>
    <row r="319" spans="1:10" ht="12.75" customHeight="1">
      <c r="A319" s="1"/>
      <c r="B319" s="1"/>
      <c r="C319" s="1"/>
      <c r="D319" s="1"/>
      <c r="E319" s="2"/>
      <c r="F319" s="2"/>
      <c r="G319" s="2"/>
      <c r="H319" s="2"/>
      <c r="I319" s="2"/>
      <c r="J319" s="2"/>
    </row>
    <row r="320" spans="1:10" ht="12.75" customHeight="1">
      <c r="A320" s="1"/>
      <c r="B320" s="1"/>
      <c r="C320" s="1"/>
      <c r="D320" s="1"/>
      <c r="E320" s="2"/>
      <c r="F320" s="2"/>
      <c r="G320" s="2"/>
      <c r="H320" s="2"/>
      <c r="I320" s="2"/>
      <c r="J320" s="2"/>
    </row>
    <row r="321" spans="1:10" ht="12.75" customHeight="1">
      <c r="A321" s="1"/>
      <c r="B321" s="1"/>
      <c r="C321" s="1"/>
      <c r="D321" s="1"/>
      <c r="E321" s="2"/>
      <c r="F321" s="2"/>
      <c r="G321" s="2"/>
      <c r="H321" s="2"/>
      <c r="I321" s="2"/>
      <c r="J321" s="2"/>
    </row>
    <row r="322" spans="1:10" ht="12.75" customHeight="1">
      <c r="A322" s="1"/>
      <c r="B322" s="1"/>
      <c r="C322" s="1"/>
      <c r="D322" s="1"/>
      <c r="E322" s="2"/>
      <c r="F322" s="2"/>
      <c r="G322" s="2"/>
      <c r="H322" s="2"/>
      <c r="I322" s="2"/>
      <c r="J322" s="2"/>
    </row>
    <row r="323" spans="1:10" ht="12.75" customHeight="1">
      <c r="A323" s="1"/>
      <c r="B323" s="1"/>
      <c r="C323" s="1"/>
      <c r="D323" s="1"/>
      <c r="E323" s="2"/>
      <c r="F323" s="2"/>
      <c r="G323" s="2"/>
      <c r="H323" s="2"/>
      <c r="I323" s="2"/>
      <c r="J323" s="2"/>
    </row>
    <row r="324" spans="1:10" ht="12.75" customHeight="1">
      <c r="A324" s="1"/>
      <c r="B324" s="1"/>
      <c r="C324" s="1"/>
      <c r="D324" s="1"/>
      <c r="E324" s="2"/>
      <c r="F324" s="2"/>
      <c r="G324" s="2"/>
      <c r="H324" s="2"/>
      <c r="I324" s="2"/>
      <c r="J324" s="2"/>
    </row>
    <row r="325" spans="1:10" ht="12.75" customHeight="1">
      <c r="A325" s="1"/>
      <c r="B325" s="1"/>
      <c r="C325" s="1"/>
      <c r="D325" s="1"/>
      <c r="E325" s="2"/>
      <c r="F325" s="2"/>
      <c r="G325" s="2"/>
      <c r="H325" s="2"/>
      <c r="I325" s="2"/>
      <c r="J325" s="2"/>
    </row>
    <row r="326" spans="1:10" ht="12.75" customHeight="1">
      <c r="A326" s="1"/>
      <c r="B326" s="1"/>
      <c r="C326" s="1"/>
      <c r="D326" s="1"/>
      <c r="E326" s="2"/>
      <c r="F326" s="2"/>
      <c r="G326" s="2"/>
      <c r="H326" s="2"/>
      <c r="I326" s="2"/>
      <c r="J326" s="2"/>
    </row>
    <row r="327" spans="1:10" ht="12.75" customHeight="1">
      <c r="A327" s="1"/>
      <c r="B327" s="1"/>
      <c r="C327" s="1"/>
      <c r="D327" s="1"/>
      <c r="E327" s="2"/>
      <c r="F327" s="2"/>
      <c r="G327" s="2"/>
      <c r="H327" s="2"/>
      <c r="I327" s="2"/>
      <c r="J327" s="2"/>
    </row>
    <row r="328" spans="1:10" ht="12.75" customHeight="1">
      <c r="A328" s="1"/>
      <c r="B328" s="1"/>
      <c r="C328" s="1"/>
      <c r="D328" s="1"/>
      <c r="E328" s="2"/>
      <c r="F328" s="2"/>
      <c r="G328" s="2"/>
      <c r="H328" s="2"/>
      <c r="I328" s="2"/>
      <c r="J328" s="2"/>
    </row>
    <row r="329" spans="1:10" ht="12.75" customHeight="1">
      <c r="A329" s="1"/>
      <c r="B329" s="1"/>
      <c r="C329" s="1"/>
      <c r="D329" s="1"/>
      <c r="E329" s="2"/>
      <c r="F329" s="2"/>
      <c r="G329" s="2"/>
      <c r="H329" s="2"/>
      <c r="I329" s="2"/>
      <c r="J329" s="2"/>
    </row>
    <row r="330" spans="1:10" ht="12.75" customHeight="1">
      <c r="A330" s="1"/>
      <c r="B330" s="1"/>
      <c r="C330" s="1"/>
      <c r="D330" s="1"/>
      <c r="E330" s="2"/>
      <c r="F330" s="2"/>
      <c r="G330" s="2"/>
      <c r="H330" s="2"/>
      <c r="I330" s="2"/>
      <c r="J330" s="2"/>
    </row>
    <row r="331" spans="1:10" ht="12.75" customHeight="1">
      <c r="A331" s="1"/>
      <c r="B331" s="1"/>
      <c r="C331" s="1"/>
      <c r="D331" s="1"/>
      <c r="E331" s="2"/>
      <c r="F331" s="2"/>
      <c r="G331" s="2"/>
      <c r="H331" s="2"/>
      <c r="I331" s="2"/>
      <c r="J331" s="2"/>
    </row>
    <row r="332" spans="1:10" ht="12.75" customHeight="1">
      <c r="A332" s="1"/>
      <c r="B332" s="1"/>
      <c r="C332" s="1"/>
      <c r="D332" s="1"/>
      <c r="E332" s="2"/>
      <c r="F332" s="2"/>
      <c r="G332" s="2"/>
      <c r="H332" s="2"/>
      <c r="I332" s="2"/>
      <c r="J332" s="2"/>
    </row>
    <row r="333" spans="1:10" ht="12.75" customHeight="1">
      <c r="A333" s="1"/>
      <c r="B333" s="1"/>
      <c r="C333" s="1"/>
      <c r="D333" s="1"/>
      <c r="E333" s="2"/>
      <c r="F333" s="2"/>
      <c r="G333" s="2"/>
      <c r="H333" s="2"/>
      <c r="I333" s="2"/>
      <c r="J333" s="2"/>
    </row>
    <row r="334" spans="1:10" ht="12.75" customHeight="1">
      <c r="A334" s="1"/>
      <c r="B334" s="1"/>
      <c r="C334" s="1"/>
      <c r="D334" s="1"/>
      <c r="E334" s="2"/>
      <c r="F334" s="2"/>
      <c r="G334" s="2"/>
      <c r="H334" s="2"/>
      <c r="I334" s="2"/>
      <c r="J334" s="2"/>
    </row>
    <row r="335" spans="1:10" ht="12.75" customHeight="1">
      <c r="A335" s="1"/>
      <c r="B335" s="1"/>
      <c r="C335" s="1"/>
      <c r="D335" s="1"/>
      <c r="E335" s="2"/>
      <c r="F335" s="2"/>
      <c r="G335" s="2"/>
      <c r="H335" s="2"/>
      <c r="I335" s="2"/>
      <c r="J335" s="2"/>
    </row>
    <row r="336" spans="1:10" ht="12.75" customHeight="1">
      <c r="A336" s="1"/>
      <c r="B336" s="1"/>
      <c r="C336" s="1"/>
      <c r="D336" s="1"/>
      <c r="E336" s="2"/>
      <c r="F336" s="2"/>
      <c r="G336" s="2"/>
      <c r="H336" s="2"/>
      <c r="I336" s="2"/>
      <c r="J336" s="2"/>
    </row>
    <row r="337" spans="1:10" ht="12.75" customHeight="1">
      <c r="A337" s="1"/>
      <c r="B337" s="1"/>
      <c r="C337" s="1"/>
      <c r="D337" s="1"/>
      <c r="E337" s="2"/>
      <c r="F337" s="2"/>
      <c r="G337" s="2"/>
      <c r="H337" s="2"/>
      <c r="I337" s="2"/>
      <c r="J337" s="2"/>
    </row>
    <row r="338" spans="1:10" ht="12.75" customHeight="1">
      <c r="A338" s="1"/>
      <c r="B338" s="1"/>
      <c r="C338" s="1"/>
      <c r="D338" s="1"/>
      <c r="E338" s="2"/>
      <c r="F338" s="2"/>
      <c r="G338" s="2"/>
      <c r="H338" s="2"/>
      <c r="I338" s="2"/>
      <c r="J338" s="2"/>
    </row>
    <row r="339" spans="1:10" ht="12.75" customHeight="1">
      <c r="A339" s="1"/>
      <c r="B339" s="1"/>
      <c r="C339" s="1"/>
      <c r="D339" s="1"/>
      <c r="E339" s="2"/>
      <c r="F339" s="2"/>
      <c r="G339" s="2"/>
      <c r="H339" s="2"/>
      <c r="I339" s="2"/>
      <c r="J339" s="2"/>
    </row>
    <row r="340" spans="1:10" ht="12.75" customHeight="1">
      <c r="A340" s="1"/>
      <c r="B340" s="1"/>
      <c r="C340" s="1"/>
      <c r="D340" s="1"/>
      <c r="E340" s="2"/>
      <c r="F340" s="2"/>
      <c r="G340" s="2"/>
      <c r="H340" s="2"/>
      <c r="I340" s="2"/>
      <c r="J340" s="2"/>
    </row>
    <row r="341" spans="1:10" ht="12.75" customHeight="1">
      <c r="A341" s="1"/>
      <c r="B341" s="1"/>
      <c r="C341" s="1"/>
      <c r="D341" s="1"/>
      <c r="E341" s="2"/>
      <c r="F341" s="2"/>
      <c r="G341" s="2"/>
      <c r="H341" s="2"/>
      <c r="I341" s="2"/>
      <c r="J341" s="2"/>
    </row>
    <row r="342" spans="1:10" ht="12.75" customHeight="1">
      <c r="A342" s="1"/>
      <c r="B342" s="1"/>
      <c r="C342" s="1"/>
      <c r="D342" s="1"/>
      <c r="E342" s="2"/>
      <c r="F342" s="2"/>
      <c r="G342" s="2"/>
      <c r="H342" s="2"/>
      <c r="I342" s="2"/>
      <c r="J342" s="2"/>
    </row>
    <row r="343" spans="1:10" ht="12.75" customHeight="1">
      <c r="A343" s="1"/>
      <c r="B343" s="1"/>
      <c r="C343" s="1"/>
      <c r="D343" s="1"/>
      <c r="E343" s="2"/>
      <c r="F343" s="2"/>
      <c r="G343" s="2"/>
      <c r="H343" s="2"/>
      <c r="I343" s="2"/>
      <c r="J343" s="2"/>
    </row>
    <row r="344" spans="1:10" ht="12.75" customHeight="1">
      <c r="A344" s="1"/>
      <c r="B344" s="1"/>
      <c r="C344" s="1"/>
      <c r="D344" s="1"/>
      <c r="E344" s="2"/>
      <c r="F344" s="2"/>
      <c r="G344" s="2"/>
      <c r="H344" s="2"/>
      <c r="I344" s="2"/>
      <c r="J344" s="2"/>
    </row>
    <row r="345" spans="1:10" ht="12.75" customHeight="1">
      <c r="A345" s="1"/>
      <c r="B345" s="1"/>
      <c r="C345" s="1"/>
      <c r="D345" s="1"/>
      <c r="E345" s="2"/>
      <c r="F345" s="2"/>
      <c r="G345" s="2"/>
      <c r="H345" s="2"/>
      <c r="I345" s="2"/>
      <c r="J345" s="2"/>
    </row>
    <row r="346" spans="1:10" ht="12.75" customHeight="1">
      <c r="A346" s="1"/>
      <c r="B346" s="1"/>
      <c r="C346" s="1"/>
      <c r="D346" s="1"/>
      <c r="E346" s="2"/>
      <c r="F346" s="2"/>
      <c r="G346" s="2"/>
      <c r="H346" s="2"/>
      <c r="I346" s="2"/>
      <c r="J346" s="2"/>
    </row>
    <row r="347" spans="1:10" ht="12.75" customHeight="1">
      <c r="A347" s="1"/>
      <c r="B347" s="1"/>
      <c r="C347" s="1"/>
      <c r="D347" s="1"/>
      <c r="E347" s="2"/>
      <c r="F347" s="2"/>
      <c r="G347" s="2"/>
      <c r="H347" s="2"/>
      <c r="I347" s="2"/>
      <c r="J347" s="2"/>
    </row>
    <row r="348" spans="1:10" ht="12.75" customHeight="1">
      <c r="A348" s="1"/>
      <c r="B348" s="1"/>
      <c r="C348" s="1"/>
      <c r="D348" s="1"/>
      <c r="E348" s="2"/>
      <c r="F348" s="2"/>
      <c r="G348" s="2"/>
      <c r="H348" s="2"/>
      <c r="I348" s="2"/>
      <c r="J348" s="2"/>
    </row>
    <row r="349" spans="1:10" ht="12.75" customHeight="1">
      <c r="A349" s="1"/>
      <c r="B349" s="1"/>
      <c r="C349" s="1"/>
      <c r="D349" s="1"/>
      <c r="E349" s="2"/>
      <c r="F349" s="2"/>
      <c r="G349" s="2"/>
      <c r="H349" s="2"/>
      <c r="I349" s="2"/>
      <c r="J349" s="2"/>
    </row>
    <row r="350" spans="1:10" ht="12.75" customHeight="1">
      <c r="A350" s="1"/>
      <c r="B350" s="1"/>
      <c r="C350" s="1"/>
      <c r="D350" s="1"/>
      <c r="E350" s="2"/>
      <c r="F350" s="2"/>
      <c r="G350" s="2"/>
      <c r="H350" s="2"/>
      <c r="I350" s="2"/>
      <c r="J350" s="2"/>
    </row>
    <row r="351" spans="1:10" ht="12.75" customHeight="1">
      <c r="A351" s="1"/>
      <c r="B351" s="1"/>
      <c r="C351" s="1"/>
      <c r="D351" s="1"/>
      <c r="E351" s="2"/>
      <c r="F351" s="2"/>
      <c r="G351" s="2"/>
      <c r="H351" s="2"/>
      <c r="I351" s="2"/>
      <c r="J351" s="2"/>
    </row>
    <row r="352" spans="1:10" ht="12.75" customHeight="1">
      <c r="A352" s="1"/>
      <c r="B352" s="1"/>
      <c r="C352" s="1"/>
      <c r="D352" s="1"/>
      <c r="E352" s="2"/>
      <c r="F352" s="2"/>
      <c r="G352" s="2"/>
      <c r="H352" s="2"/>
      <c r="I352" s="2"/>
      <c r="J352" s="2"/>
    </row>
    <row r="353" spans="1:10" ht="12.75" customHeight="1">
      <c r="A353" s="1"/>
      <c r="B353" s="1"/>
      <c r="C353" s="1"/>
      <c r="D353" s="1"/>
      <c r="E353" s="2"/>
      <c r="F353" s="2"/>
      <c r="G353" s="2"/>
      <c r="H353" s="2"/>
      <c r="I353" s="2"/>
      <c r="J353" s="2"/>
    </row>
    <row r="354" spans="1:10" ht="12.75" customHeight="1">
      <c r="A354" s="1"/>
      <c r="B354" s="1"/>
      <c r="C354" s="1"/>
      <c r="D354" s="1"/>
      <c r="E354" s="2"/>
      <c r="F354" s="2"/>
      <c r="G354" s="2"/>
      <c r="H354" s="2"/>
      <c r="I354" s="2"/>
      <c r="J354" s="2"/>
    </row>
    <row r="355" spans="1:10" ht="12.75" customHeight="1">
      <c r="A355" s="1"/>
      <c r="B355" s="1"/>
      <c r="C355" s="1"/>
      <c r="D355" s="1"/>
      <c r="E355" s="2"/>
      <c r="F355" s="2"/>
      <c r="G355" s="2"/>
      <c r="H355" s="2"/>
      <c r="I355" s="2"/>
      <c r="J355" s="2"/>
    </row>
    <row r="356" spans="1:10" ht="12.75" customHeight="1">
      <c r="A356" s="1"/>
      <c r="B356" s="1"/>
      <c r="C356" s="1"/>
      <c r="D356" s="1"/>
      <c r="E356" s="2"/>
      <c r="F356" s="2"/>
      <c r="G356" s="2"/>
      <c r="H356" s="2"/>
      <c r="I356" s="2"/>
      <c r="J356" s="2"/>
    </row>
    <row r="357" spans="1:10" ht="12.75" customHeight="1">
      <c r="A357" s="1"/>
      <c r="B357" s="1"/>
      <c r="C357" s="1"/>
      <c r="D357" s="1"/>
      <c r="E357" s="2"/>
      <c r="F357" s="2"/>
      <c r="G357" s="2"/>
      <c r="H357" s="2"/>
      <c r="I357" s="2"/>
      <c r="J357" s="2"/>
    </row>
    <row r="358" spans="1:10" ht="12.75" customHeight="1">
      <c r="A358" s="1"/>
      <c r="B358" s="1"/>
      <c r="C358" s="1"/>
      <c r="D358" s="1"/>
      <c r="E358" s="2"/>
      <c r="F358" s="2"/>
      <c r="G358" s="2"/>
      <c r="H358" s="2"/>
      <c r="I358" s="2"/>
      <c r="J358" s="2"/>
    </row>
    <row r="359" spans="1:10" ht="12.75" customHeight="1">
      <c r="A359" s="1"/>
      <c r="B359" s="1"/>
      <c r="C359" s="1"/>
      <c r="D359" s="1"/>
      <c r="E359" s="2"/>
      <c r="F359" s="2"/>
      <c r="G359" s="2"/>
      <c r="H359" s="2"/>
      <c r="I359" s="2"/>
      <c r="J359" s="2"/>
    </row>
    <row r="360" spans="1:10" ht="12.75" customHeight="1">
      <c r="A360" s="1"/>
      <c r="B360" s="1"/>
      <c r="C360" s="1"/>
      <c r="D360" s="1"/>
      <c r="E360" s="2"/>
      <c r="F360" s="2"/>
      <c r="G360" s="2"/>
      <c r="H360" s="2"/>
      <c r="I360" s="2"/>
      <c r="J360" s="2"/>
    </row>
    <row r="361" spans="1:10" ht="12.75" customHeight="1">
      <c r="A361" s="1"/>
      <c r="B361" s="1"/>
      <c r="C361" s="1"/>
      <c r="D361" s="1"/>
      <c r="E361" s="2"/>
      <c r="F361" s="2"/>
      <c r="G361" s="2"/>
      <c r="H361" s="2"/>
      <c r="I361" s="2"/>
      <c r="J361" s="2"/>
    </row>
    <row r="362" spans="1:10" ht="12.75" customHeight="1">
      <c r="A362" s="1"/>
      <c r="B362" s="1"/>
      <c r="C362" s="1"/>
      <c r="D362" s="1"/>
      <c r="E362" s="2"/>
      <c r="F362" s="2"/>
      <c r="G362" s="2"/>
      <c r="H362" s="2"/>
      <c r="I362" s="2"/>
      <c r="J362" s="2"/>
    </row>
    <row r="363" spans="1:10" ht="12.75" customHeight="1">
      <c r="A363" s="1"/>
      <c r="B363" s="1"/>
      <c r="C363" s="1"/>
      <c r="D363" s="1"/>
      <c r="E363" s="2"/>
      <c r="F363" s="2"/>
      <c r="G363" s="2"/>
      <c r="H363" s="2"/>
      <c r="I363" s="2"/>
      <c r="J363" s="2"/>
    </row>
    <row r="364" spans="1:10" ht="12.75" customHeight="1">
      <c r="A364" s="1"/>
      <c r="B364" s="1"/>
      <c r="C364" s="1"/>
      <c r="D364" s="1"/>
      <c r="E364" s="2"/>
      <c r="F364" s="2"/>
      <c r="G364" s="2"/>
      <c r="H364" s="2"/>
      <c r="I364" s="2"/>
      <c r="J364" s="2"/>
    </row>
    <row r="365" spans="1:10" ht="12.75" customHeight="1">
      <c r="A365" s="1"/>
      <c r="B365" s="1"/>
      <c r="C365" s="1"/>
      <c r="D365" s="1"/>
      <c r="E365" s="2"/>
      <c r="F365" s="2"/>
      <c r="G365" s="2"/>
      <c r="H365" s="2"/>
      <c r="I365" s="2"/>
      <c r="J365" s="2"/>
    </row>
    <row r="366" spans="1:10" ht="12.75" customHeight="1">
      <c r="A366" s="1"/>
      <c r="B366" s="1"/>
      <c r="C366" s="1"/>
      <c r="D366" s="1"/>
      <c r="E366" s="2"/>
      <c r="F366" s="2"/>
      <c r="G366" s="2"/>
      <c r="H366" s="2"/>
      <c r="I366" s="2"/>
      <c r="J366" s="2"/>
    </row>
    <row r="367" spans="1:10" ht="12.75" customHeight="1">
      <c r="A367" s="1"/>
      <c r="B367" s="1"/>
      <c r="C367" s="1"/>
      <c r="D367" s="1"/>
      <c r="E367" s="2"/>
      <c r="F367" s="2"/>
      <c r="G367" s="2"/>
      <c r="H367" s="2"/>
      <c r="I367" s="2"/>
      <c r="J367" s="2"/>
    </row>
    <row r="368" spans="1:10" ht="12.75" customHeight="1">
      <c r="A368" s="1"/>
      <c r="B368" s="1"/>
      <c r="C368" s="1"/>
      <c r="D368" s="1"/>
      <c r="E368" s="2"/>
      <c r="F368" s="2"/>
      <c r="G368" s="2"/>
      <c r="H368" s="2"/>
      <c r="I368" s="2"/>
      <c r="J368" s="2"/>
    </row>
    <row r="369" spans="1:10" ht="12.75" customHeight="1">
      <c r="A369" s="1"/>
      <c r="B369" s="1"/>
      <c r="C369" s="1"/>
      <c r="D369" s="1"/>
      <c r="E369" s="2"/>
      <c r="F369" s="2"/>
      <c r="G369" s="2"/>
      <c r="H369" s="2"/>
      <c r="I369" s="2"/>
      <c r="J369" s="2"/>
    </row>
    <row r="370" spans="1:10" ht="12.75" customHeight="1">
      <c r="A370" s="1"/>
      <c r="B370" s="1"/>
      <c r="C370" s="1"/>
      <c r="D370" s="1"/>
      <c r="E370" s="2"/>
      <c r="F370" s="2"/>
      <c r="G370" s="2"/>
      <c r="H370" s="2"/>
      <c r="I370" s="2"/>
      <c r="J370" s="2"/>
    </row>
    <row r="371" spans="1:10" ht="12.75" customHeight="1">
      <c r="A371" s="1"/>
      <c r="B371" s="1"/>
      <c r="C371" s="1"/>
      <c r="D371" s="1"/>
      <c r="E371" s="2"/>
      <c r="F371" s="2"/>
      <c r="G371" s="2"/>
      <c r="H371" s="2"/>
      <c r="I371" s="2"/>
      <c r="J371" s="2"/>
    </row>
    <row r="372" spans="1:10" ht="12.75" customHeight="1">
      <c r="A372" s="1"/>
      <c r="B372" s="1"/>
      <c r="C372" s="1"/>
      <c r="D372" s="1"/>
      <c r="E372" s="2"/>
      <c r="F372" s="2"/>
      <c r="G372" s="2"/>
      <c r="H372" s="2"/>
      <c r="I372" s="2"/>
      <c r="J372" s="2"/>
    </row>
    <row r="373" spans="1:10" ht="12.75" customHeight="1">
      <c r="A373" s="1"/>
      <c r="B373" s="1"/>
      <c r="C373" s="1"/>
      <c r="D373" s="1"/>
      <c r="E373" s="2"/>
      <c r="F373" s="2"/>
      <c r="G373" s="2"/>
      <c r="H373" s="2"/>
      <c r="I373" s="2"/>
      <c r="J373" s="2"/>
    </row>
    <row r="374" spans="1:10" ht="12.75" customHeight="1">
      <c r="A374" s="1"/>
      <c r="B374" s="1"/>
      <c r="C374" s="1"/>
      <c r="D374" s="1"/>
      <c r="E374" s="2"/>
      <c r="F374" s="2"/>
      <c r="G374" s="2"/>
      <c r="H374" s="2"/>
      <c r="I374" s="2"/>
      <c r="J374" s="2"/>
    </row>
    <row r="375" spans="1:10" ht="12.75" customHeight="1">
      <c r="A375" s="1"/>
      <c r="B375" s="1"/>
      <c r="C375" s="1"/>
      <c r="D375" s="1"/>
      <c r="E375" s="2"/>
      <c r="F375" s="2"/>
      <c r="G375" s="2"/>
      <c r="H375" s="2"/>
      <c r="I375" s="2"/>
      <c r="J375" s="2"/>
    </row>
    <row r="376" spans="1:10" ht="12.75" customHeight="1">
      <c r="A376" s="1"/>
      <c r="B376" s="1"/>
      <c r="C376" s="1"/>
      <c r="D376" s="1"/>
      <c r="E376" s="2"/>
      <c r="F376" s="2"/>
      <c r="G376" s="2"/>
      <c r="H376" s="2"/>
      <c r="I376" s="2"/>
      <c r="J376" s="2"/>
    </row>
    <row r="377" spans="1:10" ht="12.75" customHeight="1">
      <c r="A377" s="1"/>
      <c r="B377" s="1"/>
      <c r="C377" s="1"/>
      <c r="D377" s="1"/>
      <c r="E377" s="2"/>
      <c r="F377" s="2"/>
      <c r="G377" s="2"/>
      <c r="H377" s="2"/>
      <c r="I377" s="2"/>
      <c r="J377" s="2"/>
    </row>
    <row r="378" spans="1:10" ht="12.75" customHeight="1">
      <c r="A378" s="1"/>
      <c r="B378" s="1"/>
      <c r="C378" s="1"/>
      <c r="D378" s="1"/>
      <c r="E378" s="2"/>
      <c r="F378" s="2"/>
      <c r="G378" s="2"/>
      <c r="H378" s="2"/>
      <c r="I378" s="2"/>
      <c r="J378" s="2"/>
    </row>
    <row r="379" spans="1:10" ht="12.75" customHeight="1">
      <c r="A379" s="1"/>
      <c r="B379" s="1"/>
      <c r="C379" s="1"/>
      <c r="D379" s="1"/>
      <c r="E379" s="2"/>
      <c r="F379" s="2"/>
      <c r="G379" s="2"/>
      <c r="H379" s="2"/>
      <c r="I379" s="2"/>
      <c r="J379" s="2"/>
    </row>
    <row r="380" spans="1:10" ht="12.75" customHeight="1">
      <c r="A380" s="1"/>
      <c r="B380" s="1"/>
      <c r="C380" s="1"/>
      <c r="D380" s="1"/>
      <c r="E380" s="2"/>
      <c r="F380" s="2"/>
      <c r="G380" s="2"/>
      <c r="H380" s="2"/>
      <c r="I380" s="2"/>
      <c r="J380" s="2"/>
    </row>
    <row r="381" spans="1:10" ht="12.75" customHeight="1">
      <c r="A381" s="1"/>
      <c r="B381" s="1"/>
      <c r="C381" s="1"/>
      <c r="D381" s="1"/>
      <c r="E381" s="2"/>
      <c r="F381" s="2"/>
      <c r="G381" s="2"/>
      <c r="H381" s="2"/>
      <c r="I381" s="2"/>
      <c r="J381" s="2"/>
    </row>
    <row r="382" spans="1:10" ht="12.75" customHeight="1">
      <c r="A382" s="1"/>
      <c r="B382" s="1"/>
      <c r="C382" s="1"/>
      <c r="D382" s="1"/>
      <c r="E382" s="2"/>
      <c r="F382" s="2"/>
      <c r="G382" s="2"/>
      <c r="H382" s="2"/>
      <c r="I382" s="2"/>
      <c r="J382" s="2"/>
    </row>
    <row r="383" spans="1:10" ht="12.75" customHeight="1">
      <c r="A383" s="1"/>
      <c r="B383" s="1"/>
      <c r="C383" s="1"/>
      <c r="D383" s="1"/>
      <c r="E383" s="2"/>
      <c r="F383" s="2"/>
      <c r="G383" s="2"/>
      <c r="H383" s="2"/>
      <c r="I383" s="2"/>
      <c r="J383" s="2"/>
    </row>
    <row r="384" spans="1:10" ht="12.75" customHeight="1">
      <c r="A384" s="1"/>
      <c r="B384" s="1"/>
      <c r="C384" s="1"/>
      <c r="D384" s="1"/>
      <c r="E384" s="2"/>
      <c r="F384" s="2"/>
      <c r="G384" s="2"/>
      <c r="H384" s="2"/>
      <c r="I384" s="2"/>
      <c r="J384" s="2"/>
    </row>
    <row r="385" spans="1:10" ht="12.75" customHeight="1">
      <c r="A385" s="1"/>
      <c r="B385" s="1"/>
      <c r="C385" s="1"/>
      <c r="D385" s="1"/>
      <c r="E385" s="2"/>
      <c r="F385" s="2"/>
      <c r="G385" s="2"/>
      <c r="H385" s="2"/>
      <c r="I385" s="2"/>
      <c r="J385" s="2"/>
    </row>
    <row r="386" spans="1:10" ht="12.75" customHeight="1">
      <c r="A386" s="1"/>
      <c r="B386" s="1"/>
      <c r="C386" s="1"/>
      <c r="D386" s="1"/>
      <c r="E386" s="2"/>
      <c r="F386" s="2"/>
      <c r="G386" s="2"/>
      <c r="H386" s="2"/>
      <c r="I386" s="2"/>
      <c r="J386" s="2"/>
    </row>
    <row r="387" spans="1:10" ht="12.75" customHeight="1">
      <c r="A387" s="1"/>
      <c r="B387" s="1"/>
      <c r="C387" s="1"/>
      <c r="D387" s="1"/>
      <c r="E387" s="2"/>
      <c r="F387" s="2"/>
      <c r="G387" s="2"/>
      <c r="H387" s="2"/>
      <c r="I387" s="2"/>
      <c r="J387" s="2"/>
    </row>
    <row r="388" spans="1:10" ht="12.75" customHeight="1">
      <c r="A388" s="1"/>
      <c r="B388" s="1"/>
      <c r="C388" s="1"/>
      <c r="D388" s="1"/>
      <c r="E388" s="2"/>
      <c r="F388" s="2"/>
      <c r="G388" s="2"/>
      <c r="H388" s="2"/>
      <c r="I388" s="2"/>
      <c r="J388" s="2"/>
    </row>
    <row r="389" spans="1:10" ht="12.75" customHeight="1">
      <c r="A389" s="1"/>
      <c r="B389" s="1"/>
      <c r="C389" s="1"/>
      <c r="D389" s="1"/>
      <c r="E389" s="2"/>
      <c r="F389" s="2"/>
      <c r="G389" s="2"/>
      <c r="H389" s="2"/>
      <c r="I389" s="2"/>
      <c r="J389" s="2"/>
    </row>
    <row r="390" spans="1:10" ht="12.75" customHeight="1">
      <c r="A390" s="1"/>
      <c r="B390" s="1"/>
      <c r="C390" s="1"/>
      <c r="D390" s="1"/>
      <c r="E390" s="2"/>
      <c r="F390" s="2"/>
      <c r="G390" s="2"/>
      <c r="H390" s="2"/>
      <c r="I390" s="2"/>
      <c r="J390" s="2"/>
    </row>
    <row r="391" spans="1:10" ht="12.75" customHeight="1">
      <c r="A391" s="1"/>
      <c r="B391" s="1"/>
      <c r="C391" s="1"/>
      <c r="D391" s="1"/>
      <c r="E391" s="2"/>
      <c r="F391" s="2"/>
      <c r="G391" s="2"/>
      <c r="H391" s="2"/>
      <c r="I391" s="2"/>
      <c r="J391" s="2"/>
    </row>
    <row r="392" spans="1:10" ht="12.75" customHeight="1">
      <c r="A392" s="1"/>
      <c r="B392" s="1"/>
      <c r="C392" s="1"/>
      <c r="D392" s="1"/>
      <c r="E392" s="2"/>
      <c r="F392" s="2"/>
      <c r="G392" s="2"/>
      <c r="H392" s="2"/>
      <c r="I392" s="2"/>
      <c r="J392" s="2"/>
    </row>
    <row r="393" spans="1:10" ht="12.75" customHeight="1">
      <c r="A393" s="1"/>
      <c r="B393" s="1"/>
      <c r="C393" s="1"/>
      <c r="D393" s="1"/>
      <c r="E393" s="2"/>
      <c r="F393" s="2"/>
      <c r="G393" s="2"/>
      <c r="H393" s="2"/>
      <c r="I393" s="2"/>
      <c r="J393" s="2"/>
    </row>
    <row r="394" spans="1:10" ht="12.75" customHeight="1">
      <c r="A394" s="1"/>
      <c r="B394" s="1"/>
      <c r="C394" s="1"/>
      <c r="D394" s="1"/>
      <c r="E394" s="2"/>
      <c r="F394" s="2"/>
      <c r="G394" s="2"/>
      <c r="H394" s="2"/>
      <c r="I394" s="2"/>
      <c r="J394" s="2"/>
    </row>
    <row r="395" spans="1:10" ht="12.75" customHeight="1">
      <c r="A395" s="1"/>
      <c r="B395" s="1"/>
      <c r="C395" s="1"/>
      <c r="D395" s="1"/>
      <c r="E395" s="2"/>
      <c r="F395" s="2"/>
      <c r="G395" s="2"/>
      <c r="H395" s="2"/>
      <c r="I395" s="2"/>
      <c r="J395" s="2"/>
    </row>
    <row r="396" spans="1:10" ht="12.75" customHeight="1">
      <c r="A396" s="1"/>
      <c r="B396" s="1"/>
      <c r="C396" s="1"/>
      <c r="D396" s="1"/>
      <c r="E396" s="2"/>
      <c r="F396" s="2"/>
      <c r="G396" s="2"/>
      <c r="H396" s="2"/>
      <c r="I396" s="2"/>
      <c r="J396" s="2"/>
    </row>
    <row r="397" spans="1:10" ht="12.75" customHeight="1">
      <c r="A397" s="1"/>
      <c r="B397" s="1"/>
      <c r="C397" s="1"/>
      <c r="D397" s="1"/>
      <c r="E397" s="2"/>
      <c r="F397" s="2"/>
      <c r="G397" s="2"/>
      <c r="H397" s="2"/>
      <c r="I397" s="2"/>
      <c r="J397" s="2"/>
    </row>
    <row r="398" spans="1:10" ht="12.75" customHeight="1">
      <c r="A398" s="1"/>
      <c r="B398" s="1"/>
      <c r="C398" s="1"/>
      <c r="D398" s="1"/>
      <c r="E398" s="2"/>
      <c r="F398" s="2"/>
      <c r="G398" s="2"/>
      <c r="H398" s="2"/>
      <c r="I398" s="2"/>
      <c r="J398" s="2"/>
    </row>
    <row r="399" spans="1:10" ht="12.75" customHeight="1">
      <c r="A399" s="1"/>
      <c r="B399" s="1"/>
      <c r="C399" s="1"/>
      <c r="D399" s="1"/>
      <c r="E399" s="2"/>
      <c r="F399" s="2"/>
      <c r="G399" s="2"/>
      <c r="H399" s="2"/>
      <c r="I399" s="2"/>
      <c r="J399" s="2"/>
    </row>
    <row r="400" spans="1:10" ht="12.75" customHeight="1">
      <c r="A400" s="1"/>
      <c r="B400" s="1"/>
      <c r="C400" s="1"/>
      <c r="D400" s="1"/>
      <c r="E400" s="2"/>
      <c r="F400" s="2"/>
      <c r="G400" s="2"/>
      <c r="H400" s="2"/>
      <c r="I400" s="2"/>
      <c r="J400" s="2"/>
    </row>
    <row r="401" spans="1:10" ht="12.75" customHeight="1">
      <c r="A401" s="1"/>
      <c r="B401" s="1"/>
      <c r="C401" s="1"/>
      <c r="D401" s="1"/>
      <c r="E401" s="2"/>
      <c r="F401" s="2"/>
      <c r="G401" s="2"/>
      <c r="H401" s="2"/>
      <c r="I401" s="2"/>
      <c r="J401" s="2"/>
    </row>
    <row r="402" spans="1:10" ht="12.75" customHeight="1">
      <c r="A402" s="1"/>
      <c r="B402" s="1"/>
      <c r="C402" s="1"/>
      <c r="D402" s="1"/>
      <c r="E402" s="2"/>
      <c r="F402" s="2"/>
      <c r="G402" s="2"/>
      <c r="H402" s="2"/>
      <c r="I402" s="2"/>
      <c r="J402" s="2"/>
    </row>
    <row r="403" spans="1:10" ht="12.75" customHeight="1">
      <c r="A403" s="1"/>
      <c r="B403" s="1"/>
      <c r="C403" s="1"/>
      <c r="D403" s="1"/>
      <c r="E403" s="2"/>
      <c r="F403" s="2"/>
      <c r="G403" s="2"/>
      <c r="H403" s="2"/>
      <c r="I403" s="2"/>
      <c r="J403" s="2"/>
    </row>
    <row r="404" spans="1:10" ht="12.75" customHeight="1">
      <c r="A404" s="1"/>
      <c r="B404" s="1"/>
      <c r="C404" s="1"/>
      <c r="D404" s="1"/>
      <c r="E404" s="2"/>
      <c r="F404" s="2"/>
      <c r="G404" s="2"/>
      <c r="H404" s="2"/>
      <c r="I404" s="2"/>
      <c r="J404" s="2"/>
    </row>
    <row r="405" spans="1:10" ht="12.75" customHeight="1">
      <c r="A405" s="1"/>
      <c r="B405" s="1"/>
      <c r="C405" s="1"/>
      <c r="D405" s="1"/>
      <c r="E405" s="2"/>
      <c r="F405" s="2"/>
      <c r="G405" s="2"/>
      <c r="H405" s="2"/>
      <c r="I405" s="2"/>
      <c r="J405" s="2"/>
    </row>
    <row r="406" spans="1:10" ht="12.75" customHeight="1">
      <c r="A406" s="1"/>
      <c r="B406" s="1"/>
      <c r="C406" s="1"/>
      <c r="D406" s="1"/>
      <c r="E406" s="2"/>
      <c r="F406" s="2"/>
      <c r="G406" s="2"/>
      <c r="H406" s="2"/>
      <c r="I406" s="2"/>
      <c r="J406" s="2"/>
    </row>
    <row r="407" spans="1:10" ht="12.75" customHeight="1">
      <c r="A407" s="1"/>
      <c r="B407" s="1"/>
      <c r="C407" s="1"/>
      <c r="D407" s="1"/>
      <c r="E407" s="2"/>
      <c r="F407" s="2"/>
      <c r="G407" s="2"/>
      <c r="H407" s="2"/>
      <c r="I407" s="2"/>
      <c r="J407" s="2"/>
    </row>
    <row r="408" spans="1:10" ht="12.75" customHeight="1">
      <c r="A408" s="1"/>
      <c r="B408" s="1"/>
      <c r="C408" s="1"/>
      <c r="D408" s="1"/>
      <c r="E408" s="2"/>
      <c r="F408" s="2"/>
      <c r="G408" s="2"/>
      <c r="H408" s="2"/>
      <c r="I408" s="2"/>
      <c r="J408" s="2"/>
    </row>
    <row r="409" spans="1:10" ht="12.75" customHeight="1">
      <c r="A409" s="1"/>
      <c r="B409" s="1"/>
      <c r="C409" s="1"/>
      <c r="D409" s="1"/>
      <c r="E409" s="2"/>
      <c r="F409" s="2"/>
      <c r="G409" s="2"/>
      <c r="H409" s="2"/>
      <c r="I409" s="2"/>
      <c r="J409" s="2"/>
    </row>
    <row r="410" spans="1:10" ht="12.75" customHeight="1">
      <c r="A410" s="1"/>
      <c r="B410" s="1"/>
      <c r="C410" s="1"/>
      <c r="D410" s="1"/>
      <c r="E410" s="2"/>
      <c r="F410" s="2"/>
      <c r="G410" s="2"/>
      <c r="H410" s="2"/>
      <c r="I410" s="2"/>
      <c r="J410" s="2"/>
    </row>
    <row r="411" spans="1:10" ht="12.75" customHeight="1">
      <c r="A411" s="1"/>
      <c r="B411" s="1"/>
      <c r="C411" s="1"/>
      <c r="D411" s="1"/>
      <c r="E411" s="2"/>
      <c r="F411" s="2"/>
      <c r="G411" s="2"/>
      <c r="H411" s="2"/>
      <c r="I411" s="2"/>
      <c r="J411" s="2"/>
    </row>
    <row r="412" spans="1:10" ht="12.75" customHeight="1">
      <c r="A412" s="1"/>
      <c r="B412" s="1"/>
      <c r="C412" s="1"/>
      <c r="D412" s="1"/>
      <c r="E412" s="2"/>
      <c r="F412" s="2"/>
      <c r="G412" s="2"/>
      <c r="H412" s="2"/>
      <c r="I412" s="2"/>
      <c r="J412" s="2"/>
    </row>
    <row r="413" spans="1:10" ht="12.75" customHeight="1">
      <c r="A413" s="1"/>
      <c r="B413" s="1"/>
      <c r="C413" s="1"/>
      <c r="D413" s="1"/>
      <c r="E413" s="2"/>
      <c r="F413" s="2"/>
      <c r="G413" s="2"/>
      <c r="H413" s="2"/>
      <c r="I413" s="2"/>
      <c r="J413" s="2"/>
    </row>
    <row r="414" spans="1:10" ht="12.75" customHeight="1">
      <c r="A414" s="1"/>
      <c r="B414" s="1"/>
      <c r="C414" s="1"/>
      <c r="D414" s="1"/>
      <c r="E414" s="2"/>
      <c r="F414" s="2"/>
      <c r="G414" s="2"/>
      <c r="H414" s="2"/>
      <c r="I414" s="2"/>
      <c r="J414" s="2"/>
    </row>
    <row r="415" spans="1:10" ht="12.75" customHeight="1">
      <c r="A415" s="1"/>
      <c r="B415" s="1"/>
      <c r="C415" s="1"/>
      <c r="D415" s="1"/>
      <c r="E415" s="2"/>
      <c r="F415" s="2"/>
      <c r="G415" s="2"/>
      <c r="H415" s="2"/>
      <c r="I415" s="2"/>
      <c r="J415" s="2"/>
    </row>
    <row r="416" spans="1:10" ht="12.75" customHeight="1">
      <c r="A416" s="1"/>
      <c r="B416" s="1"/>
      <c r="C416" s="1"/>
      <c r="D416" s="1"/>
      <c r="E416" s="2"/>
      <c r="F416" s="2"/>
      <c r="G416" s="2"/>
      <c r="H416" s="2"/>
      <c r="I416" s="2"/>
      <c r="J416" s="2"/>
    </row>
    <row r="417" spans="1:10" ht="12.75" customHeight="1">
      <c r="A417" s="1"/>
      <c r="B417" s="1"/>
      <c r="C417" s="1"/>
      <c r="D417" s="1"/>
      <c r="E417" s="2"/>
      <c r="F417" s="2"/>
      <c r="G417" s="2"/>
      <c r="H417" s="2"/>
      <c r="I417" s="2"/>
      <c r="J417" s="2"/>
    </row>
    <row r="418" spans="1:10" ht="12.75" customHeight="1">
      <c r="A418" s="1"/>
      <c r="B418" s="1"/>
      <c r="C418" s="1"/>
      <c r="D418" s="1"/>
      <c r="E418" s="2"/>
      <c r="F418" s="2"/>
      <c r="G418" s="2"/>
      <c r="H418" s="2"/>
      <c r="I418" s="2"/>
      <c r="J418" s="2"/>
    </row>
    <row r="419" spans="1:10" ht="12.75" customHeight="1">
      <c r="A419" s="1"/>
      <c r="B419" s="1"/>
      <c r="C419" s="1"/>
      <c r="D419" s="1"/>
      <c r="E419" s="2"/>
      <c r="F419" s="2"/>
      <c r="G419" s="2"/>
      <c r="H419" s="2"/>
      <c r="I419" s="2"/>
      <c r="J419" s="2"/>
    </row>
    <row r="420" spans="1:10" ht="12.75" customHeight="1">
      <c r="A420" s="1"/>
      <c r="B420" s="1"/>
      <c r="C420" s="1"/>
      <c r="D420" s="1"/>
      <c r="E420" s="2"/>
      <c r="F420" s="2"/>
      <c r="G420" s="2"/>
      <c r="H420" s="2"/>
      <c r="I420" s="2"/>
      <c r="J420" s="2"/>
    </row>
    <row r="421" spans="1:10" ht="12.75" customHeight="1">
      <c r="A421" s="1"/>
      <c r="B421" s="1"/>
      <c r="C421" s="1"/>
      <c r="D421" s="1"/>
      <c r="E421" s="2"/>
      <c r="F421" s="2"/>
      <c r="G421" s="2"/>
      <c r="H421" s="2"/>
      <c r="I421" s="2"/>
      <c r="J421" s="2"/>
    </row>
    <row r="422" spans="1:10" ht="12.75" customHeight="1">
      <c r="A422" s="1"/>
      <c r="B422" s="1"/>
      <c r="C422" s="1"/>
      <c r="D422" s="1"/>
      <c r="E422" s="2"/>
      <c r="F422" s="2"/>
      <c r="G422" s="2"/>
      <c r="H422" s="2"/>
      <c r="I422" s="2"/>
      <c r="J422" s="2"/>
    </row>
    <row r="423" spans="1:10" ht="12.75" customHeight="1">
      <c r="A423" s="1"/>
      <c r="B423" s="1"/>
      <c r="C423" s="1"/>
      <c r="D423" s="1"/>
      <c r="E423" s="2"/>
      <c r="F423" s="2"/>
      <c r="G423" s="2"/>
      <c r="H423" s="2"/>
      <c r="I423" s="2"/>
      <c r="J423" s="2"/>
    </row>
    <row r="424" spans="1:10" ht="12.75" customHeight="1">
      <c r="A424" s="1"/>
      <c r="B424" s="1"/>
      <c r="C424" s="1"/>
      <c r="D424" s="1"/>
      <c r="E424" s="2"/>
      <c r="F424" s="2"/>
      <c r="G424" s="2"/>
      <c r="H424" s="2"/>
      <c r="I424" s="2"/>
      <c r="J424" s="2"/>
    </row>
    <row r="425" spans="1:10" ht="12.75" customHeight="1">
      <c r="A425" s="1"/>
      <c r="B425" s="1"/>
      <c r="C425" s="1"/>
      <c r="D425" s="1"/>
      <c r="E425" s="2"/>
      <c r="F425" s="2"/>
      <c r="G425" s="2"/>
      <c r="H425" s="2"/>
      <c r="I425" s="2"/>
      <c r="J425" s="2"/>
    </row>
    <row r="426" spans="1:10" ht="12.75" customHeight="1">
      <c r="A426" s="1"/>
      <c r="B426" s="1"/>
      <c r="C426" s="1"/>
      <c r="D426" s="1"/>
      <c r="E426" s="2"/>
      <c r="F426" s="2"/>
      <c r="G426" s="2"/>
      <c r="H426" s="2"/>
      <c r="I426" s="2"/>
      <c r="J426" s="2"/>
    </row>
    <row r="427" spans="1:10" ht="12.75" customHeight="1">
      <c r="A427" s="1"/>
      <c r="B427" s="1"/>
      <c r="C427" s="1"/>
      <c r="D427" s="1"/>
      <c r="E427" s="2"/>
      <c r="F427" s="2"/>
      <c r="G427" s="2"/>
      <c r="H427" s="2"/>
      <c r="I427" s="2"/>
      <c r="J427" s="2"/>
    </row>
    <row r="428" spans="1:10" ht="12.75" customHeight="1">
      <c r="A428" s="1"/>
      <c r="B428" s="1"/>
      <c r="C428" s="1"/>
      <c r="D428" s="1"/>
      <c r="E428" s="2"/>
      <c r="F428" s="2"/>
      <c r="G428" s="2"/>
      <c r="H428" s="2"/>
      <c r="I428" s="2"/>
      <c r="J428" s="2"/>
    </row>
    <row r="429" spans="1:10" ht="12.75" customHeight="1">
      <c r="A429" s="1"/>
      <c r="B429" s="1"/>
      <c r="C429" s="1"/>
      <c r="D429" s="1"/>
      <c r="E429" s="2"/>
      <c r="F429" s="2"/>
      <c r="G429" s="2"/>
      <c r="H429" s="2"/>
      <c r="I429" s="2"/>
      <c r="J429" s="2"/>
    </row>
    <row r="430" spans="1:10" ht="12.75" customHeight="1">
      <c r="A430" s="1"/>
      <c r="B430" s="1"/>
      <c r="C430" s="1"/>
      <c r="D430" s="1"/>
      <c r="E430" s="2"/>
      <c r="F430" s="2"/>
      <c r="G430" s="2"/>
      <c r="H430" s="2"/>
      <c r="I430" s="2"/>
      <c r="J430" s="2"/>
    </row>
    <row r="431" spans="1:10" ht="12.75" customHeight="1">
      <c r="A431" s="1"/>
      <c r="B431" s="1"/>
      <c r="C431" s="1"/>
      <c r="D431" s="1"/>
      <c r="E431" s="2"/>
      <c r="F431" s="2"/>
      <c r="G431" s="2"/>
      <c r="H431" s="2"/>
      <c r="I431" s="2"/>
      <c r="J431" s="2"/>
    </row>
    <row r="432" spans="1:10" ht="12.75" customHeight="1">
      <c r="A432" s="1"/>
      <c r="B432" s="1"/>
      <c r="C432" s="1"/>
      <c r="D432" s="1"/>
      <c r="E432" s="2"/>
      <c r="F432" s="2"/>
      <c r="G432" s="2"/>
      <c r="H432" s="2"/>
      <c r="I432" s="2"/>
      <c r="J432" s="2"/>
    </row>
    <row r="433" spans="1:10" ht="12.75" customHeight="1">
      <c r="A433" s="1"/>
      <c r="B433" s="1"/>
      <c r="C433" s="1"/>
      <c r="D433" s="1"/>
      <c r="E433" s="2"/>
      <c r="F433" s="2"/>
      <c r="G433" s="2"/>
      <c r="H433" s="2"/>
      <c r="I433" s="2"/>
      <c r="J433" s="2"/>
    </row>
    <row r="434" spans="1:10" ht="12.75" customHeight="1">
      <c r="A434" s="1"/>
      <c r="B434" s="1"/>
      <c r="C434" s="1"/>
      <c r="D434" s="1"/>
      <c r="E434" s="2"/>
      <c r="F434" s="2"/>
      <c r="G434" s="2"/>
      <c r="H434" s="2"/>
      <c r="I434" s="2"/>
      <c r="J434" s="2"/>
    </row>
    <row r="435" spans="1:10" ht="12.75" customHeight="1">
      <c r="A435" s="1"/>
      <c r="B435" s="1"/>
      <c r="C435" s="1"/>
      <c r="D435" s="1"/>
      <c r="E435" s="2"/>
      <c r="F435" s="2"/>
      <c r="G435" s="2"/>
      <c r="H435" s="2"/>
      <c r="I435" s="2"/>
      <c r="J435" s="2"/>
    </row>
    <row r="436" spans="1:10" ht="12.75" customHeight="1">
      <c r="A436" s="1"/>
      <c r="B436" s="1"/>
      <c r="C436" s="1"/>
      <c r="D436" s="1"/>
      <c r="E436" s="2"/>
      <c r="F436" s="2"/>
      <c r="G436" s="2"/>
      <c r="H436" s="2"/>
      <c r="I436" s="2"/>
      <c r="J436" s="2"/>
    </row>
    <row r="437" spans="1:10" ht="12.75" customHeight="1">
      <c r="A437" s="1"/>
      <c r="B437" s="1"/>
      <c r="C437" s="1"/>
      <c r="D437" s="1"/>
      <c r="E437" s="2"/>
      <c r="F437" s="2"/>
      <c r="G437" s="2"/>
      <c r="H437" s="2"/>
      <c r="I437" s="2"/>
      <c r="J437" s="2"/>
    </row>
    <row r="438" spans="1:10" ht="12.75" customHeight="1">
      <c r="A438" s="1"/>
      <c r="B438" s="1"/>
      <c r="C438" s="1"/>
      <c r="D438" s="1"/>
      <c r="E438" s="2"/>
      <c r="F438" s="2"/>
      <c r="G438" s="2"/>
      <c r="H438" s="2"/>
      <c r="I438" s="2"/>
      <c r="J438" s="2"/>
    </row>
    <row r="439" spans="1:10" ht="12.75" customHeight="1">
      <c r="A439" s="1"/>
      <c r="B439" s="1"/>
      <c r="C439" s="1"/>
      <c r="D439" s="1"/>
      <c r="E439" s="2"/>
      <c r="F439" s="2"/>
      <c r="G439" s="2"/>
      <c r="H439" s="2"/>
      <c r="I439" s="2"/>
      <c r="J439" s="2"/>
    </row>
    <row r="440" spans="1:10" ht="12.75" customHeight="1">
      <c r="A440" s="1"/>
      <c r="B440" s="1"/>
      <c r="C440" s="1"/>
      <c r="D440" s="1"/>
      <c r="E440" s="2"/>
      <c r="F440" s="2"/>
      <c r="G440" s="2"/>
      <c r="H440" s="2"/>
      <c r="I440" s="2"/>
      <c r="J440" s="2"/>
    </row>
    <row r="441" spans="1:10" ht="12.75" customHeight="1">
      <c r="A441" s="1"/>
      <c r="B441" s="1"/>
      <c r="C441" s="1"/>
      <c r="D441" s="1"/>
      <c r="E441" s="2"/>
      <c r="F441" s="2"/>
      <c r="G441" s="2"/>
      <c r="H441" s="2"/>
      <c r="I441" s="2"/>
      <c r="J441" s="2"/>
    </row>
    <row r="442" spans="1:10" ht="12.75" customHeight="1">
      <c r="A442" s="1"/>
      <c r="B442" s="1"/>
      <c r="C442" s="1"/>
      <c r="D442" s="1"/>
      <c r="E442" s="2"/>
      <c r="F442" s="2"/>
      <c r="G442" s="2"/>
      <c r="H442" s="2"/>
      <c r="I442" s="2"/>
      <c r="J442" s="2"/>
    </row>
    <row r="443" spans="1:10" ht="12.75" customHeight="1">
      <c r="A443" s="1"/>
      <c r="B443" s="1"/>
      <c r="C443" s="1"/>
      <c r="D443" s="1"/>
      <c r="E443" s="2"/>
      <c r="F443" s="2"/>
      <c r="G443" s="2"/>
      <c r="H443" s="2"/>
      <c r="I443" s="2"/>
      <c r="J443" s="2"/>
    </row>
    <row r="444" spans="1:10" ht="12.75" customHeight="1">
      <c r="A444" s="1"/>
      <c r="B444" s="1"/>
      <c r="C444" s="1"/>
      <c r="D444" s="1"/>
      <c r="E444" s="2"/>
      <c r="F444" s="2"/>
      <c r="G444" s="2"/>
      <c r="H444" s="2"/>
      <c r="I444" s="2"/>
      <c r="J444" s="2"/>
    </row>
    <row r="445" spans="1:10" ht="12.75" customHeight="1">
      <c r="A445" s="1"/>
      <c r="B445" s="1"/>
      <c r="C445" s="1"/>
      <c r="D445" s="1"/>
      <c r="E445" s="2"/>
      <c r="F445" s="2"/>
      <c r="G445" s="2"/>
      <c r="H445" s="2"/>
      <c r="I445" s="2"/>
      <c r="J445" s="2"/>
    </row>
    <row r="446" spans="1:10" ht="12.75" customHeight="1">
      <c r="A446" s="1"/>
      <c r="B446" s="1"/>
      <c r="C446" s="1"/>
      <c r="D446" s="1"/>
      <c r="E446" s="2"/>
      <c r="F446" s="2"/>
      <c r="G446" s="2"/>
      <c r="H446" s="2"/>
      <c r="I446" s="2"/>
      <c r="J446" s="2"/>
    </row>
    <row r="447" spans="1:10" ht="12.75" customHeight="1">
      <c r="A447" s="1"/>
      <c r="B447" s="1"/>
      <c r="C447" s="1"/>
      <c r="D447" s="1"/>
      <c r="E447" s="2"/>
      <c r="F447" s="2"/>
      <c r="G447" s="2"/>
      <c r="H447" s="2"/>
      <c r="I447" s="2"/>
      <c r="J447" s="2"/>
    </row>
    <row r="448" spans="1:10" ht="12.75" customHeight="1">
      <c r="A448" s="1"/>
      <c r="B448" s="1"/>
      <c r="C448" s="1"/>
      <c r="D448" s="1"/>
      <c r="E448" s="2"/>
      <c r="F448" s="2"/>
      <c r="G448" s="2"/>
      <c r="H448" s="2"/>
      <c r="I448" s="2"/>
      <c r="J448" s="2"/>
    </row>
    <row r="449" spans="1:10" ht="12.75" customHeight="1">
      <c r="A449" s="1"/>
      <c r="B449" s="1"/>
      <c r="C449" s="1"/>
      <c r="D449" s="1"/>
      <c r="E449" s="2"/>
      <c r="F449" s="2"/>
      <c r="G449" s="2"/>
      <c r="H449" s="2"/>
      <c r="I449" s="2"/>
      <c r="J449" s="2"/>
    </row>
    <row r="450" spans="1:10" ht="12.75" customHeight="1">
      <c r="A450" s="1"/>
      <c r="B450" s="1"/>
      <c r="C450" s="1"/>
      <c r="D450" s="1"/>
      <c r="E450" s="2"/>
      <c r="F450" s="2"/>
      <c r="G450" s="2"/>
      <c r="H450" s="2"/>
      <c r="I450" s="2"/>
      <c r="J450" s="2"/>
    </row>
    <row r="451" spans="1:10" ht="12.75" customHeight="1">
      <c r="A451" s="1"/>
      <c r="B451" s="1"/>
      <c r="C451" s="1"/>
      <c r="D451" s="1"/>
      <c r="E451" s="2"/>
      <c r="F451" s="2"/>
      <c r="G451" s="2"/>
      <c r="H451" s="2"/>
      <c r="I451" s="2"/>
      <c r="J451" s="2"/>
    </row>
    <row r="452" spans="1:10" ht="12.75" customHeight="1">
      <c r="A452" s="1"/>
      <c r="B452" s="1"/>
      <c r="C452" s="1"/>
      <c r="D452" s="1"/>
      <c r="E452" s="2"/>
      <c r="F452" s="2"/>
      <c r="G452" s="2"/>
      <c r="H452" s="2"/>
      <c r="I452" s="2"/>
      <c r="J452" s="2"/>
    </row>
    <row r="453" spans="1:10" ht="12.75" customHeight="1">
      <c r="A453" s="1"/>
      <c r="B453" s="1"/>
      <c r="C453" s="1"/>
      <c r="D453" s="1"/>
      <c r="E453" s="2"/>
      <c r="F453" s="2"/>
      <c r="G453" s="2"/>
      <c r="H453" s="2"/>
      <c r="I453" s="2"/>
      <c r="J453" s="2"/>
    </row>
    <row r="454" spans="1:10" ht="12.75" customHeight="1">
      <c r="A454" s="1"/>
      <c r="B454" s="1"/>
      <c r="C454" s="1"/>
      <c r="D454" s="1"/>
      <c r="E454" s="2"/>
      <c r="F454" s="2"/>
      <c r="G454" s="2"/>
      <c r="H454" s="2"/>
      <c r="I454" s="2"/>
      <c r="J454" s="2"/>
    </row>
    <row r="455" spans="1:10" ht="12.75" customHeight="1">
      <c r="A455" s="1"/>
      <c r="B455" s="1"/>
      <c r="C455" s="1"/>
      <c r="D455" s="1"/>
      <c r="E455" s="2"/>
      <c r="F455" s="2"/>
      <c r="G455" s="2"/>
      <c r="H455" s="2"/>
      <c r="I455" s="2"/>
      <c r="J455" s="2"/>
    </row>
    <row r="456" spans="1:10" ht="12.75" customHeight="1">
      <c r="A456" s="1"/>
      <c r="B456" s="1"/>
      <c r="C456" s="1"/>
      <c r="D456" s="1"/>
      <c r="E456" s="2"/>
      <c r="F456" s="2"/>
      <c r="G456" s="2"/>
      <c r="H456" s="2"/>
      <c r="I456" s="2"/>
      <c r="J456" s="2"/>
    </row>
    <row r="457" spans="1:10" ht="12.75" customHeight="1">
      <c r="A457" s="1"/>
      <c r="B457" s="1"/>
      <c r="C457" s="1"/>
      <c r="D457" s="1"/>
      <c r="E457" s="2"/>
      <c r="F457" s="2"/>
      <c r="G457" s="2"/>
      <c r="H457" s="2"/>
      <c r="I457" s="2"/>
      <c r="J457" s="2"/>
    </row>
    <row r="458" spans="1:10" ht="12.75" customHeight="1">
      <c r="A458" s="1"/>
      <c r="B458" s="1"/>
      <c r="C458" s="1"/>
      <c r="D458" s="1"/>
      <c r="E458" s="2"/>
      <c r="F458" s="2"/>
      <c r="G458" s="2"/>
      <c r="H458" s="2"/>
      <c r="I458" s="2"/>
      <c r="J458" s="2"/>
    </row>
    <row r="459" spans="1:10" ht="12.75" customHeight="1">
      <c r="A459" s="1"/>
      <c r="B459" s="1"/>
      <c r="C459" s="1"/>
      <c r="D459" s="1"/>
      <c r="E459" s="2"/>
      <c r="F459" s="2"/>
      <c r="G459" s="2"/>
      <c r="H459" s="2"/>
      <c r="I459" s="2"/>
      <c r="J459" s="2"/>
    </row>
    <row r="460" spans="1:10" ht="12.75" customHeight="1">
      <c r="A460" s="1"/>
      <c r="B460" s="1"/>
      <c r="C460" s="1"/>
      <c r="D460" s="1"/>
      <c r="E460" s="2"/>
      <c r="F460" s="2"/>
      <c r="G460" s="2"/>
      <c r="H460" s="2"/>
      <c r="I460" s="2"/>
      <c r="J460" s="2"/>
    </row>
    <row r="461" spans="1:10" ht="12.75" customHeight="1">
      <c r="A461" s="1"/>
      <c r="B461" s="1"/>
      <c r="C461" s="1"/>
      <c r="D461" s="1"/>
      <c r="E461" s="2"/>
      <c r="F461" s="2"/>
      <c r="G461" s="2"/>
      <c r="H461" s="2"/>
      <c r="I461" s="2"/>
      <c r="J461" s="2"/>
    </row>
    <row r="462" spans="1:10" ht="12.75" customHeight="1">
      <c r="A462" s="1"/>
      <c r="B462" s="1"/>
      <c r="C462" s="1"/>
      <c r="D462" s="1"/>
      <c r="E462" s="2"/>
      <c r="F462" s="2"/>
      <c r="G462" s="2"/>
      <c r="H462" s="2"/>
      <c r="I462" s="2"/>
      <c r="J462" s="2"/>
    </row>
    <row r="463" spans="1:10" ht="12.75" customHeight="1">
      <c r="A463" s="1"/>
      <c r="B463" s="1"/>
      <c r="C463" s="1"/>
      <c r="D463" s="1"/>
      <c r="E463" s="2"/>
      <c r="F463" s="2"/>
      <c r="G463" s="2"/>
      <c r="H463" s="2"/>
      <c r="I463" s="2"/>
      <c r="J463" s="2"/>
    </row>
    <row r="464" spans="1:10" ht="12.75" customHeight="1">
      <c r="A464" s="1"/>
      <c r="B464" s="1"/>
      <c r="C464" s="1"/>
      <c r="D464" s="1"/>
      <c r="E464" s="2"/>
      <c r="F464" s="2"/>
      <c r="G464" s="2"/>
      <c r="H464" s="2"/>
      <c r="I464" s="2"/>
      <c r="J464" s="2"/>
    </row>
    <row r="465" spans="1:10" ht="12.75" customHeight="1">
      <c r="A465" s="1"/>
      <c r="B465" s="1"/>
      <c r="C465" s="1"/>
      <c r="D465" s="1"/>
      <c r="E465" s="2"/>
      <c r="F465" s="2"/>
      <c r="G465" s="2"/>
      <c r="H465" s="2"/>
      <c r="I465" s="2"/>
      <c r="J465" s="2"/>
    </row>
    <row r="466" spans="1:10" ht="12.75" customHeight="1">
      <c r="A466" s="1"/>
      <c r="B466" s="1"/>
      <c r="C466" s="1"/>
      <c r="D466" s="1"/>
      <c r="E466" s="2"/>
      <c r="F466" s="2"/>
      <c r="G466" s="2"/>
      <c r="H466" s="2"/>
      <c r="I466" s="2"/>
      <c r="J466" s="2"/>
    </row>
    <row r="467" spans="1:10" ht="12.75" customHeight="1">
      <c r="A467" s="1"/>
      <c r="B467" s="1"/>
      <c r="C467" s="1"/>
      <c r="D467" s="1"/>
      <c r="E467" s="2"/>
      <c r="F467" s="2"/>
      <c r="G467" s="2"/>
      <c r="H467" s="2"/>
      <c r="I467" s="2"/>
      <c r="J467" s="2"/>
    </row>
    <row r="468" spans="1:10" ht="12.75" customHeight="1">
      <c r="A468" s="1"/>
      <c r="B468" s="1"/>
      <c r="C468" s="1"/>
      <c r="D468" s="1"/>
      <c r="E468" s="2"/>
      <c r="F468" s="2"/>
      <c r="G468" s="2"/>
      <c r="H468" s="2"/>
      <c r="I468" s="2"/>
      <c r="J468" s="2"/>
    </row>
    <row r="469" spans="1:10" ht="12.75" customHeight="1">
      <c r="A469" s="1"/>
      <c r="B469" s="1"/>
      <c r="C469" s="1"/>
      <c r="D469" s="1"/>
      <c r="E469" s="2"/>
      <c r="F469" s="2"/>
      <c r="G469" s="2"/>
      <c r="H469" s="2"/>
      <c r="I469" s="2"/>
      <c r="J469" s="2"/>
    </row>
    <row r="470" spans="1:10" ht="12.75" customHeight="1">
      <c r="A470" s="1"/>
      <c r="B470" s="1"/>
      <c r="C470" s="1"/>
      <c r="D470" s="1"/>
      <c r="E470" s="2"/>
      <c r="F470" s="2"/>
      <c r="G470" s="2"/>
      <c r="H470" s="2"/>
      <c r="I470" s="2"/>
      <c r="J470" s="2"/>
    </row>
    <row r="471" spans="1:10" ht="12.75" customHeight="1">
      <c r="A471" s="1"/>
      <c r="B471" s="1"/>
      <c r="C471" s="1"/>
      <c r="D471" s="1"/>
      <c r="E471" s="2"/>
      <c r="F471" s="2"/>
      <c r="G471" s="2"/>
      <c r="H471" s="2"/>
      <c r="I471" s="2"/>
      <c r="J471" s="2"/>
    </row>
    <row r="472" spans="1:10" ht="12.75" customHeight="1">
      <c r="A472" s="1"/>
      <c r="B472" s="1"/>
      <c r="C472" s="1"/>
      <c r="D472" s="1"/>
      <c r="E472" s="2"/>
      <c r="F472" s="2"/>
      <c r="G472" s="2"/>
      <c r="H472" s="2"/>
      <c r="I472" s="2"/>
      <c r="J472" s="2"/>
    </row>
    <row r="473" spans="1:10" ht="12.75" customHeight="1">
      <c r="A473" s="1"/>
      <c r="B473" s="1"/>
      <c r="C473" s="1"/>
      <c r="D473" s="1"/>
      <c r="E473" s="2"/>
      <c r="F473" s="2"/>
      <c r="G473" s="2"/>
      <c r="H473" s="2"/>
      <c r="I473" s="2"/>
      <c r="J473" s="2"/>
    </row>
    <row r="474" spans="1:10" ht="12.75" customHeight="1">
      <c r="A474" s="1"/>
      <c r="B474" s="1"/>
      <c r="C474" s="1"/>
      <c r="D474" s="1"/>
      <c r="E474" s="2"/>
      <c r="F474" s="2"/>
      <c r="G474" s="2"/>
      <c r="H474" s="2"/>
      <c r="I474" s="2"/>
      <c r="J474" s="2"/>
    </row>
    <row r="475" spans="1:10" ht="12.75" customHeight="1">
      <c r="A475" s="1"/>
      <c r="B475" s="1"/>
      <c r="C475" s="1"/>
      <c r="D475" s="1"/>
      <c r="E475" s="2"/>
      <c r="F475" s="2"/>
      <c r="G475" s="2"/>
      <c r="H475" s="2"/>
      <c r="I475" s="2"/>
      <c r="J475" s="2"/>
    </row>
    <row r="476" spans="1:10" ht="12.75" customHeight="1">
      <c r="A476" s="1"/>
      <c r="B476" s="1"/>
      <c r="C476" s="1"/>
      <c r="D476" s="1"/>
      <c r="E476" s="2"/>
      <c r="F476" s="2"/>
      <c r="G476" s="2"/>
      <c r="H476" s="2"/>
      <c r="I476" s="2"/>
      <c r="J476" s="2"/>
    </row>
    <row r="477" spans="1:10" ht="12.75" customHeight="1">
      <c r="A477" s="1"/>
      <c r="B477" s="1"/>
      <c r="C477" s="1"/>
      <c r="D477" s="1"/>
      <c r="E477" s="2"/>
      <c r="F477" s="2"/>
      <c r="G477" s="2"/>
      <c r="H477" s="2"/>
      <c r="I477" s="2"/>
      <c r="J477" s="2"/>
    </row>
    <row r="478" spans="1:10" ht="12.75" customHeight="1">
      <c r="A478" s="1"/>
      <c r="B478" s="1"/>
      <c r="C478" s="1"/>
      <c r="D478" s="1"/>
      <c r="E478" s="2"/>
      <c r="F478" s="2"/>
      <c r="G478" s="2"/>
      <c r="H478" s="2"/>
      <c r="I478" s="2"/>
      <c r="J478" s="2"/>
    </row>
    <row r="479" spans="1:10" ht="12.75" customHeight="1">
      <c r="A479" s="1"/>
      <c r="B479" s="1"/>
      <c r="C479" s="1"/>
      <c r="D479" s="1"/>
      <c r="E479" s="2"/>
      <c r="F479" s="2"/>
      <c r="G479" s="2"/>
      <c r="H479" s="2"/>
      <c r="I479" s="2"/>
      <c r="J479" s="2"/>
    </row>
    <row r="480" spans="1:10" ht="12.75" customHeight="1">
      <c r="A480" s="1"/>
      <c r="B480" s="1"/>
      <c r="C480" s="1"/>
      <c r="D480" s="1"/>
      <c r="E480" s="2"/>
      <c r="F480" s="2"/>
      <c r="G480" s="2"/>
      <c r="H480" s="2"/>
      <c r="I480" s="2"/>
      <c r="J480" s="2"/>
    </row>
    <row r="481" spans="1:10" ht="12.75" customHeight="1">
      <c r="A481" s="1"/>
      <c r="B481" s="1"/>
      <c r="C481" s="1"/>
      <c r="D481" s="1"/>
      <c r="E481" s="2"/>
      <c r="F481" s="2"/>
      <c r="G481" s="2"/>
      <c r="H481" s="2"/>
      <c r="I481" s="2"/>
      <c r="J481" s="2"/>
    </row>
    <row r="482" spans="1:10" ht="12.75" customHeight="1">
      <c r="A482" s="1"/>
      <c r="B482" s="1"/>
      <c r="C482" s="1"/>
      <c r="D482" s="1"/>
      <c r="E482" s="2"/>
      <c r="F482" s="2"/>
      <c r="G482" s="2"/>
      <c r="H482" s="2"/>
      <c r="I482" s="2"/>
      <c r="J482" s="2"/>
    </row>
    <row r="483" spans="1:10" ht="12.75" customHeight="1">
      <c r="A483" s="1"/>
      <c r="B483" s="1"/>
      <c r="C483" s="1"/>
      <c r="D483" s="1"/>
      <c r="E483" s="2"/>
      <c r="F483" s="2"/>
      <c r="G483" s="2"/>
      <c r="H483" s="2"/>
      <c r="I483" s="2"/>
      <c r="J483" s="2"/>
    </row>
    <row r="484" spans="1:10" ht="12.75" customHeight="1">
      <c r="A484" s="1"/>
      <c r="B484" s="1"/>
      <c r="C484" s="1"/>
      <c r="D484" s="1"/>
      <c r="E484" s="2"/>
      <c r="F484" s="2"/>
      <c r="G484" s="2"/>
      <c r="H484" s="2"/>
      <c r="I484" s="2"/>
      <c r="J484" s="2"/>
    </row>
    <row r="485" spans="1:10" ht="12.75" customHeight="1">
      <c r="A485" s="1"/>
      <c r="B485" s="1"/>
      <c r="C485" s="1"/>
      <c r="D485" s="1"/>
      <c r="E485" s="2"/>
      <c r="F485" s="2"/>
      <c r="G485" s="2"/>
      <c r="H485" s="2"/>
      <c r="I485" s="2"/>
      <c r="J485" s="2"/>
    </row>
    <row r="486" spans="1:10" ht="12.75" customHeight="1">
      <c r="A486" s="1"/>
      <c r="B486" s="1"/>
      <c r="C486" s="1"/>
      <c r="D486" s="1"/>
      <c r="E486" s="2"/>
      <c r="F486" s="2"/>
      <c r="G486" s="2"/>
      <c r="H486" s="2"/>
      <c r="I486" s="2"/>
      <c r="J486" s="2"/>
    </row>
    <row r="487" spans="1:10" ht="12.75" customHeight="1">
      <c r="A487" s="1"/>
      <c r="B487" s="1"/>
      <c r="C487" s="1"/>
      <c r="D487" s="1"/>
      <c r="E487" s="2"/>
      <c r="F487" s="2"/>
      <c r="G487" s="2"/>
      <c r="H487" s="2"/>
      <c r="I487" s="2"/>
      <c r="J487" s="2"/>
    </row>
    <row r="488" spans="1:10" ht="12.75" customHeight="1">
      <c r="A488" s="1"/>
      <c r="B488" s="1"/>
      <c r="C488" s="1"/>
      <c r="D488" s="1"/>
      <c r="E488" s="2"/>
      <c r="F488" s="2"/>
      <c r="G488" s="2"/>
      <c r="H488" s="2"/>
      <c r="I488" s="2"/>
      <c r="J488" s="2"/>
    </row>
    <row r="489" spans="1:10" ht="12.75" customHeight="1">
      <c r="A489" s="1"/>
      <c r="B489" s="1"/>
      <c r="C489" s="1"/>
      <c r="D489" s="1"/>
      <c r="E489" s="2"/>
      <c r="F489" s="2"/>
      <c r="G489" s="2"/>
      <c r="H489" s="2"/>
      <c r="I489" s="2"/>
      <c r="J489" s="2"/>
    </row>
    <row r="490" spans="1:10" ht="12.75" customHeight="1">
      <c r="A490" s="1"/>
      <c r="B490" s="1"/>
      <c r="C490" s="1"/>
      <c r="D490" s="1"/>
      <c r="E490" s="2"/>
      <c r="F490" s="2"/>
      <c r="G490" s="2"/>
      <c r="H490" s="2"/>
      <c r="I490" s="2"/>
      <c r="J490" s="2"/>
    </row>
    <row r="491" spans="1:10" ht="12.75" customHeight="1">
      <c r="A491" s="1"/>
      <c r="B491" s="1"/>
      <c r="C491" s="1"/>
      <c r="D491" s="1"/>
      <c r="E491" s="2"/>
      <c r="F491" s="2"/>
      <c r="G491" s="2"/>
      <c r="H491" s="2"/>
      <c r="I491" s="2"/>
      <c r="J491" s="2"/>
    </row>
    <row r="492" spans="1:10" ht="12.75" customHeight="1">
      <c r="A492" s="1"/>
      <c r="B492" s="1"/>
      <c r="C492" s="1"/>
      <c r="D492" s="1"/>
      <c r="E492" s="2"/>
      <c r="F492" s="2"/>
      <c r="G492" s="2"/>
      <c r="H492" s="2"/>
      <c r="I492" s="2"/>
      <c r="J492" s="2"/>
    </row>
    <row r="493" spans="1:10" ht="12.75" customHeight="1">
      <c r="A493" s="1"/>
      <c r="B493" s="1"/>
      <c r="C493" s="1"/>
      <c r="D493" s="1"/>
      <c r="E493" s="2"/>
      <c r="F493" s="2"/>
      <c r="G493" s="2"/>
      <c r="H493" s="2"/>
      <c r="I493" s="2"/>
      <c r="J493" s="2"/>
    </row>
    <row r="494" spans="1:10" ht="12.75" customHeight="1">
      <c r="A494" s="1"/>
      <c r="B494" s="1"/>
      <c r="C494" s="1"/>
      <c r="D494" s="1"/>
      <c r="E494" s="2"/>
      <c r="F494" s="2"/>
      <c r="G494" s="2"/>
      <c r="H494" s="2"/>
      <c r="I494" s="2"/>
      <c r="J494" s="2"/>
    </row>
    <row r="495" spans="1:10" ht="12.75" customHeight="1">
      <c r="A495" s="1"/>
      <c r="B495" s="1"/>
      <c r="C495" s="1"/>
      <c r="D495" s="1"/>
      <c r="E495" s="2"/>
      <c r="F495" s="2"/>
      <c r="G495" s="2"/>
      <c r="H495" s="2"/>
      <c r="I495" s="2"/>
      <c r="J495" s="2"/>
    </row>
    <row r="496" spans="1:10" ht="12.75" customHeight="1">
      <c r="A496" s="1"/>
      <c r="B496" s="1"/>
      <c r="C496" s="1"/>
      <c r="D496" s="1"/>
      <c r="E496" s="2"/>
      <c r="F496" s="2"/>
      <c r="G496" s="2"/>
      <c r="H496" s="2"/>
      <c r="I496" s="2"/>
      <c r="J496" s="2"/>
    </row>
    <row r="497" spans="1:10" ht="12.75" customHeight="1">
      <c r="A497" s="1"/>
      <c r="B497" s="1"/>
      <c r="C497" s="1"/>
      <c r="D497" s="1"/>
      <c r="E497" s="2"/>
      <c r="F497" s="2"/>
      <c r="G497" s="2"/>
      <c r="H497" s="2"/>
      <c r="I497" s="2"/>
      <c r="J497" s="2"/>
    </row>
    <row r="498" spans="1:10" ht="12.75" customHeight="1">
      <c r="A498" s="1"/>
      <c r="B498" s="1"/>
      <c r="C498" s="1"/>
      <c r="D498" s="1"/>
      <c r="E498" s="2"/>
      <c r="F498" s="2"/>
      <c r="G498" s="2"/>
      <c r="H498" s="2"/>
      <c r="I498" s="2"/>
      <c r="J498" s="2"/>
    </row>
    <row r="499" spans="1:10" ht="12.75" customHeight="1">
      <c r="A499" s="1"/>
      <c r="B499" s="1"/>
      <c r="C499" s="1"/>
      <c r="D499" s="1"/>
      <c r="E499" s="2"/>
      <c r="F499" s="2"/>
      <c r="G499" s="2"/>
      <c r="H499" s="2"/>
      <c r="I499" s="2"/>
      <c r="J499" s="2"/>
    </row>
    <row r="500" spans="1:10" ht="12.75" customHeight="1">
      <c r="A500" s="1"/>
      <c r="B500" s="1"/>
      <c r="C500" s="1"/>
      <c r="D500" s="1"/>
      <c r="E500" s="2"/>
      <c r="F500" s="2"/>
      <c r="G500" s="2"/>
      <c r="H500" s="2"/>
      <c r="I500" s="2"/>
      <c r="J500" s="2"/>
    </row>
    <row r="501" spans="1:10" ht="12.75" customHeight="1">
      <c r="A501" s="1"/>
      <c r="B501" s="1"/>
      <c r="C501" s="1"/>
      <c r="D501" s="1"/>
      <c r="E501" s="2"/>
      <c r="F501" s="2"/>
      <c r="G501" s="2"/>
      <c r="H501" s="2"/>
      <c r="I501" s="2"/>
      <c r="J501" s="2"/>
    </row>
    <row r="502" spans="1:10" ht="12.75" customHeight="1">
      <c r="A502" s="1"/>
      <c r="B502" s="1"/>
      <c r="C502" s="1"/>
      <c r="D502" s="1"/>
      <c r="E502" s="2"/>
      <c r="F502" s="2"/>
      <c r="G502" s="2"/>
      <c r="H502" s="2"/>
      <c r="I502" s="2"/>
      <c r="J502" s="2"/>
    </row>
    <row r="503" spans="1:10" ht="12.75" customHeight="1">
      <c r="A503" s="1"/>
      <c r="B503" s="1"/>
      <c r="C503" s="1"/>
      <c r="D503" s="1"/>
      <c r="E503" s="2"/>
      <c r="F503" s="2"/>
      <c r="G503" s="2"/>
      <c r="H503" s="2"/>
      <c r="I503" s="2"/>
      <c r="J503" s="2"/>
    </row>
    <row r="504" spans="1:10" ht="12.75" customHeight="1">
      <c r="A504" s="1"/>
      <c r="B504" s="1"/>
      <c r="C504" s="1"/>
      <c r="D504" s="1"/>
      <c r="E504" s="2"/>
      <c r="F504" s="2"/>
      <c r="G504" s="2"/>
      <c r="H504" s="2"/>
      <c r="I504" s="2"/>
      <c r="J504" s="2"/>
    </row>
    <row r="505" spans="1:10" ht="12.75" customHeight="1">
      <c r="A505" s="1"/>
      <c r="B505" s="1"/>
      <c r="C505" s="1"/>
      <c r="D505" s="1"/>
      <c r="E505" s="2"/>
      <c r="F505" s="2"/>
      <c r="G505" s="2"/>
      <c r="H505" s="2"/>
      <c r="I505" s="2"/>
      <c r="J505" s="2"/>
    </row>
    <row r="506" spans="1:10" ht="12.75" customHeight="1">
      <c r="A506" s="1"/>
      <c r="B506" s="1"/>
      <c r="C506" s="1"/>
      <c r="D506" s="1"/>
      <c r="E506" s="2"/>
      <c r="F506" s="2"/>
      <c r="G506" s="2"/>
      <c r="H506" s="2"/>
      <c r="I506" s="2"/>
      <c r="J506" s="2"/>
    </row>
    <row r="507" spans="1:10" ht="12.75" customHeight="1">
      <c r="A507" s="1"/>
      <c r="B507" s="1"/>
      <c r="C507" s="1"/>
      <c r="D507" s="1"/>
      <c r="E507" s="2"/>
      <c r="F507" s="2"/>
      <c r="G507" s="2"/>
      <c r="H507" s="2"/>
      <c r="I507" s="2"/>
      <c r="J507" s="2"/>
    </row>
    <row r="508" spans="1:10" ht="12.75" customHeight="1">
      <c r="A508" s="1"/>
      <c r="B508" s="1"/>
      <c r="C508" s="1"/>
      <c r="D508" s="1"/>
      <c r="E508" s="2"/>
      <c r="F508" s="2"/>
      <c r="G508" s="2"/>
      <c r="H508" s="2"/>
      <c r="I508" s="2"/>
      <c r="J508" s="2"/>
    </row>
    <row r="509" spans="1:10" ht="12.75" customHeight="1">
      <c r="A509" s="1"/>
      <c r="B509" s="1"/>
      <c r="C509" s="1"/>
      <c r="D509" s="1"/>
      <c r="E509" s="2"/>
      <c r="F509" s="2"/>
      <c r="G509" s="2"/>
      <c r="H509" s="2"/>
      <c r="I509" s="2"/>
      <c r="J509" s="2"/>
    </row>
    <row r="510" spans="1:10" ht="12.75" customHeight="1">
      <c r="A510" s="1"/>
      <c r="B510" s="1"/>
      <c r="C510" s="1"/>
      <c r="D510" s="1"/>
      <c r="E510" s="2"/>
      <c r="F510" s="2"/>
      <c r="G510" s="2"/>
      <c r="H510" s="2"/>
      <c r="I510" s="2"/>
      <c r="J510" s="2"/>
    </row>
    <row r="511" spans="1:10" ht="12.75" customHeight="1">
      <c r="A511" s="1"/>
      <c r="B511" s="1"/>
      <c r="C511" s="1"/>
      <c r="D511" s="1"/>
      <c r="E511" s="2"/>
      <c r="F511" s="2"/>
      <c r="G511" s="2"/>
      <c r="H511" s="2"/>
      <c r="I511" s="2"/>
      <c r="J511" s="2"/>
    </row>
    <row r="512" spans="1:10" ht="12.75" customHeight="1">
      <c r="A512" s="1"/>
      <c r="B512" s="1"/>
      <c r="C512" s="1"/>
      <c r="D512" s="1"/>
      <c r="E512" s="2"/>
      <c r="F512" s="2"/>
      <c r="G512" s="2"/>
      <c r="H512" s="2"/>
      <c r="I512" s="2"/>
      <c r="J512" s="2"/>
    </row>
    <row r="513" spans="1:10" ht="12.75" customHeight="1">
      <c r="A513" s="1"/>
      <c r="B513" s="1"/>
      <c r="C513" s="1"/>
      <c r="D513" s="1"/>
      <c r="E513" s="2"/>
      <c r="F513" s="2"/>
      <c r="G513" s="2"/>
      <c r="H513" s="2"/>
      <c r="I513" s="2"/>
      <c r="J513" s="2"/>
    </row>
    <row r="514" spans="1:10" ht="12.75" customHeight="1">
      <c r="A514" s="1"/>
      <c r="B514" s="1"/>
      <c r="C514" s="1"/>
      <c r="D514" s="1"/>
      <c r="E514" s="2"/>
      <c r="F514" s="2"/>
      <c r="G514" s="2"/>
      <c r="H514" s="2"/>
      <c r="I514" s="2"/>
      <c r="J514" s="2"/>
    </row>
    <row r="515" spans="1:10" ht="12.75" customHeight="1">
      <c r="A515" s="1"/>
      <c r="B515" s="1"/>
      <c r="C515" s="1"/>
      <c r="D515" s="1"/>
      <c r="E515" s="2"/>
      <c r="F515" s="2"/>
      <c r="G515" s="2"/>
      <c r="H515" s="2"/>
      <c r="I515" s="2"/>
      <c r="J515" s="2"/>
    </row>
    <row r="516" spans="1:10" ht="12.75" customHeight="1">
      <c r="A516" s="1"/>
      <c r="B516" s="1"/>
      <c r="C516" s="1"/>
      <c r="D516" s="1"/>
      <c r="E516" s="2"/>
      <c r="F516" s="2"/>
      <c r="G516" s="2"/>
      <c r="H516" s="2"/>
      <c r="I516" s="2"/>
      <c r="J516" s="2"/>
    </row>
    <row r="517" spans="1:10" ht="12.75" customHeight="1">
      <c r="A517" s="1"/>
      <c r="B517" s="1"/>
      <c r="C517" s="1"/>
      <c r="D517" s="1"/>
      <c r="E517" s="2"/>
      <c r="F517" s="2"/>
      <c r="G517" s="2"/>
      <c r="H517" s="2"/>
      <c r="I517" s="2"/>
      <c r="J517" s="2"/>
    </row>
    <row r="518" spans="1:10" ht="12.75" customHeight="1">
      <c r="A518" s="1"/>
      <c r="B518" s="1"/>
      <c r="C518" s="1"/>
      <c r="D518" s="1"/>
      <c r="E518" s="2"/>
      <c r="F518" s="2"/>
      <c r="G518" s="2"/>
      <c r="H518" s="2"/>
      <c r="I518" s="2"/>
      <c r="J518" s="2"/>
    </row>
    <row r="519" spans="1:10" ht="12.75" customHeight="1">
      <c r="A519" s="1"/>
      <c r="B519" s="1"/>
      <c r="C519" s="1"/>
      <c r="D519" s="1"/>
      <c r="E519" s="2"/>
      <c r="F519" s="2"/>
      <c r="G519" s="2"/>
      <c r="H519" s="2"/>
      <c r="I519" s="2"/>
      <c r="J519" s="2"/>
    </row>
    <row r="520" spans="1:10" ht="12.75" customHeight="1">
      <c r="A520" s="1"/>
      <c r="B520" s="1"/>
      <c r="C520" s="1"/>
      <c r="D520" s="1"/>
      <c r="E520" s="2"/>
      <c r="F520" s="2"/>
      <c r="G520" s="2"/>
      <c r="H520" s="2"/>
      <c r="I520" s="2"/>
      <c r="J520" s="2"/>
    </row>
    <row r="521" spans="1:10" ht="12.75" customHeight="1">
      <c r="A521" s="1"/>
      <c r="B521" s="1"/>
      <c r="C521" s="1"/>
      <c r="D521" s="1"/>
      <c r="E521" s="2"/>
      <c r="F521" s="2"/>
      <c r="G521" s="2"/>
      <c r="H521" s="2"/>
      <c r="I521" s="2"/>
      <c r="J521" s="2"/>
    </row>
    <row r="522" spans="1:10" ht="12.75" customHeight="1">
      <c r="A522" s="1"/>
      <c r="B522" s="1"/>
      <c r="C522" s="1"/>
      <c r="D522" s="1"/>
      <c r="E522" s="2"/>
      <c r="F522" s="2"/>
      <c r="G522" s="2"/>
      <c r="H522" s="2"/>
      <c r="I522" s="2"/>
      <c r="J522" s="2"/>
    </row>
    <row r="523" spans="1:10" ht="12.75" customHeight="1">
      <c r="A523" s="1"/>
      <c r="B523" s="1"/>
      <c r="C523" s="1"/>
      <c r="D523" s="1"/>
      <c r="E523" s="2"/>
      <c r="F523" s="2"/>
      <c r="G523" s="2"/>
      <c r="H523" s="2"/>
      <c r="I523" s="2"/>
      <c r="J523" s="2"/>
    </row>
    <row r="524" spans="1:10" ht="12.75" customHeight="1">
      <c r="A524" s="1"/>
      <c r="B524" s="1"/>
      <c r="C524" s="1"/>
      <c r="D524" s="1"/>
      <c r="E524" s="2"/>
      <c r="F524" s="2"/>
      <c r="G524" s="2"/>
      <c r="H524" s="2"/>
      <c r="I524" s="2"/>
      <c r="J524" s="2"/>
    </row>
    <row r="525" spans="1:10" ht="12.75" customHeight="1">
      <c r="A525" s="1"/>
      <c r="B525" s="1"/>
      <c r="C525" s="1"/>
      <c r="D525" s="1"/>
      <c r="E525" s="2"/>
      <c r="F525" s="2"/>
      <c r="G525" s="2"/>
      <c r="H525" s="2"/>
      <c r="I525" s="2"/>
      <c r="J525" s="2"/>
    </row>
    <row r="526" spans="1:10" ht="12.75" customHeight="1">
      <c r="A526" s="1"/>
      <c r="B526" s="1"/>
      <c r="C526" s="1"/>
      <c r="D526" s="1"/>
      <c r="E526" s="2"/>
      <c r="F526" s="2"/>
      <c r="G526" s="2"/>
      <c r="H526" s="2"/>
      <c r="I526" s="2"/>
      <c r="J526" s="2"/>
    </row>
    <row r="527" spans="1:10" ht="12.75" customHeight="1">
      <c r="A527" s="1"/>
      <c r="B527" s="1"/>
      <c r="C527" s="1"/>
      <c r="D527" s="1"/>
      <c r="E527" s="2"/>
      <c r="F527" s="2"/>
      <c r="G527" s="2"/>
      <c r="H527" s="2"/>
      <c r="I527" s="2"/>
      <c r="J527" s="2"/>
    </row>
    <row r="528" spans="1:10" ht="12.75" customHeight="1">
      <c r="A528" s="1"/>
      <c r="B528" s="1"/>
      <c r="C528" s="1"/>
      <c r="D528" s="1"/>
      <c r="E528" s="2"/>
      <c r="F528" s="2"/>
      <c r="G528" s="2"/>
      <c r="H528" s="2"/>
      <c r="I528" s="2"/>
      <c r="J528" s="2"/>
    </row>
    <row r="529" spans="1:10" ht="12.75" customHeight="1">
      <c r="A529" s="1"/>
      <c r="B529" s="1"/>
      <c r="C529" s="1"/>
      <c r="D529" s="1"/>
      <c r="E529" s="2"/>
      <c r="F529" s="2"/>
      <c r="G529" s="2"/>
      <c r="H529" s="2"/>
      <c r="I529" s="2"/>
      <c r="J529" s="2"/>
    </row>
    <row r="530" spans="1:10" ht="12.75" customHeight="1">
      <c r="A530" s="1"/>
      <c r="B530" s="1"/>
      <c r="C530" s="1"/>
      <c r="D530" s="1"/>
      <c r="E530" s="2"/>
      <c r="F530" s="2"/>
      <c r="G530" s="2"/>
      <c r="H530" s="2"/>
      <c r="I530" s="2"/>
      <c r="J530" s="2"/>
    </row>
    <row r="531" spans="1:10" ht="12.75" customHeight="1">
      <c r="A531" s="1"/>
      <c r="B531" s="1"/>
      <c r="C531" s="1"/>
      <c r="D531" s="1"/>
      <c r="E531" s="2"/>
      <c r="F531" s="2"/>
      <c r="G531" s="2"/>
      <c r="H531" s="2"/>
      <c r="I531" s="2"/>
      <c r="J531" s="2"/>
    </row>
    <row r="532" spans="1:10" ht="12.75" customHeight="1">
      <c r="A532" s="1"/>
      <c r="B532" s="1"/>
      <c r="C532" s="1"/>
      <c r="D532" s="1"/>
      <c r="E532" s="2"/>
      <c r="F532" s="2"/>
      <c r="G532" s="2"/>
      <c r="H532" s="2"/>
      <c r="I532" s="2"/>
      <c r="J532" s="2"/>
    </row>
    <row r="533" spans="1:10" ht="12.75" customHeight="1">
      <c r="A533" s="1"/>
      <c r="B533" s="1"/>
      <c r="C533" s="1"/>
      <c r="D533" s="1"/>
      <c r="E533" s="2"/>
      <c r="F533" s="2"/>
      <c r="G533" s="2"/>
      <c r="H533" s="2"/>
      <c r="I533" s="2"/>
      <c r="J533" s="2"/>
    </row>
    <row r="534" spans="1:10" ht="12.75" customHeight="1">
      <c r="A534" s="1"/>
      <c r="B534" s="1"/>
      <c r="C534" s="1"/>
      <c r="D534" s="1"/>
      <c r="E534" s="2"/>
      <c r="F534" s="2"/>
      <c r="G534" s="2"/>
      <c r="H534" s="2"/>
      <c r="I534" s="2"/>
      <c r="J534" s="2"/>
    </row>
    <row r="535" spans="1:10" ht="12.75" customHeight="1">
      <c r="A535" s="1"/>
      <c r="B535" s="1"/>
      <c r="C535" s="1"/>
      <c r="D535" s="1"/>
      <c r="E535" s="2"/>
      <c r="F535" s="2"/>
      <c r="G535" s="2"/>
      <c r="H535" s="2"/>
      <c r="I535" s="2"/>
      <c r="J535" s="2"/>
    </row>
    <row r="536" spans="1:10" ht="12.75" customHeight="1">
      <c r="A536" s="1"/>
      <c r="B536" s="1"/>
      <c r="C536" s="1"/>
      <c r="D536" s="1"/>
      <c r="E536" s="2"/>
      <c r="F536" s="2"/>
      <c r="G536" s="2"/>
      <c r="H536" s="2"/>
      <c r="I536" s="2"/>
      <c r="J536" s="2"/>
    </row>
    <row r="537" spans="1:10" ht="12.75" customHeight="1">
      <c r="A537" s="1"/>
      <c r="B537" s="1"/>
      <c r="C537" s="1"/>
      <c r="D537" s="1"/>
      <c r="E537" s="2"/>
      <c r="F537" s="2"/>
      <c r="G537" s="2"/>
      <c r="H537" s="2"/>
      <c r="I537" s="2"/>
      <c r="J537" s="2"/>
    </row>
    <row r="538" spans="1:10" ht="12.75" customHeight="1">
      <c r="A538" s="1"/>
      <c r="B538" s="1"/>
      <c r="C538" s="1"/>
      <c r="D538" s="1"/>
      <c r="E538" s="2"/>
      <c r="F538" s="2"/>
      <c r="G538" s="2"/>
      <c r="H538" s="2"/>
      <c r="I538" s="2"/>
      <c r="J538" s="2"/>
    </row>
    <row r="539" spans="1:10" ht="12.75" customHeight="1">
      <c r="A539" s="1"/>
      <c r="B539" s="1"/>
      <c r="C539" s="1"/>
      <c r="D539" s="1"/>
      <c r="E539" s="2"/>
      <c r="F539" s="2"/>
      <c r="G539" s="2"/>
      <c r="H539" s="2"/>
      <c r="I539" s="2"/>
      <c r="J539" s="2"/>
    </row>
    <row r="540" spans="1:10" ht="12.75" customHeight="1">
      <c r="A540" s="1"/>
      <c r="B540" s="1"/>
      <c r="C540" s="1"/>
      <c r="D540" s="1"/>
      <c r="E540" s="2"/>
      <c r="F540" s="2"/>
      <c r="G540" s="2"/>
      <c r="H540" s="2"/>
      <c r="I540" s="2"/>
      <c r="J540" s="2"/>
    </row>
    <row r="541" spans="1:10" ht="12.75" customHeight="1">
      <c r="A541" s="1"/>
      <c r="B541" s="1"/>
      <c r="C541" s="1"/>
      <c r="D541" s="1"/>
      <c r="E541" s="2"/>
      <c r="F541" s="2"/>
      <c r="G541" s="2"/>
      <c r="H541" s="2"/>
      <c r="I541" s="2"/>
      <c r="J541" s="2"/>
    </row>
    <row r="542" spans="1:10" ht="12.75" customHeight="1">
      <c r="A542" s="1"/>
      <c r="B542" s="1"/>
      <c r="C542" s="1"/>
      <c r="D542" s="1"/>
      <c r="E542" s="2"/>
      <c r="F542" s="2"/>
      <c r="G542" s="2"/>
      <c r="H542" s="2"/>
      <c r="I542" s="2"/>
      <c r="J542" s="2"/>
    </row>
    <row r="543" spans="1:10" ht="12.75" customHeight="1">
      <c r="A543" s="1"/>
      <c r="B543" s="1"/>
      <c r="C543" s="1"/>
      <c r="D543" s="1"/>
      <c r="E543" s="2"/>
      <c r="F543" s="2"/>
      <c r="G543" s="2"/>
      <c r="H543" s="2"/>
      <c r="I543" s="2"/>
      <c r="J543" s="2"/>
    </row>
    <row r="544" spans="1:10" ht="12.75" customHeight="1">
      <c r="A544" s="1"/>
      <c r="B544" s="1"/>
      <c r="C544" s="1"/>
      <c r="D544" s="1"/>
      <c r="E544" s="2"/>
      <c r="F544" s="2"/>
      <c r="G544" s="2"/>
      <c r="H544" s="2"/>
      <c r="I544" s="2"/>
      <c r="J544" s="2"/>
    </row>
    <row r="545" spans="1:10" ht="12.75" customHeight="1">
      <c r="A545" s="1"/>
      <c r="B545" s="1"/>
      <c r="C545" s="1"/>
      <c r="D545" s="1"/>
      <c r="E545" s="2"/>
      <c r="F545" s="2"/>
      <c r="G545" s="2"/>
      <c r="H545" s="2"/>
      <c r="I545" s="2"/>
      <c r="J545" s="2"/>
    </row>
    <row r="546" spans="1:10" ht="12.75" customHeight="1">
      <c r="A546" s="1"/>
      <c r="B546" s="1"/>
      <c r="C546" s="1"/>
      <c r="D546" s="1"/>
      <c r="E546" s="2"/>
      <c r="F546" s="2"/>
      <c r="G546" s="2"/>
      <c r="H546" s="2"/>
      <c r="I546" s="2"/>
      <c r="J546" s="2"/>
    </row>
    <row r="547" spans="1:10" ht="12.75" customHeight="1">
      <c r="A547" s="1"/>
      <c r="B547" s="1"/>
      <c r="C547" s="1"/>
      <c r="D547" s="1"/>
      <c r="E547" s="2"/>
      <c r="F547" s="2"/>
      <c r="G547" s="2"/>
      <c r="H547" s="2"/>
      <c r="I547" s="2"/>
      <c r="J547" s="2"/>
    </row>
    <row r="548" spans="1:10" ht="12.75" customHeight="1">
      <c r="A548" s="1"/>
      <c r="B548" s="1"/>
      <c r="C548" s="1"/>
      <c r="D548" s="1"/>
      <c r="E548" s="2"/>
      <c r="F548" s="2"/>
      <c r="G548" s="2"/>
      <c r="H548" s="2"/>
      <c r="I548" s="2"/>
      <c r="J548" s="2"/>
    </row>
    <row r="549" spans="1:10" ht="12.75" customHeight="1">
      <c r="A549" s="1"/>
      <c r="B549" s="1"/>
      <c r="C549" s="1"/>
      <c r="D549" s="1"/>
      <c r="E549" s="2"/>
      <c r="F549" s="2"/>
      <c r="G549" s="2"/>
      <c r="H549" s="2"/>
      <c r="I549" s="2"/>
      <c r="J549" s="2"/>
    </row>
    <row r="550" spans="1:10" ht="12.75" customHeight="1">
      <c r="A550" s="1"/>
      <c r="B550" s="1"/>
      <c r="C550" s="1"/>
      <c r="D550" s="1"/>
      <c r="E550" s="2"/>
      <c r="F550" s="2"/>
      <c r="G550" s="2"/>
      <c r="H550" s="2"/>
      <c r="I550" s="2"/>
      <c r="J550" s="2"/>
    </row>
    <row r="551" spans="1:10" ht="12.75" customHeight="1">
      <c r="A551" s="1"/>
      <c r="B551" s="1"/>
      <c r="C551" s="1"/>
      <c r="D551" s="1"/>
      <c r="E551" s="2"/>
      <c r="F551" s="2"/>
      <c r="G551" s="2"/>
      <c r="H551" s="2"/>
      <c r="I551" s="2"/>
      <c r="J551" s="2"/>
    </row>
    <row r="552" spans="1:10" ht="12.75" customHeight="1">
      <c r="A552" s="1"/>
      <c r="B552" s="1"/>
      <c r="C552" s="1"/>
      <c r="D552" s="1"/>
      <c r="E552" s="2"/>
      <c r="F552" s="2"/>
      <c r="G552" s="2"/>
      <c r="H552" s="2"/>
      <c r="I552" s="2"/>
      <c r="J552" s="2"/>
    </row>
    <row r="553" spans="1:10" ht="12.75" customHeight="1">
      <c r="A553" s="1"/>
      <c r="B553" s="1"/>
      <c r="C553" s="1"/>
      <c r="D553" s="1"/>
      <c r="E553" s="2"/>
      <c r="F553" s="2"/>
      <c r="G553" s="2"/>
      <c r="H553" s="2"/>
      <c r="I553" s="2"/>
      <c r="J553" s="2"/>
    </row>
    <row r="554" spans="1:10" ht="12.75" customHeight="1">
      <c r="A554" s="1"/>
      <c r="B554" s="1"/>
      <c r="C554" s="1"/>
      <c r="D554" s="1"/>
      <c r="E554" s="2"/>
      <c r="F554" s="2"/>
      <c r="G554" s="2"/>
      <c r="H554" s="2"/>
      <c r="I554" s="2"/>
      <c r="J554" s="2"/>
    </row>
    <row r="555" spans="1:10" ht="12.75" customHeight="1">
      <c r="A555" s="1"/>
      <c r="B555" s="1"/>
      <c r="C555" s="1"/>
      <c r="D555" s="1"/>
      <c r="E555" s="2"/>
      <c r="F555" s="2"/>
      <c r="G555" s="2"/>
      <c r="H555" s="2"/>
      <c r="I555" s="2"/>
      <c r="J555" s="2"/>
    </row>
    <row r="556" spans="1:10" ht="12.75" customHeight="1">
      <c r="A556" s="1"/>
      <c r="B556" s="1"/>
      <c r="C556" s="1"/>
      <c r="D556" s="1"/>
      <c r="E556" s="2"/>
      <c r="F556" s="2"/>
      <c r="G556" s="2"/>
      <c r="H556" s="2"/>
      <c r="I556" s="2"/>
      <c r="J556" s="2"/>
    </row>
    <row r="557" spans="1:10" ht="12.75" customHeight="1">
      <c r="A557" s="1"/>
      <c r="B557" s="1"/>
      <c r="C557" s="1"/>
      <c r="D557" s="1"/>
      <c r="E557" s="2"/>
      <c r="F557" s="2"/>
      <c r="G557" s="2"/>
      <c r="H557" s="2"/>
      <c r="I557" s="2"/>
      <c r="J557" s="2"/>
    </row>
    <row r="558" spans="1:10" ht="12.75" customHeight="1">
      <c r="A558" s="1"/>
      <c r="B558" s="1"/>
      <c r="C558" s="1"/>
      <c r="D558" s="1"/>
      <c r="E558" s="2"/>
      <c r="F558" s="2"/>
      <c r="G558" s="2"/>
      <c r="H558" s="2"/>
      <c r="I558" s="2"/>
      <c r="J558" s="2"/>
    </row>
    <row r="559" spans="1:10" ht="12.75" customHeight="1">
      <c r="A559" s="1"/>
      <c r="B559" s="1"/>
      <c r="C559" s="1"/>
      <c r="D559" s="1"/>
      <c r="E559" s="2"/>
      <c r="F559" s="2"/>
      <c r="G559" s="2"/>
      <c r="H559" s="2"/>
      <c r="I559" s="2"/>
      <c r="J559" s="2"/>
    </row>
    <row r="560" spans="1:10" ht="12.75" customHeight="1">
      <c r="A560" s="1"/>
      <c r="B560" s="1"/>
      <c r="C560" s="1"/>
      <c r="D560" s="1"/>
      <c r="E560" s="2"/>
      <c r="F560" s="2"/>
      <c r="G560" s="2"/>
      <c r="H560" s="2"/>
      <c r="I560" s="2"/>
      <c r="J560" s="2"/>
    </row>
    <row r="561" spans="1:10" ht="12.75" customHeight="1">
      <c r="A561" s="1"/>
      <c r="B561" s="1"/>
      <c r="C561" s="1"/>
      <c r="D561" s="1"/>
      <c r="E561" s="2"/>
      <c r="F561" s="2"/>
      <c r="G561" s="2"/>
      <c r="H561" s="2"/>
      <c r="I561" s="2"/>
      <c r="J561" s="2"/>
    </row>
    <row r="562" spans="1:10" ht="12.75" customHeight="1">
      <c r="A562" s="1"/>
      <c r="B562" s="1"/>
      <c r="C562" s="1"/>
      <c r="D562" s="1"/>
      <c r="E562" s="2"/>
      <c r="F562" s="2"/>
      <c r="G562" s="2"/>
      <c r="H562" s="2"/>
      <c r="I562" s="2"/>
      <c r="J562" s="2"/>
    </row>
    <row r="563" spans="1:10" ht="12.75" customHeight="1">
      <c r="A563" s="1"/>
      <c r="B563" s="1"/>
      <c r="C563" s="1"/>
      <c r="D563" s="1"/>
      <c r="E563" s="2"/>
      <c r="F563" s="2"/>
      <c r="G563" s="2"/>
      <c r="H563" s="2"/>
      <c r="I563" s="2"/>
      <c r="J563" s="2"/>
    </row>
    <row r="564" spans="1:10" ht="12.75" customHeight="1">
      <c r="A564" s="1"/>
      <c r="B564" s="1"/>
      <c r="C564" s="1"/>
      <c r="D564" s="1"/>
      <c r="E564" s="2"/>
      <c r="F564" s="2"/>
      <c r="G564" s="2"/>
      <c r="H564" s="2"/>
      <c r="I564" s="2"/>
      <c r="J564" s="2"/>
    </row>
    <row r="565" spans="1:10" ht="12.75" customHeight="1">
      <c r="A565" s="1"/>
      <c r="B565" s="1"/>
      <c r="C565" s="1"/>
      <c r="D565" s="1"/>
      <c r="E565" s="2"/>
      <c r="F565" s="2"/>
      <c r="G565" s="2"/>
      <c r="H565" s="2"/>
      <c r="I565" s="2"/>
      <c r="J565" s="2"/>
    </row>
    <row r="566" spans="1:10" ht="12.75" customHeight="1">
      <c r="A566" s="1"/>
      <c r="B566" s="1"/>
      <c r="C566" s="1"/>
      <c r="D566" s="1"/>
      <c r="E566" s="2"/>
      <c r="F566" s="2"/>
      <c r="G566" s="2"/>
      <c r="H566" s="2"/>
      <c r="I566" s="2"/>
      <c r="J566" s="2"/>
    </row>
    <row r="567" spans="1:10" ht="12.75" customHeight="1">
      <c r="A567" s="1"/>
      <c r="B567" s="1"/>
      <c r="C567" s="1"/>
      <c r="D567" s="1"/>
      <c r="E567" s="2"/>
      <c r="F567" s="2"/>
      <c r="G567" s="2"/>
      <c r="H567" s="2"/>
      <c r="I567" s="2"/>
      <c r="J567" s="2"/>
    </row>
    <row r="568" spans="1:10" ht="12.75" customHeight="1">
      <c r="A568" s="1"/>
      <c r="B568" s="1"/>
      <c r="C568" s="1"/>
      <c r="D568" s="1"/>
      <c r="E568" s="2"/>
      <c r="F568" s="2"/>
      <c r="G568" s="2"/>
      <c r="H568" s="2"/>
      <c r="I568" s="2"/>
      <c r="J568" s="2"/>
    </row>
    <row r="569" spans="1:10" ht="12.75" customHeight="1">
      <c r="A569" s="1"/>
      <c r="B569" s="1"/>
      <c r="C569" s="1"/>
      <c r="D569" s="1"/>
      <c r="E569" s="2"/>
      <c r="F569" s="2"/>
      <c r="G569" s="2"/>
      <c r="H569" s="2"/>
      <c r="I569" s="2"/>
      <c r="J569" s="2"/>
    </row>
    <row r="570" spans="1:10" ht="12.75" customHeight="1">
      <c r="A570" s="1"/>
      <c r="B570" s="1"/>
      <c r="C570" s="1"/>
      <c r="D570" s="1"/>
      <c r="E570" s="2"/>
      <c r="F570" s="2"/>
      <c r="G570" s="2"/>
      <c r="H570" s="2"/>
      <c r="I570" s="2"/>
      <c r="J570" s="2"/>
    </row>
    <row r="571" spans="1:10" ht="12.75" customHeight="1">
      <c r="A571" s="1"/>
      <c r="B571" s="1"/>
      <c r="C571" s="1"/>
      <c r="D571" s="1"/>
      <c r="E571" s="2"/>
      <c r="F571" s="2"/>
      <c r="G571" s="2"/>
      <c r="H571" s="2"/>
      <c r="I571" s="2"/>
      <c r="J571" s="2"/>
    </row>
    <row r="572" spans="1:10" ht="12.75" customHeight="1">
      <c r="A572" s="1"/>
      <c r="B572" s="1"/>
      <c r="C572" s="1"/>
      <c r="D572" s="1"/>
      <c r="E572" s="2"/>
      <c r="F572" s="2"/>
      <c r="G572" s="2"/>
      <c r="H572" s="2"/>
      <c r="I572" s="2"/>
      <c r="J572" s="2"/>
    </row>
    <row r="573" spans="1:10" ht="12.75" customHeight="1">
      <c r="A573" s="1"/>
      <c r="B573" s="1"/>
      <c r="C573" s="1"/>
      <c r="D573" s="1"/>
      <c r="E573" s="2"/>
      <c r="F573" s="2"/>
      <c r="G573" s="2"/>
      <c r="H573" s="2"/>
      <c r="I573" s="2"/>
      <c r="J573" s="2"/>
    </row>
    <row r="574" spans="1:10" ht="12.75" customHeight="1">
      <c r="A574" s="1"/>
      <c r="B574" s="1"/>
      <c r="C574" s="1"/>
      <c r="D574" s="1"/>
      <c r="E574" s="2"/>
      <c r="F574" s="2"/>
      <c r="G574" s="2"/>
      <c r="H574" s="2"/>
      <c r="I574" s="2"/>
      <c r="J574" s="2"/>
    </row>
    <row r="575" spans="1:10" ht="12.75" customHeight="1">
      <c r="A575" s="1"/>
      <c r="B575" s="1"/>
      <c r="C575" s="1"/>
      <c r="D575" s="1"/>
      <c r="E575" s="2"/>
      <c r="F575" s="2"/>
      <c r="G575" s="2"/>
      <c r="H575" s="2"/>
      <c r="I575" s="2"/>
      <c r="J575" s="2"/>
    </row>
    <row r="576" spans="1:10" ht="12.75" customHeight="1">
      <c r="A576" s="1"/>
      <c r="B576" s="1"/>
      <c r="C576" s="1"/>
      <c r="D576" s="1"/>
      <c r="E576" s="2"/>
      <c r="F576" s="2"/>
      <c r="G576" s="2"/>
      <c r="H576" s="2"/>
      <c r="I576" s="2"/>
      <c r="J576" s="2"/>
    </row>
    <row r="577" spans="1:10" ht="12.75" customHeight="1">
      <c r="A577" s="1"/>
      <c r="B577" s="1"/>
      <c r="C577" s="1"/>
      <c r="D577" s="1"/>
      <c r="E577" s="2"/>
      <c r="F577" s="2"/>
      <c r="G577" s="2"/>
      <c r="H577" s="2"/>
      <c r="I577" s="2"/>
      <c r="J577" s="2"/>
    </row>
    <row r="578" spans="1:10" ht="12.75" customHeight="1">
      <c r="A578" s="1"/>
      <c r="B578" s="1"/>
      <c r="C578" s="1"/>
      <c r="D578" s="1"/>
      <c r="E578" s="2"/>
      <c r="F578" s="2"/>
      <c r="G578" s="2"/>
      <c r="H578" s="2"/>
      <c r="I578" s="2"/>
      <c r="J578" s="2"/>
    </row>
    <row r="579" spans="1:10" ht="12.75" customHeight="1">
      <c r="A579" s="1"/>
      <c r="B579" s="1"/>
      <c r="C579" s="1"/>
      <c r="D579" s="1"/>
      <c r="E579" s="2"/>
      <c r="F579" s="2"/>
      <c r="G579" s="2"/>
      <c r="H579" s="2"/>
      <c r="I579" s="2"/>
      <c r="J579" s="2"/>
    </row>
    <row r="580" spans="1:10" ht="12.75" customHeight="1">
      <c r="A580" s="1"/>
      <c r="B580" s="1"/>
      <c r="C580" s="1"/>
      <c r="D580" s="1"/>
      <c r="E580" s="2"/>
      <c r="F580" s="2"/>
      <c r="G580" s="2"/>
      <c r="H580" s="2"/>
      <c r="I580" s="2"/>
      <c r="J580" s="2"/>
    </row>
    <row r="581" spans="1:10" ht="12.75" customHeight="1">
      <c r="A581" s="1"/>
      <c r="B581" s="1"/>
      <c r="C581" s="1"/>
      <c r="D581" s="1"/>
      <c r="E581" s="2"/>
      <c r="F581" s="2"/>
      <c r="G581" s="2"/>
      <c r="H581" s="2"/>
      <c r="I581" s="2"/>
      <c r="J581" s="2"/>
    </row>
    <row r="582" spans="1:10" ht="12.75" customHeight="1">
      <c r="A582" s="1"/>
      <c r="B582" s="1"/>
      <c r="C582" s="1"/>
      <c r="D582" s="1"/>
      <c r="E582" s="2"/>
      <c r="F582" s="2"/>
      <c r="G582" s="2"/>
      <c r="H582" s="2"/>
      <c r="I582" s="2"/>
      <c r="J582" s="2"/>
    </row>
    <row r="583" spans="1:10" ht="12.75" customHeight="1">
      <c r="A583" s="1"/>
      <c r="B583" s="1"/>
      <c r="C583" s="1"/>
      <c r="D583" s="1"/>
      <c r="E583" s="2"/>
      <c r="F583" s="2"/>
      <c r="G583" s="2"/>
      <c r="H583" s="2"/>
      <c r="I583" s="2"/>
      <c r="J583" s="2"/>
    </row>
    <row r="584" spans="1:10" ht="12.75" customHeight="1">
      <c r="A584" s="1"/>
      <c r="B584" s="1"/>
      <c r="C584" s="1"/>
      <c r="D584" s="1"/>
      <c r="E584" s="2"/>
      <c r="F584" s="2"/>
      <c r="G584" s="2"/>
      <c r="H584" s="2"/>
      <c r="I584" s="2"/>
      <c r="J584" s="2"/>
    </row>
    <row r="585" spans="1:10" ht="12.75" customHeight="1">
      <c r="A585" s="1"/>
      <c r="B585" s="1"/>
      <c r="C585" s="1"/>
      <c r="D585" s="1"/>
      <c r="E585" s="2"/>
      <c r="F585" s="2"/>
      <c r="G585" s="2"/>
      <c r="H585" s="2"/>
      <c r="I585" s="2"/>
      <c r="J585" s="2"/>
    </row>
    <row r="586" spans="1:10" ht="12.75" customHeight="1">
      <c r="A586" s="1"/>
      <c r="B586" s="1"/>
      <c r="C586" s="1"/>
      <c r="D586" s="1"/>
      <c r="E586" s="2"/>
      <c r="F586" s="2"/>
      <c r="G586" s="2"/>
      <c r="H586" s="2"/>
      <c r="I586" s="2"/>
      <c r="J586" s="2"/>
    </row>
    <row r="587" spans="1:10" ht="12.75" customHeight="1">
      <c r="A587" s="1"/>
      <c r="B587" s="1"/>
      <c r="C587" s="1"/>
      <c r="D587" s="1"/>
      <c r="E587" s="2"/>
      <c r="F587" s="2"/>
      <c r="G587" s="2"/>
      <c r="H587" s="2"/>
      <c r="I587" s="2"/>
      <c r="J587" s="2"/>
    </row>
    <row r="588" spans="1:10" ht="12.75" customHeight="1">
      <c r="A588" s="1"/>
      <c r="B588" s="1"/>
      <c r="C588" s="1"/>
      <c r="D588" s="1"/>
      <c r="E588" s="2"/>
      <c r="F588" s="2"/>
      <c r="G588" s="2"/>
      <c r="H588" s="2"/>
      <c r="I588" s="2"/>
      <c r="J588" s="2"/>
    </row>
    <row r="589" spans="1:10" ht="12.75" customHeight="1">
      <c r="A589" s="1"/>
      <c r="B589" s="1"/>
      <c r="C589" s="1"/>
      <c r="D589" s="1"/>
      <c r="E589" s="2"/>
      <c r="F589" s="2"/>
      <c r="G589" s="2"/>
      <c r="H589" s="2"/>
      <c r="I589" s="2"/>
      <c r="J589" s="2"/>
    </row>
    <row r="590" spans="1:10" ht="12.75" customHeight="1">
      <c r="A590" s="1"/>
      <c r="B590" s="1"/>
      <c r="C590" s="1"/>
      <c r="D590" s="1"/>
      <c r="E590" s="2"/>
      <c r="F590" s="2"/>
      <c r="G590" s="2"/>
      <c r="H590" s="2"/>
      <c r="I590" s="2"/>
      <c r="J590" s="2"/>
    </row>
    <row r="591" spans="1:10" ht="12.75" customHeight="1">
      <c r="A591" s="1"/>
      <c r="B591" s="1"/>
      <c r="C591" s="1"/>
      <c r="D591" s="1"/>
      <c r="E591" s="2"/>
      <c r="F591" s="2"/>
      <c r="G591" s="2"/>
      <c r="H591" s="2"/>
      <c r="I591" s="2"/>
      <c r="J591" s="2"/>
    </row>
    <row r="592" spans="1:10" ht="12.75" customHeight="1">
      <c r="A592" s="1"/>
      <c r="B592" s="1"/>
      <c r="C592" s="1"/>
      <c r="D592" s="1"/>
      <c r="E592" s="2"/>
      <c r="F592" s="2"/>
      <c r="G592" s="2"/>
      <c r="H592" s="2"/>
      <c r="I592" s="2"/>
      <c r="J592" s="2"/>
    </row>
    <row r="593" spans="1:10" ht="12.75" customHeight="1">
      <c r="A593" s="1"/>
      <c r="B593" s="1"/>
      <c r="C593" s="1"/>
      <c r="D593" s="1"/>
      <c r="E593" s="2"/>
      <c r="F593" s="2"/>
      <c r="G593" s="2"/>
      <c r="H593" s="2"/>
      <c r="I593" s="2"/>
      <c r="J593" s="2"/>
    </row>
    <row r="594" spans="1:10" ht="12.75" customHeight="1">
      <c r="A594" s="1"/>
      <c r="B594" s="1"/>
      <c r="C594" s="1"/>
      <c r="D594" s="1"/>
      <c r="E594" s="2"/>
      <c r="F594" s="2"/>
      <c r="G594" s="2"/>
      <c r="H594" s="2"/>
      <c r="I594" s="2"/>
      <c r="J594" s="2"/>
    </row>
    <row r="595" spans="1:10" ht="12.75" customHeight="1">
      <c r="A595" s="1"/>
      <c r="B595" s="1"/>
      <c r="C595" s="1"/>
      <c r="D595" s="1"/>
      <c r="E595" s="2"/>
      <c r="F595" s="2"/>
      <c r="G595" s="2"/>
      <c r="H595" s="2"/>
      <c r="I595" s="2"/>
      <c r="J595" s="2"/>
    </row>
    <row r="596" spans="1:10" ht="12.75" customHeight="1">
      <c r="A596" s="1"/>
      <c r="B596" s="1"/>
      <c r="C596" s="1"/>
      <c r="D596" s="1"/>
      <c r="E596" s="2"/>
      <c r="F596" s="2"/>
      <c r="G596" s="2"/>
      <c r="H596" s="2"/>
      <c r="I596" s="2"/>
      <c r="J596" s="2"/>
    </row>
    <row r="597" spans="1:10" ht="12.75" customHeight="1">
      <c r="A597" s="1"/>
      <c r="B597" s="1"/>
      <c r="C597" s="1"/>
      <c r="D597" s="1"/>
      <c r="E597" s="2"/>
      <c r="F597" s="2"/>
      <c r="G597" s="2"/>
      <c r="H597" s="2"/>
      <c r="I597" s="2"/>
      <c r="J597" s="2"/>
    </row>
    <row r="598" spans="1:10" ht="12.75" customHeight="1">
      <c r="A598" s="1"/>
      <c r="B598" s="1"/>
      <c r="C598" s="1"/>
      <c r="D598" s="1"/>
      <c r="E598" s="2"/>
      <c r="F598" s="2"/>
      <c r="G598" s="2"/>
      <c r="H598" s="2"/>
      <c r="I598" s="2"/>
      <c r="J598" s="2"/>
    </row>
    <row r="599" spans="1:10" ht="12.75" customHeight="1">
      <c r="A599" s="1"/>
      <c r="B599" s="1"/>
      <c r="C599" s="1"/>
      <c r="D599" s="1"/>
      <c r="E599" s="2"/>
      <c r="F599" s="2"/>
      <c r="G599" s="2"/>
      <c r="H599" s="2"/>
      <c r="I599" s="2"/>
      <c r="J599" s="2"/>
    </row>
    <row r="600" spans="1:10" ht="12.75" customHeight="1">
      <c r="A600" s="1"/>
      <c r="B600" s="1"/>
      <c r="C600" s="1"/>
      <c r="D600" s="1"/>
      <c r="E600" s="2"/>
      <c r="F600" s="2"/>
      <c r="G600" s="2"/>
      <c r="H600" s="2"/>
      <c r="I600" s="2"/>
      <c r="J600" s="2"/>
    </row>
    <row r="601" spans="1:10" ht="12.75" customHeight="1">
      <c r="A601" s="1"/>
      <c r="B601" s="1"/>
      <c r="C601" s="1"/>
      <c r="D601" s="1"/>
      <c r="E601" s="2"/>
      <c r="F601" s="2"/>
      <c r="G601" s="2"/>
      <c r="H601" s="2"/>
      <c r="I601" s="2"/>
      <c r="J601" s="2"/>
    </row>
    <row r="602" spans="1:10" ht="12.75" customHeight="1">
      <c r="A602" s="1"/>
      <c r="B602" s="1"/>
      <c r="C602" s="1"/>
      <c r="D602" s="1"/>
      <c r="E602" s="2"/>
      <c r="F602" s="2"/>
      <c r="G602" s="2"/>
      <c r="H602" s="2"/>
      <c r="I602" s="2"/>
      <c r="J602" s="2"/>
    </row>
    <row r="603" spans="1:10" ht="12.75" customHeight="1">
      <c r="A603" s="1"/>
      <c r="B603" s="1"/>
      <c r="C603" s="1"/>
      <c r="D603" s="1"/>
      <c r="E603" s="2"/>
      <c r="F603" s="2"/>
      <c r="G603" s="2"/>
      <c r="H603" s="2"/>
      <c r="I603" s="2"/>
      <c r="J603" s="2"/>
    </row>
    <row r="604" spans="1:10" ht="12.75" customHeight="1">
      <c r="A604" s="1"/>
      <c r="B604" s="1"/>
      <c r="C604" s="1"/>
      <c r="D604" s="1"/>
      <c r="E604" s="2"/>
      <c r="F604" s="2"/>
      <c r="G604" s="2"/>
      <c r="H604" s="2"/>
      <c r="I604" s="2"/>
      <c r="J604" s="2"/>
    </row>
    <row r="605" spans="1:10" ht="12.75" customHeight="1">
      <c r="A605" s="1"/>
      <c r="B605" s="1"/>
      <c r="C605" s="1"/>
      <c r="D605" s="1"/>
      <c r="E605" s="2"/>
      <c r="F605" s="2"/>
      <c r="G605" s="2"/>
      <c r="H605" s="2"/>
      <c r="I605" s="2"/>
      <c r="J605" s="2"/>
    </row>
    <row r="606" spans="1:10" ht="12.75" customHeight="1">
      <c r="A606" s="1"/>
      <c r="B606" s="1"/>
      <c r="C606" s="1"/>
      <c r="D606" s="1"/>
      <c r="E606" s="2"/>
      <c r="F606" s="2"/>
      <c r="G606" s="2"/>
      <c r="H606" s="2"/>
      <c r="I606" s="2"/>
      <c r="J606" s="2"/>
    </row>
    <row r="607" spans="1:10" ht="12.75" customHeight="1">
      <c r="A607" s="1"/>
      <c r="B607" s="1"/>
      <c r="C607" s="1"/>
      <c r="D607" s="1"/>
      <c r="E607" s="2"/>
      <c r="F607" s="2"/>
      <c r="G607" s="2"/>
      <c r="H607" s="2"/>
      <c r="I607" s="2"/>
      <c r="J607" s="2"/>
    </row>
    <row r="608" spans="1:10" ht="12.75" customHeight="1">
      <c r="A608" s="1"/>
      <c r="B608" s="1"/>
      <c r="C608" s="1"/>
      <c r="D608" s="1"/>
      <c r="E608" s="2"/>
      <c r="F608" s="2"/>
      <c r="G608" s="2"/>
      <c r="H608" s="2"/>
      <c r="I608" s="2"/>
      <c r="J608" s="2"/>
    </row>
    <row r="609" spans="1:10" ht="12.75" customHeight="1">
      <c r="A609" s="1"/>
      <c r="B609" s="1"/>
      <c r="C609" s="1"/>
      <c r="D609" s="1"/>
      <c r="E609" s="2"/>
      <c r="F609" s="2"/>
      <c r="G609" s="2"/>
      <c r="H609" s="2"/>
      <c r="I609" s="2"/>
      <c r="J609" s="2"/>
    </row>
    <row r="610" spans="1:10" ht="12.75" customHeight="1">
      <c r="A610" s="1"/>
      <c r="B610" s="1"/>
      <c r="C610" s="1"/>
      <c r="D610" s="1"/>
      <c r="E610" s="2"/>
      <c r="F610" s="2"/>
      <c r="G610" s="2"/>
      <c r="H610" s="2"/>
      <c r="I610" s="2"/>
      <c r="J610" s="2"/>
    </row>
    <row r="611" spans="1:10" ht="12.75" customHeight="1">
      <c r="A611" s="1"/>
      <c r="B611" s="1"/>
      <c r="C611" s="1"/>
      <c r="D611" s="1"/>
      <c r="E611" s="2"/>
      <c r="F611" s="2"/>
      <c r="G611" s="2"/>
      <c r="H611" s="2"/>
      <c r="I611" s="2"/>
      <c r="J611" s="2"/>
    </row>
    <row r="612" spans="1:10" ht="12.75" customHeight="1">
      <c r="A612" s="1"/>
      <c r="B612" s="1"/>
      <c r="C612" s="1"/>
      <c r="D612" s="1"/>
      <c r="E612" s="2"/>
      <c r="F612" s="2"/>
      <c r="G612" s="2"/>
      <c r="H612" s="2"/>
      <c r="I612" s="2"/>
      <c r="J612" s="2"/>
    </row>
    <row r="613" spans="1:10" ht="12.75" customHeight="1">
      <c r="A613" s="1"/>
      <c r="B613" s="1"/>
      <c r="C613" s="1"/>
      <c r="D613" s="1"/>
      <c r="E613" s="2"/>
      <c r="F613" s="2"/>
      <c r="G613" s="2"/>
      <c r="H613" s="2"/>
      <c r="I613" s="2"/>
      <c r="J613" s="2"/>
    </row>
    <row r="614" spans="1:10" ht="12.75" customHeight="1">
      <c r="A614" s="1"/>
      <c r="B614" s="1"/>
      <c r="C614" s="1"/>
      <c r="D614" s="1"/>
      <c r="E614" s="2"/>
      <c r="F614" s="2"/>
      <c r="G614" s="2"/>
      <c r="H614" s="2"/>
      <c r="I614" s="2"/>
      <c r="J614" s="2"/>
    </row>
    <row r="615" spans="1:10" ht="12.75" customHeight="1">
      <c r="A615" s="1"/>
      <c r="B615" s="1"/>
      <c r="C615" s="1"/>
      <c r="D615" s="1"/>
      <c r="E615" s="2"/>
      <c r="F615" s="2"/>
      <c r="G615" s="2"/>
      <c r="H615" s="2"/>
      <c r="I615" s="2"/>
      <c r="J615" s="2"/>
    </row>
    <row r="616" spans="1:10" ht="12.75" customHeight="1">
      <c r="A616" s="1"/>
      <c r="B616" s="1"/>
      <c r="C616" s="1"/>
      <c r="D616" s="1"/>
      <c r="E616" s="2"/>
      <c r="F616" s="2"/>
      <c r="G616" s="2"/>
      <c r="H616" s="2"/>
      <c r="I616" s="2"/>
      <c r="J616" s="2"/>
    </row>
    <row r="617" spans="1:10" ht="12.75" customHeight="1">
      <c r="A617" s="1"/>
      <c r="B617" s="1"/>
      <c r="C617" s="1"/>
      <c r="D617" s="1"/>
      <c r="E617" s="2"/>
      <c r="F617" s="2"/>
      <c r="G617" s="2"/>
      <c r="H617" s="2"/>
      <c r="I617" s="2"/>
      <c r="J617" s="2"/>
    </row>
    <row r="618" spans="1:10" ht="12.75" customHeight="1">
      <c r="A618" s="1"/>
      <c r="B618" s="1"/>
      <c r="C618" s="1"/>
      <c r="D618" s="1"/>
      <c r="E618" s="2"/>
      <c r="F618" s="2"/>
      <c r="G618" s="2"/>
      <c r="H618" s="2"/>
      <c r="I618" s="2"/>
      <c r="J618" s="2"/>
    </row>
    <row r="619" spans="1:10" ht="12.75" customHeight="1">
      <c r="A619" s="1"/>
      <c r="B619" s="1"/>
      <c r="C619" s="1"/>
      <c r="D619" s="1"/>
      <c r="E619" s="2"/>
      <c r="F619" s="2"/>
      <c r="G619" s="2"/>
      <c r="H619" s="2"/>
      <c r="I619" s="2"/>
      <c r="J619" s="2"/>
    </row>
    <row r="620" spans="1:10" ht="12.75" customHeight="1">
      <c r="A620" s="1"/>
      <c r="B620" s="1"/>
      <c r="C620" s="1"/>
      <c r="D620" s="1"/>
      <c r="E620" s="2"/>
      <c r="F620" s="2"/>
      <c r="G620" s="2"/>
      <c r="H620" s="2"/>
      <c r="I620" s="2"/>
      <c r="J620" s="2"/>
    </row>
    <row r="621" spans="1:10" ht="12.75" customHeight="1">
      <c r="A621" s="1"/>
      <c r="B621" s="1"/>
      <c r="C621" s="1"/>
      <c r="D621" s="1"/>
      <c r="E621" s="2"/>
      <c r="F621" s="2"/>
      <c r="G621" s="2"/>
      <c r="H621" s="2"/>
      <c r="I621" s="2"/>
      <c r="J621" s="2"/>
    </row>
    <row r="622" spans="1:10" ht="12.75" customHeight="1">
      <c r="A622" s="1"/>
      <c r="B622" s="1"/>
      <c r="C622" s="1"/>
      <c r="D622" s="1"/>
      <c r="E622" s="2"/>
      <c r="F622" s="2"/>
      <c r="G622" s="2"/>
      <c r="H622" s="2"/>
      <c r="I622" s="2"/>
      <c r="J622" s="2"/>
    </row>
    <row r="623" spans="1:10" ht="12.75" customHeight="1">
      <c r="A623" s="1"/>
      <c r="B623" s="1"/>
      <c r="C623" s="1"/>
      <c r="D623" s="1"/>
      <c r="E623" s="2"/>
      <c r="F623" s="2"/>
      <c r="G623" s="2"/>
      <c r="H623" s="2"/>
      <c r="I623" s="2"/>
      <c r="J623" s="2"/>
    </row>
    <row r="624" spans="1:10" ht="12.75" customHeight="1">
      <c r="A624" s="1"/>
      <c r="B624" s="1"/>
      <c r="C624" s="1"/>
      <c r="D624" s="1"/>
      <c r="E624" s="2"/>
      <c r="F624" s="2"/>
      <c r="G624" s="2"/>
      <c r="H624" s="2"/>
      <c r="I624" s="2"/>
      <c r="J624" s="2"/>
    </row>
    <row r="625" spans="1:10" ht="12.75" customHeight="1">
      <c r="A625" s="1"/>
      <c r="B625" s="1"/>
      <c r="C625" s="1"/>
      <c r="D625" s="1"/>
      <c r="E625" s="2"/>
      <c r="F625" s="2"/>
      <c r="G625" s="2"/>
      <c r="H625" s="2"/>
      <c r="I625" s="2"/>
      <c r="J625" s="2"/>
    </row>
    <row r="626" spans="1:10" ht="12.75" customHeight="1">
      <c r="A626" s="1"/>
      <c r="B626" s="1"/>
      <c r="C626" s="1"/>
      <c r="D626" s="1"/>
      <c r="E626" s="2"/>
      <c r="F626" s="2"/>
      <c r="G626" s="2"/>
      <c r="H626" s="2"/>
      <c r="I626" s="2"/>
      <c r="J626" s="2"/>
    </row>
    <row r="627" spans="1:10" ht="12.75" customHeight="1">
      <c r="A627" s="1"/>
      <c r="B627" s="1"/>
      <c r="C627" s="1"/>
      <c r="D627" s="1"/>
      <c r="E627" s="2"/>
      <c r="F627" s="2"/>
      <c r="G627" s="2"/>
      <c r="H627" s="2"/>
      <c r="I627" s="2"/>
      <c r="J627" s="2"/>
    </row>
    <row r="628" spans="1:10" ht="12.75" customHeight="1">
      <c r="A628" s="1"/>
      <c r="B628" s="1"/>
      <c r="C628" s="1"/>
      <c r="D628" s="1"/>
      <c r="E628" s="2"/>
      <c r="F628" s="2"/>
      <c r="G628" s="2"/>
      <c r="H628" s="2"/>
      <c r="I628" s="2"/>
      <c r="J628" s="2"/>
    </row>
    <row r="629" spans="1:10" ht="12.75" customHeight="1">
      <c r="A629" s="1"/>
      <c r="B629" s="1"/>
      <c r="C629" s="1"/>
      <c r="D629" s="1"/>
      <c r="E629" s="2"/>
      <c r="F629" s="2"/>
      <c r="G629" s="2"/>
      <c r="H629" s="2"/>
      <c r="I629" s="2"/>
      <c r="J629" s="2"/>
    </row>
    <row r="630" spans="1:10" ht="12.75" customHeight="1">
      <c r="A630" s="1"/>
      <c r="B630" s="1"/>
      <c r="C630" s="1"/>
      <c r="D630" s="1"/>
      <c r="E630" s="2"/>
      <c r="F630" s="2"/>
      <c r="G630" s="2"/>
      <c r="H630" s="2"/>
      <c r="I630" s="2"/>
      <c r="J630" s="2"/>
    </row>
    <row r="631" spans="1:10" ht="12.75" customHeight="1">
      <c r="A631" s="1"/>
      <c r="B631" s="1"/>
      <c r="C631" s="1"/>
      <c r="D631" s="1"/>
      <c r="E631" s="2"/>
      <c r="F631" s="2"/>
      <c r="G631" s="2"/>
      <c r="H631" s="2"/>
      <c r="I631" s="2"/>
      <c r="J631" s="2"/>
    </row>
    <row r="632" spans="1:10" ht="12.75" customHeight="1">
      <c r="A632" s="1"/>
      <c r="B632" s="1"/>
      <c r="C632" s="1"/>
      <c r="D632" s="1"/>
      <c r="E632" s="2"/>
      <c r="F632" s="2"/>
      <c r="G632" s="2"/>
      <c r="H632" s="2"/>
      <c r="I632" s="2"/>
      <c r="J632" s="2"/>
    </row>
    <row r="633" spans="1:10" ht="12.75" customHeight="1">
      <c r="A633" s="1"/>
      <c r="B633" s="1"/>
      <c r="C633" s="1"/>
      <c r="D633" s="1"/>
      <c r="E633" s="2"/>
      <c r="F633" s="2"/>
      <c r="G633" s="2"/>
      <c r="H633" s="2"/>
      <c r="I633" s="2"/>
      <c r="J633" s="2"/>
    </row>
    <row r="634" spans="1:10" ht="12.75" customHeight="1">
      <c r="A634" s="1"/>
      <c r="B634" s="1"/>
      <c r="C634" s="1"/>
      <c r="D634" s="1"/>
      <c r="E634" s="2"/>
      <c r="F634" s="2"/>
      <c r="G634" s="2"/>
      <c r="H634" s="2"/>
      <c r="I634" s="2"/>
      <c r="J634" s="2"/>
    </row>
    <row r="635" spans="1:10" ht="12.75" customHeight="1">
      <c r="A635" s="1"/>
      <c r="B635" s="1"/>
      <c r="C635" s="1"/>
      <c r="D635" s="1"/>
      <c r="E635" s="2"/>
      <c r="F635" s="2"/>
      <c r="G635" s="2"/>
      <c r="H635" s="2"/>
      <c r="I635" s="2"/>
      <c r="J635" s="2"/>
    </row>
    <row r="636" spans="1:10" ht="12.75" customHeight="1">
      <c r="A636" s="1"/>
      <c r="B636" s="1"/>
      <c r="C636" s="1"/>
      <c r="D636" s="1"/>
      <c r="E636" s="2"/>
      <c r="F636" s="2"/>
      <c r="G636" s="2"/>
      <c r="H636" s="2"/>
      <c r="I636" s="2"/>
      <c r="J636" s="2"/>
    </row>
    <row r="637" spans="1:10" ht="12.75" customHeight="1">
      <c r="A637" s="1"/>
      <c r="B637" s="1"/>
      <c r="C637" s="1"/>
      <c r="D637" s="1"/>
      <c r="E637" s="2"/>
      <c r="F637" s="2"/>
      <c r="G637" s="2"/>
      <c r="H637" s="2"/>
      <c r="I637" s="2"/>
      <c r="J637" s="2"/>
    </row>
    <row r="638" spans="1:10" ht="12.75" customHeight="1">
      <c r="A638" s="1"/>
      <c r="B638" s="1"/>
      <c r="C638" s="1"/>
      <c r="D638" s="1"/>
      <c r="E638" s="2"/>
      <c r="F638" s="2"/>
      <c r="G638" s="2"/>
      <c r="H638" s="2"/>
      <c r="I638" s="2"/>
      <c r="J638" s="2"/>
    </row>
    <row r="639" spans="1:10" ht="12.75" customHeight="1">
      <c r="A639" s="1"/>
      <c r="B639" s="1"/>
      <c r="C639" s="1"/>
      <c r="D639" s="1"/>
      <c r="E639" s="2"/>
      <c r="F639" s="2"/>
      <c r="G639" s="2"/>
      <c r="H639" s="2"/>
      <c r="I639" s="2"/>
      <c r="J639" s="2"/>
    </row>
    <row r="640" spans="1:10" ht="12.75" customHeight="1">
      <c r="A640" s="1"/>
      <c r="B640" s="1"/>
      <c r="C640" s="1"/>
      <c r="D640" s="1"/>
      <c r="E640" s="2"/>
      <c r="F640" s="2"/>
      <c r="G640" s="2"/>
      <c r="H640" s="2"/>
      <c r="I640" s="2"/>
      <c r="J640" s="2"/>
    </row>
    <row r="641" spans="1:10" ht="12.75" customHeight="1">
      <c r="A641" s="1"/>
      <c r="B641" s="1"/>
      <c r="C641" s="1"/>
      <c r="D641" s="1"/>
      <c r="E641" s="2"/>
      <c r="F641" s="2"/>
      <c r="G641" s="2"/>
      <c r="H641" s="2"/>
      <c r="I641" s="2"/>
      <c r="J641" s="2"/>
    </row>
    <row r="642" spans="1:10" ht="12.75" customHeight="1">
      <c r="A642" s="1"/>
      <c r="B642" s="1"/>
      <c r="C642" s="1"/>
      <c r="D642" s="1"/>
      <c r="E642" s="2"/>
      <c r="F642" s="2"/>
      <c r="G642" s="2"/>
      <c r="H642" s="2"/>
      <c r="I642" s="2"/>
      <c r="J642" s="2"/>
    </row>
    <row r="643" spans="1:10" ht="12.75" customHeight="1">
      <c r="A643" s="1"/>
      <c r="B643" s="1"/>
      <c r="C643" s="1"/>
      <c r="D643" s="1"/>
      <c r="E643" s="2"/>
      <c r="F643" s="2"/>
      <c r="G643" s="2"/>
      <c r="H643" s="2"/>
      <c r="I643" s="2"/>
      <c r="J643" s="2"/>
    </row>
    <row r="644" spans="1:10" ht="12.75" customHeight="1">
      <c r="A644" s="1"/>
      <c r="B644" s="1"/>
      <c r="C644" s="1"/>
      <c r="D644" s="1"/>
      <c r="E644" s="2"/>
      <c r="F644" s="2"/>
      <c r="G644" s="2"/>
      <c r="H644" s="2"/>
      <c r="I644" s="2"/>
      <c r="J644" s="2"/>
    </row>
    <row r="645" spans="1:10" ht="12.75" customHeight="1">
      <c r="A645" s="1"/>
      <c r="B645" s="1"/>
      <c r="C645" s="1"/>
      <c r="D645" s="1"/>
      <c r="E645" s="2"/>
      <c r="F645" s="2"/>
      <c r="G645" s="2"/>
      <c r="H645" s="2"/>
      <c r="I645" s="2"/>
      <c r="J645" s="2"/>
    </row>
    <row r="646" spans="1:10" ht="12.75" customHeight="1">
      <c r="A646" s="1"/>
      <c r="B646" s="1"/>
      <c r="C646" s="1"/>
      <c r="D646" s="1"/>
      <c r="E646" s="2"/>
      <c r="F646" s="2"/>
      <c r="G646" s="2"/>
      <c r="H646" s="2"/>
      <c r="I646" s="2"/>
      <c r="J646" s="2"/>
    </row>
    <row r="647" spans="1:10" ht="12.75" customHeight="1">
      <c r="A647" s="1"/>
      <c r="B647" s="1"/>
      <c r="C647" s="1"/>
      <c r="D647" s="1"/>
      <c r="E647" s="2"/>
      <c r="F647" s="2"/>
      <c r="G647" s="2"/>
      <c r="H647" s="2"/>
      <c r="I647" s="2"/>
      <c r="J647" s="2"/>
    </row>
    <row r="648" spans="1:10" ht="12.75" customHeight="1">
      <c r="A648" s="1"/>
      <c r="B648" s="1"/>
      <c r="C648" s="1"/>
      <c r="D648" s="1"/>
      <c r="E648" s="2"/>
      <c r="F648" s="2"/>
      <c r="G648" s="2"/>
      <c r="H648" s="2"/>
      <c r="I648" s="2"/>
      <c r="J648" s="2"/>
    </row>
    <row r="649" spans="1:10" ht="12.75" customHeight="1">
      <c r="A649" s="1"/>
      <c r="B649" s="1"/>
      <c r="C649" s="1"/>
      <c r="D649" s="1"/>
      <c r="E649" s="2"/>
      <c r="F649" s="2"/>
      <c r="G649" s="2"/>
      <c r="H649" s="2"/>
      <c r="I649" s="2"/>
      <c r="J649" s="2"/>
    </row>
    <row r="650" spans="1:10" ht="12.75" customHeight="1">
      <c r="A650" s="1"/>
      <c r="B650" s="1"/>
      <c r="C650" s="1"/>
      <c r="D650" s="1"/>
      <c r="E650" s="2"/>
      <c r="F650" s="2"/>
      <c r="G650" s="2"/>
      <c r="H650" s="2"/>
      <c r="I650" s="2"/>
      <c r="J650" s="2"/>
    </row>
    <row r="651" spans="1:10" ht="12.75" customHeight="1">
      <c r="A651" s="1"/>
      <c r="B651" s="1"/>
      <c r="C651" s="1"/>
      <c r="D651" s="1"/>
      <c r="E651" s="2"/>
      <c r="F651" s="2"/>
      <c r="G651" s="2"/>
      <c r="H651" s="2"/>
      <c r="I651" s="2"/>
      <c r="J651" s="2"/>
    </row>
    <row r="652" spans="1:10" ht="12.75" customHeight="1">
      <c r="A652" s="1"/>
      <c r="B652" s="1"/>
      <c r="C652" s="1"/>
      <c r="D652" s="1"/>
      <c r="E652" s="2"/>
      <c r="F652" s="2"/>
      <c r="G652" s="2"/>
      <c r="H652" s="2"/>
      <c r="I652" s="2"/>
      <c r="J652" s="2"/>
    </row>
    <row r="653" spans="1:10" ht="12.75" customHeight="1">
      <c r="A653" s="1"/>
      <c r="B653" s="1"/>
      <c r="C653" s="1"/>
      <c r="D653" s="1"/>
      <c r="E653" s="2"/>
      <c r="F653" s="2"/>
      <c r="G653" s="2"/>
      <c r="H653" s="2"/>
      <c r="I653" s="2"/>
      <c r="J653" s="2"/>
    </row>
    <row r="654" spans="1:10" ht="12.75" customHeight="1">
      <c r="A654" s="1"/>
      <c r="B654" s="1"/>
      <c r="C654" s="1"/>
      <c r="D654" s="1"/>
      <c r="E654" s="2"/>
      <c r="F654" s="2"/>
      <c r="G654" s="2"/>
      <c r="H654" s="2"/>
      <c r="I654" s="2"/>
      <c r="J654" s="2"/>
    </row>
    <row r="655" spans="1:10" ht="12.75" customHeight="1">
      <c r="A655" s="1"/>
      <c r="B655" s="1"/>
      <c r="C655" s="1"/>
      <c r="D655" s="1"/>
      <c r="E655" s="2"/>
      <c r="F655" s="2"/>
      <c r="G655" s="2"/>
      <c r="H655" s="2"/>
      <c r="I655" s="2"/>
      <c r="J655" s="2"/>
    </row>
    <row r="656" spans="1:10" ht="12.75" customHeight="1">
      <c r="A656" s="1"/>
      <c r="B656" s="1"/>
      <c r="C656" s="1"/>
      <c r="D656" s="1"/>
      <c r="E656" s="2"/>
      <c r="F656" s="2"/>
      <c r="G656" s="2"/>
      <c r="H656" s="2"/>
      <c r="I656" s="2"/>
      <c r="J656" s="2"/>
    </row>
    <row r="657" spans="1:10" ht="12.75" customHeight="1">
      <c r="A657" s="1"/>
      <c r="B657" s="1"/>
      <c r="C657" s="1"/>
      <c r="D657" s="1"/>
      <c r="E657" s="2"/>
      <c r="F657" s="2"/>
      <c r="G657" s="2"/>
      <c r="H657" s="2"/>
      <c r="I657" s="2"/>
      <c r="J657" s="2"/>
    </row>
    <row r="658" spans="1:10" ht="12.75" customHeight="1">
      <c r="A658" s="1"/>
      <c r="B658" s="1"/>
      <c r="C658" s="1"/>
      <c r="D658" s="1"/>
      <c r="E658" s="2"/>
      <c r="F658" s="2"/>
      <c r="G658" s="2"/>
      <c r="H658" s="2"/>
      <c r="I658" s="2"/>
      <c r="J658" s="2"/>
    </row>
    <row r="659" spans="1:10" ht="12.75" customHeight="1">
      <c r="A659" s="1"/>
      <c r="B659" s="1"/>
      <c r="C659" s="1"/>
      <c r="D659" s="1"/>
      <c r="E659" s="2"/>
      <c r="F659" s="2"/>
      <c r="G659" s="2"/>
      <c r="H659" s="2"/>
      <c r="I659" s="2"/>
      <c r="J659" s="2"/>
    </row>
    <row r="660" spans="1:10" ht="12.75" customHeight="1">
      <c r="A660" s="1"/>
      <c r="B660" s="1"/>
      <c r="C660" s="1"/>
      <c r="D660" s="1"/>
      <c r="E660" s="2"/>
      <c r="F660" s="2"/>
      <c r="G660" s="2"/>
      <c r="H660" s="2"/>
      <c r="I660" s="2"/>
      <c r="J660" s="2"/>
    </row>
    <row r="661" spans="1:10" ht="12.75" customHeight="1">
      <c r="A661" s="1"/>
      <c r="B661" s="1"/>
      <c r="C661" s="1"/>
      <c r="D661" s="1"/>
      <c r="E661" s="2"/>
      <c r="F661" s="2"/>
      <c r="G661" s="2"/>
      <c r="H661" s="2"/>
      <c r="I661" s="2"/>
      <c r="J661" s="2"/>
    </row>
    <row r="662" spans="1:10" ht="12.75" customHeight="1">
      <c r="A662" s="1"/>
      <c r="B662" s="1"/>
      <c r="C662" s="1"/>
      <c r="D662" s="1"/>
      <c r="E662" s="2"/>
      <c r="F662" s="2"/>
      <c r="G662" s="2"/>
      <c r="H662" s="2"/>
      <c r="I662" s="2"/>
      <c r="J662" s="2"/>
    </row>
    <row r="663" spans="1:10" ht="12.75" customHeight="1">
      <c r="A663" s="1"/>
      <c r="B663" s="1"/>
      <c r="C663" s="1"/>
      <c r="D663" s="1"/>
      <c r="E663" s="2"/>
      <c r="F663" s="2"/>
      <c r="G663" s="2"/>
      <c r="H663" s="2"/>
      <c r="I663" s="2"/>
      <c r="J663" s="2"/>
    </row>
    <row r="664" spans="1:10" ht="12.75" customHeight="1">
      <c r="A664" s="1"/>
      <c r="B664" s="1"/>
      <c r="C664" s="1"/>
      <c r="D664" s="1"/>
      <c r="E664" s="2"/>
      <c r="F664" s="2"/>
      <c r="G664" s="2"/>
      <c r="H664" s="2"/>
      <c r="I664" s="2"/>
      <c r="J664" s="2"/>
    </row>
    <row r="665" spans="1:10" ht="12.75" customHeight="1">
      <c r="A665" s="1"/>
      <c r="B665" s="1"/>
      <c r="C665" s="1"/>
      <c r="D665" s="1"/>
      <c r="E665" s="2"/>
      <c r="F665" s="2"/>
      <c r="G665" s="2"/>
      <c r="H665" s="2"/>
      <c r="I665" s="2"/>
      <c r="J665" s="2"/>
    </row>
    <row r="666" spans="1:10" ht="12.75" customHeight="1">
      <c r="A666" s="1"/>
      <c r="B666" s="1"/>
      <c r="C666" s="1"/>
      <c r="D666" s="1"/>
      <c r="E666" s="2"/>
      <c r="F666" s="2"/>
      <c r="G666" s="2"/>
      <c r="H666" s="2"/>
      <c r="I666" s="2"/>
      <c r="J666" s="2"/>
    </row>
    <row r="667" spans="1:10" ht="12.75" customHeight="1">
      <c r="A667" s="1"/>
      <c r="B667" s="1"/>
      <c r="C667" s="1"/>
      <c r="D667" s="1"/>
      <c r="E667" s="2"/>
      <c r="F667" s="2"/>
      <c r="G667" s="2"/>
      <c r="H667" s="2"/>
      <c r="I667" s="2"/>
      <c r="J667" s="2"/>
    </row>
    <row r="668" spans="1:10" ht="12.75" customHeight="1">
      <c r="A668" s="1"/>
      <c r="B668" s="1"/>
      <c r="C668" s="1"/>
      <c r="D668" s="1"/>
      <c r="E668" s="2"/>
      <c r="F668" s="2"/>
      <c r="G668" s="2"/>
      <c r="H668" s="2"/>
      <c r="I668" s="2"/>
      <c r="J668" s="2"/>
    </row>
    <row r="669" spans="1:10" ht="12.75" customHeight="1">
      <c r="A669" s="1"/>
      <c r="B669" s="1"/>
      <c r="C669" s="1"/>
      <c r="D669" s="1"/>
      <c r="E669" s="2"/>
      <c r="F669" s="2"/>
      <c r="G669" s="2"/>
      <c r="H669" s="2"/>
      <c r="I669" s="2"/>
      <c r="J669" s="2"/>
    </row>
    <row r="670" spans="1:10" ht="12.75" customHeight="1">
      <c r="A670" s="1"/>
      <c r="B670" s="1"/>
      <c r="C670" s="1"/>
      <c r="D670" s="1"/>
      <c r="E670" s="2"/>
      <c r="F670" s="2"/>
      <c r="G670" s="2"/>
      <c r="H670" s="2"/>
      <c r="I670" s="2"/>
      <c r="J670" s="2"/>
    </row>
    <row r="671" spans="1:10" ht="12.75" customHeight="1">
      <c r="A671" s="1"/>
      <c r="B671" s="1"/>
      <c r="C671" s="1"/>
      <c r="D671" s="1"/>
      <c r="E671" s="2"/>
      <c r="F671" s="2"/>
      <c r="G671" s="2"/>
      <c r="H671" s="2"/>
      <c r="I671" s="2"/>
      <c r="J671" s="2"/>
    </row>
    <row r="672" spans="1:10" ht="12.75" customHeight="1">
      <c r="A672" s="1"/>
      <c r="B672" s="1"/>
      <c r="C672" s="1"/>
      <c r="D672" s="1"/>
      <c r="E672" s="2"/>
      <c r="F672" s="2"/>
      <c r="G672" s="2"/>
      <c r="H672" s="2"/>
      <c r="I672" s="2"/>
      <c r="J672" s="2"/>
    </row>
    <row r="673" spans="1:10" ht="12.75" customHeight="1">
      <c r="A673" s="1"/>
      <c r="B673" s="1"/>
      <c r="C673" s="1"/>
      <c r="D673" s="1"/>
      <c r="E673" s="2"/>
      <c r="F673" s="2"/>
      <c r="G673" s="2"/>
      <c r="H673" s="2"/>
      <c r="I673" s="2"/>
      <c r="J673" s="2"/>
    </row>
    <row r="674" spans="1:10" ht="12.75" customHeight="1">
      <c r="A674" s="1"/>
      <c r="B674" s="1"/>
      <c r="C674" s="1"/>
      <c r="D674" s="1"/>
      <c r="E674" s="2"/>
      <c r="F674" s="2"/>
      <c r="G674" s="2"/>
      <c r="H674" s="2"/>
      <c r="I674" s="2"/>
      <c r="J674" s="2"/>
    </row>
    <row r="675" spans="1:10" ht="12.75" customHeight="1">
      <c r="A675" s="1"/>
      <c r="B675" s="1"/>
      <c r="C675" s="1"/>
      <c r="D675" s="1"/>
      <c r="E675" s="2"/>
      <c r="F675" s="2"/>
      <c r="G675" s="2"/>
      <c r="H675" s="2"/>
      <c r="I675" s="2"/>
      <c r="J675" s="2"/>
    </row>
    <row r="676" spans="1:10" ht="12.75" customHeight="1">
      <c r="A676" s="1"/>
      <c r="B676" s="1"/>
      <c r="C676" s="1"/>
      <c r="D676" s="1"/>
      <c r="E676" s="2"/>
      <c r="F676" s="2"/>
      <c r="G676" s="2"/>
      <c r="H676" s="2"/>
      <c r="I676" s="2"/>
      <c r="J676" s="2"/>
    </row>
    <row r="677" spans="1:10" ht="12.75" customHeight="1">
      <c r="A677" s="1"/>
      <c r="B677" s="1"/>
      <c r="C677" s="1"/>
      <c r="D677" s="1"/>
      <c r="E677" s="2"/>
      <c r="F677" s="2"/>
      <c r="G677" s="2"/>
      <c r="H677" s="2"/>
      <c r="I677" s="2"/>
      <c r="J677" s="2"/>
    </row>
    <row r="678" spans="1:10" ht="12.75" customHeight="1">
      <c r="A678" s="1"/>
      <c r="B678" s="1"/>
      <c r="C678" s="1"/>
      <c r="D678" s="1"/>
      <c r="E678" s="2"/>
      <c r="F678" s="2"/>
      <c r="G678" s="2"/>
      <c r="H678" s="2"/>
      <c r="I678" s="2"/>
      <c r="J678" s="2"/>
    </row>
    <row r="679" spans="1:10" ht="12.75" customHeight="1">
      <c r="A679" s="1"/>
      <c r="B679" s="1"/>
      <c r="C679" s="1"/>
      <c r="D679" s="1"/>
      <c r="E679" s="2"/>
      <c r="F679" s="2"/>
      <c r="G679" s="2"/>
      <c r="H679" s="2"/>
      <c r="I679" s="2"/>
      <c r="J679" s="2"/>
    </row>
    <row r="680" spans="1:10" ht="12.75" customHeight="1">
      <c r="A680" s="1"/>
      <c r="B680" s="1"/>
      <c r="C680" s="1"/>
      <c r="D680" s="1"/>
      <c r="E680" s="2"/>
      <c r="F680" s="2"/>
      <c r="G680" s="2"/>
      <c r="H680" s="2"/>
      <c r="I680" s="2"/>
      <c r="J680" s="2"/>
    </row>
    <row r="681" spans="1:10" ht="12.75" customHeight="1">
      <c r="A681" s="1"/>
      <c r="B681" s="1"/>
      <c r="C681" s="1"/>
      <c r="D681" s="1"/>
      <c r="E681" s="2"/>
      <c r="F681" s="2"/>
      <c r="G681" s="2"/>
      <c r="H681" s="2"/>
      <c r="I681" s="2"/>
      <c r="J681" s="2"/>
    </row>
    <row r="682" spans="1:10" ht="12.75" customHeight="1">
      <c r="A682" s="1"/>
      <c r="B682" s="1"/>
      <c r="C682" s="1"/>
      <c r="D682" s="1"/>
      <c r="E682" s="2"/>
      <c r="F682" s="2"/>
      <c r="G682" s="2"/>
      <c r="H682" s="2"/>
      <c r="I682" s="2"/>
      <c r="J682" s="2"/>
    </row>
    <row r="683" spans="1:10" ht="12.75" customHeight="1">
      <c r="A683" s="1"/>
      <c r="B683" s="1"/>
      <c r="C683" s="1"/>
      <c r="D683" s="1"/>
      <c r="E683" s="2"/>
      <c r="F683" s="2"/>
      <c r="G683" s="2"/>
      <c r="H683" s="2"/>
      <c r="I683" s="2"/>
      <c r="J683" s="2"/>
    </row>
    <row r="684" spans="1:10" ht="12.75" customHeight="1">
      <c r="A684" s="1"/>
      <c r="B684" s="1"/>
      <c r="C684" s="1"/>
      <c r="D684" s="1"/>
      <c r="E684" s="2"/>
      <c r="F684" s="2"/>
      <c r="G684" s="2"/>
      <c r="H684" s="2"/>
      <c r="I684" s="2"/>
      <c r="J684" s="2"/>
    </row>
    <row r="685" spans="1:10" ht="12.75" customHeight="1">
      <c r="A685" s="1"/>
      <c r="B685" s="1"/>
      <c r="C685" s="1"/>
      <c r="D685" s="1"/>
      <c r="E685" s="2"/>
      <c r="F685" s="2"/>
      <c r="G685" s="2"/>
      <c r="H685" s="2"/>
      <c r="I685" s="2"/>
      <c r="J685" s="2"/>
    </row>
    <row r="686" spans="1:10" ht="12.75" customHeight="1">
      <c r="A686" s="1"/>
      <c r="B686" s="1"/>
      <c r="C686" s="1"/>
      <c r="D686" s="1"/>
      <c r="E686" s="2"/>
      <c r="F686" s="2"/>
      <c r="G686" s="2"/>
      <c r="H686" s="2"/>
      <c r="I686" s="2"/>
      <c r="J686" s="2"/>
    </row>
    <row r="687" spans="1:10" ht="12.75" customHeight="1">
      <c r="A687" s="1"/>
      <c r="B687" s="1"/>
      <c r="C687" s="1"/>
      <c r="D687" s="1"/>
      <c r="E687" s="2"/>
      <c r="F687" s="2"/>
      <c r="G687" s="2"/>
      <c r="H687" s="2"/>
      <c r="I687" s="2"/>
      <c r="J687" s="2"/>
    </row>
    <row r="688" spans="1:10" ht="12.75" customHeight="1">
      <c r="A688" s="1"/>
      <c r="B688" s="1"/>
      <c r="C688" s="1"/>
      <c r="D688" s="1"/>
      <c r="E688" s="2"/>
      <c r="F688" s="2"/>
      <c r="G688" s="2"/>
      <c r="H688" s="2"/>
      <c r="I688" s="2"/>
      <c r="J688" s="2"/>
    </row>
    <row r="689" spans="1:10" ht="12.75" customHeight="1">
      <c r="A689" s="1"/>
      <c r="B689" s="1"/>
      <c r="C689" s="1"/>
      <c r="D689" s="1"/>
      <c r="E689" s="2"/>
      <c r="F689" s="2"/>
      <c r="G689" s="2"/>
      <c r="H689" s="2"/>
      <c r="I689" s="2"/>
      <c r="J689" s="2"/>
    </row>
    <row r="690" spans="1:10" ht="12.75" customHeight="1">
      <c r="A690" s="1"/>
      <c r="B690" s="1"/>
      <c r="C690" s="1"/>
      <c r="D690" s="1"/>
      <c r="E690" s="2"/>
      <c r="F690" s="2"/>
      <c r="G690" s="2"/>
      <c r="H690" s="2"/>
      <c r="I690" s="2"/>
      <c r="J690" s="2"/>
    </row>
    <row r="691" spans="1:10" ht="12.75" customHeight="1">
      <c r="A691" s="1"/>
      <c r="B691" s="1"/>
      <c r="C691" s="1"/>
      <c r="D691" s="1"/>
      <c r="E691" s="2"/>
      <c r="F691" s="2"/>
      <c r="G691" s="2"/>
      <c r="H691" s="2"/>
      <c r="I691" s="2"/>
      <c r="J691" s="2"/>
    </row>
    <row r="692" spans="1:10" ht="12.75" customHeight="1">
      <c r="A692" s="1"/>
      <c r="B692" s="1"/>
      <c r="C692" s="1"/>
      <c r="D692" s="1"/>
      <c r="E692" s="2"/>
      <c r="F692" s="2"/>
      <c r="G692" s="2"/>
      <c r="H692" s="2"/>
      <c r="I692" s="2"/>
      <c r="J692" s="2"/>
    </row>
    <row r="693" spans="1:10" ht="12.75" customHeight="1">
      <c r="A693" s="1"/>
      <c r="B693" s="1"/>
      <c r="C693" s="1"/>
      <c r="D693" s="1"/>
      <c r="E693" s="2"/>
      <c r="F693" s="2"/>
      <c r="G693" s="2"/>
      <c r="H693" s="2"/>
      <c r="I693" s="2"/>
      <c r="J693" s="2"/>
    </row>
    <row r="694" spans="1:10" ht="12.75" customHeight="1">
      <c r="A694" s="1"/>
      <c r="B694" s="1"/>
      <c r="C694" s="1"/>
      <c r="D694" s="1"/>
      <c r="E694" s="2"/>
      <c r="F694" s="2"/>
      <c r="G694" s="2"/>
      <c r="H694" s="2"/>
      <c r="I694" s="2"/>
      <c r="J694" s="2"/>
    </row>
    <row r="695" spans="1:10" ht="12.75" customHeight="1">
      <c r="A695" s="1"/>
      <c r="B695" s="1"/>
      <c r="C695" s="1"/>
      <c r="D695" s="1"/>
      <c r="E695" s="2"/>
      <c r="F695" s="2"/>
      <c r="G695" s="2"/>
      <c r="H695" s="2"/>
      <c r="I695" s="2"/>
      <c r="J695" s="2"/>
    </row>
    <row r="696" spans="1:10" ht="12.75" customHeight="1">
      <c r="A696" s="1"/>
      <c r="B696" s="1"/>
      <c r="C696" s="1"/>
      <c r="D696" s="1"/>
      <c r="E696" s="2"/>
      <c r="F696" s="2"/>
      <c r="G696" s="2"/>
      <c r="H696" s="2"/>
      <c r="I696" s="2"/>
      <c r="J696" s="2"/>
    </row>
    <row r="697" spans="1:10" ht="12.75" customHeight="1">
      <c r="A697" s="1"/>
      <c r="B697" s="1"/>
      <c r="C697" s="1"/>
      <c r="D697" s="1"/>
      <c r="E697" s="2"/>
      <c r="F697" s="2"/>
      <c r="G697" s="2"/>
      <c r="H697" s="2"/>
      <c r="I697" s="2"/>
      <c r="J697" s="2"/>
    </row>
    <row r="698" spans="1:10" ht="12.75" customHeight="1">
      <c r="A698" s="1"/>
      <c r="B698" s="1"/>
      <c r="C698" s="1"/>
      <c r="D698" s="1"/>
      <c r="E698" s="2"/>
      <c r="F698" s="2"/>
      <c r="G698" s="2"/>
      <c r="H698" s="2"/>
      <c r="I698" s="2"/>
      <c r="J698" s="2"/>
    </row>
    <row r="699" spans="1:10" ht="12.75" customHeight="1">
      <c r="A699" s="1"/>
      <c r="B699" s="1"/>
      <c r="C699" s="1"/>
      <c r="D699" s="1"/>
      <c r="E699" s="2"/>
      <c r="F699" s="2"/>
      <c r="G699" s="2"/>
      <c r="H699" s="2"/>
      <c r="I699" s="2"/>
      <c r="J699" s="2"/>
    </row>
    <row r="700" spans="1:10" ht="12.75" customHeight="1">
      <c r="A700" s="1"/>
      <c r="B700" s="1"/>
      <c r="C700" s="1"/>
      <c r="D700" s="1"/>
      <c r="E700" s="2"/>
      <c r="F700" s="2"/>
      <c r="G700" s="2"/>
      <c r="H700" s="2"/>
      <c r="I700" s="2"/>
      <c r="J700" s="2"/>
    </row>
    <row r="701" spans="1:10" ht="12.75" customHeight="1">
      <c r="A701" s="1"/>
      <c r="B701" s="1"/>
      <c r="C701" s="1"/>
      <c r="D701" s="1"/>
      <c r="E701" s="2"/>
      <c r="F701" s="2"/>
      <c r="G701" s="2"/>
      <c r="H701" s="2"/>
      <c r="I701" s="2"/>
      <c r="J701" s="2"/>
    </row>
    <row r="702" spans="1:10" ht="12.75" customHeight="1">
      <c r="A702" s="1"/>
      <c r="B702" s="1"/>
      <c r="C702" s="1"/>
      <c r="D702" s="1"/>
      <c r="E702" s="2"/>
      <c r="F702" s="2"/>
      <c r="G702" s="2"/>
      <c r="H702" s="2"/>
      <c r="I702" s="2"/>
      <c r="J702" s="2"/>
    </row>
    <row r="703" spans="1:10" ht="12.75" customHeight="1">
      <c r="A703" s="1"/>
      <c r="B703" s="1"/>
      <c r="C703" s="1"/>
      <c r="D703" s="1"/>
      <c r="E703" s="2"/>
      <c r="F703" s="2"/>
      <c r="G703" s="2"/>
      <c r="H703" s="2"/>
      <c r="I703" s="2"/>
      <c r="J703" s="2"/>
    </row>
    <row r="704" spans="1:10" ht="12.75" customHeight="1">
      <c r="A704" s="1"/>
      <c r="B704" s="1"/>
      <c r="C704" s="1"/>
      <c r="D704" s="1"/>
      <c r="E704" s="2"/>
      <c r="F704" s="2"/>
      <c r="G704" s="2"/>
      <c r="H704" s="2"/>
      <c r="I704" s="2"/>
      <c r="J704" s="2"/>
    </row>
    <row r="705" spans="1:10" ht="12.75" customHeight="1">
      <c r="A705" s="1"/>
      <c r="B705" s="1"/>
      <c r="C705" s="1"/>
      <c r="D705" s="1"/>
      <c r="E705" s="2"/>
      <c r="F705" s="2"/>
      <c r="G705" s="2"/>
      <c r="H705" s="2"/>
      <c r="I705" s="2"/>
      <c r="J705" s="2"/>
    </row>
    <row r="706" spans="1:10" ht="12.75" customHeight="1">
      <c r="A706" s="1"/>
      <c r="B706" s="1"/>
      <c r="C706" s="1"/>
      <c r="D706" s="1"/>
      <c r="E706" s="2"/>
      <c r="F706" s="2"/>
      <c r="G706" s="2"/>
      <c r="H706" s="2"/>
      <c r="I706" s="2"/>
      <c r="J706" s="2"/>
    </row>
    <row r="707" spans="1:10" ht="12.75" customHeight="1">
      <c r="A707" s="1"/>
      <c r="B707" s="1"/>
      <c r="C707" s="1"/>
      <c r="D707" s="1"/>
      <c r="E707" s="2"/>
      <c r="F707" s="2"/>
      <c r="G707" s="2"/>
      <c r="H707" s="2"/>
      <c r="I707" s="2"/>
      <c r="J707" s="2"/>
    </row>
    <row r="708" spans="1:10" ht="12.75" customHeight="1">
      <c r="A708" s="1"/>
      <c r="B708" s="1"/>
      <c r="C708" s="1"/>
      <c r="D708" s="1"/>
      <c r="E708" s="2"/>
      <c r="F708" s="2"/>
      <c r="G708" s="2"/>
      <c r="H708" s="2"/>
      <c r="I708" s="2"/>
      <c r="J708" s="2"/>
    </row>
    <row r="709" spans="1:10" ht="12.75" customHeight="1">
      <c r="A709" s="1"/>
      <c r="B709" s="1"/>
      <c r="C709" s="1"/>
      <c r="D709" s="1"/>
      <c r="E709" s="2"/>
      <c r="F709" s="2"/>
      <c r="G709" s="2"/>
      <c r="H709" s="2"/>
      <c r="I709" s="2"/>
      <c r="J709" s="2"/>
    </row>
    <row r="710" spans="1:10" ht="12.75" customHeight="1">
      <c r="A710" s="1"/>
      <c r="B710" s="1"/>
      <c r="C710" s="1"/>
      <c r="D710" s="1"/>
      <c r="E710" s="2"/>
      <c r="F710" s="2"/>
      <c r="G710" s="2"/>
      <c r="H710" s="2"/>
      <c r="I710" s="2"/>
      <c r="J710" s="2"/>
    </row>
    <row r="711" spans="1:10" ht="12.75" customHeight="1">
      <c r="A711" s="1"/>
      <c r="B711" s="1"/>
      <c r="C711" s="1"/>
      <c r="D711" s="1"/>
      <c r="E711" s="2"/>
      <c r="F711" s="2"/>
      <c r="G711" s="2"/>
      <c r="H711" s="2"/>
      <c r="I711" s="2"/>
      <c r="J711" s="2"/>
    </row>
    <row r="712" spans="1:10" ht="12.75" customHeight="1">
      <c r="A712" s="1"/>
      <c r="B712" s="1"/>
      <c r="C712" s="1"/>
      <c r="D712" s="1"/>
      <c r="E712" s="2"/>
      <c r="F712" s="2"/>
      <c r="G712" s="2"/>
      <c r="H712" s="2"/>
      <c r="I712" s="2"/>
      <c r="J712" s="2"/>
    </row>
    <row r="713" spans="1:10" ht="12.75" customHeight="1">
      <c r="A713" s="1"/>
      <c r="B713" s="1"/>
      <c r="C713" s="1"/>
      <c r="D713" s="1"/>
      <c r="E713" s="2"/>
      <c r="F713" s="2"/>
      <c r="G713" s="2"/>
      <c r="H713" s="2"/>
      <c r="I713" s="2"/>
      <c r="J713" s="2"/>
    </row>
    <row r="714" spans="1:10" ht="12.75" customHeight="1">
      <c r="A714" s="1"/>
      <c r="B714" s="1"/>
      <c r="C714" s="1"/>
      <c r="D714" s="1"/>
      <c r="E714" s="2"/>
      <c r="F714" s="2"/>
      <c r="G714" s="2"/>
      <c r="H714" s="2"/>
      <c r="I714" s="2"/>
      <c r="J714" s="2"/>
    </row>
    <row r="715" spans="1:10" ht="12.75" customHeight="1">
      <c r="A715" s="1"/>
      <c r="B715" s="1"/>
      <c r="C715" s="1"/>
      <c r="D715" s="1"/>
      <c r="E715" s="2"/>
      <c r="F715" s="2"/>
      <c r="G715" s="2"/>
      <c r="H715" s="2"/>
      <c r="I715" s="2"/>
      <c r="J715" s="2"/>
    </row>
    <row r="716" spans="1:10" ht="12.75" customHeight="1">
      <c r="A716" s="1"/>
      <c r="B716" s="1"/>
      <c r="C716" s="1"/>
      <c r="D716" s="1"/>
      <c r="E716" s="2"/>
      <c r="F716" s="2"/>
      <c r="G716" s="2"/>
      <c r="H716" s="2"/>
      <c r="I716" s="2"/>
      <c r="J716" s="2"/>
    </row>
    <row r="717" spans="1:10" ht="12.75" customHeight="1">
      <c r="A717" s="1"/>
      <c r="B717" s="1"/>
      <c r="C717" s="1"/>
      <c r="D717" s="1"/>
      <c r="E717" s="2"/>
      <c r="F717" s="2"/>
      <c r="G717" s="2"/>
      <c r="H717" s="2"/>
      <c r="I717" s="2"/>
      <c r="J717" s="2"/>
    </row>
    <row r="718" spans="1:10" ht="12.75" customHeight="1">
      <c r="A718" s="1"/>
      <c r="B718" s="1"/>
      <c r="C718" s="1"/>
      <c r="D718" s="1"/>
      <c r="E718" s="2"/>
      <c r="F718" s="2"/>
      <c r="G718" s="2"/>
      <c r="H718" s="2"/>
      <c r="I718" s="2"/>
      <c r="J718" s="2"/>
    </row>
    <row r="719" spans="1:10" ht="12.75" customHeight="1">
      <c r="A719" s="1"/>
      <c r="B719" s="1"/>
      <c r="C719" s="1"/>
      <c r="D719" s="1"/>
      <c r="E719" s="2"/>
      <c r="F719" s="2"/>
      <c r="G719" s="2"/>
      <c r="H719" s="2"/>
      <c r="I719" s="2"/>
      <c r="J719" s="2"/>
    </row>
    <row r="720" spans="1:10" ht="12.75" customHeight="1">
      <c r="A720" s="1"/>
      <c r="B720" s="1"/>
      <c r="C720" s="1"/>
      <c r="D720" s="1"/>
      <c r="E720" s="2"/>
      <c r="F720" s="2"/>
      <c r="G720" s="2"/>
      <c r="H720" s="2"/>
      <c r="I720" s="2"/>
      <c r="J720" s="2"/>
    </row>
    <row r="721" spans="1:10" ht="12.75" customHeight="1">
      <c r="A721" s="1"/>
      <c r="B721" s="1"/>
      <c r="C721" s="1"/>
      <c r="D721" s="1"/>
      <c r="E721" s="2"/>
      <c r="F721" s="2"/>
      <c r="G721" s="2"/>
      <c r="H721" s="2"/>
      <c r="I721" s="2"/>
      <c r="J721" s="2"/>
    </row>
    <row r="722" spans="1:10" ht="12.75" customHeight="1">
      <c r="A722" s="1"/>
      <c r="B722" s="1"/>
      <c r="C722" s="1"/>
      <c r="D722" s="1"/>
      <c r="E722" s="2"/>
      <c r="F722" s="2"/>
      <c r="G722" s="2"/>
      <c r="H722" s="2"/>
      <c r="I722" s="2"/>
      <c r="J722" s="2"/>
    </row>
    <row r="723" spans="1:10" ht="12.75" customHeight="1">
      <c r="A723" s="1"/>
      <c r="B723" s="1"/>
      <c r="C723" s="1"/>
      <c r="D723" s="1"/>
      <c r="E723" s="2"/>
      <c r="F723" s="2"/>
      <c r="G723" s="2"/>
      <c r="H723" s="2"/>
      <c r="I723" s="2"/>
      <c r="J723" s="2"/>
    </row>
    <row r="724" spans="1:10" ht="12.75" customHeight="1">
      <c r="A724" s="1"/>
      <c r="B724" s="1"/>
      <c r="C724" s="1"/>
      <c r="D724" s="1"/>
      <c r="E724" s="2"/>
      <c r="F724" s="2"/>
      <c r="G724" s="2"/>
      <c r="H724" s="2"/>
      <c r="I724" s="2"/>
      <c r="J724" s="2"/>
    </row>
    <row r="725" spans="1:10" ht="12.75" customHeight="1">
      <c r="A725" s="1"/>
      <c r="B725" s="1"/>
      <c r="C725" s="1"/>
      <c r="D725" s="1"/>
      <c r="E725" s="2"/>
      <c r="F725" s="2"/>
      <c r="G725" s="2"/>
      <c r="H725" s="2"/>
      <c r="I725" s="2"/>
      <c r="J725" s="2"/>
    </row>
    <row r="726" spans="1:10" ht="12.75" customHeight="1">
      <c r="A726" s="1"/>
      <c r="B726" s="1"/>
      <c r="C726" s="1"/>
      <c r="D726" s="1"/>
      <c r="E726" s="2"/>
      <c r="F726" s="2"/>
      <c r="G726" s="2"/>
      <c r="H726" s="2"/>
      <c r="I726" s="2"/>
      <c r="J726" s="2"/>
    </row>
    <row r="727" spans="1:10" ht="12.75" customHeight="1">
      <c r="A727" s="1"/>
      <c r="B727" s="1"/>
      <c r="C727" s="1"/>
      <c r="D727" s="1"/>
      <c r="E727" s="2"/>
      <c r="F727" s="2"/>
      <c r="G727" s="2"/>
      <c r="H727" s="2"/>
      <c r="I727" s="2"/>
      <c r="J727" s="2"/>
    </row>
    <row r="728" spans="1:10" ht="12.75" customHeight="1">
      <c r="A728" s="1"/>
      <c r="B728" s="1"/>
      <c r="C728" s="1"/>
      <c r="D728" s="1"/>
      <c r="E728" s="2"/>
      <c r="F728" s="2"/>
      <c r="G728" s="2"/>
      <c r="H728" s="2"/>
      <c r="I728" s="2"/>
      <c r="J728" s="2"/>
    </row>
    <row r="729" spans="1:10" ht="12.75" customHeight="1">
      <c r="A729" s="1"/>
      <c r="B729" s="1"/>
      <c r="C729" s="1"/>
      <c r="D729" s="1"/>
      <c r="E729" s="2"/>
      <c r="F729" s="2"/>
      <c r="G729" s="2"/>
      <c r="H729" s="2"/>
      <c r="I729" s="2"/>
      <c r="J729" s="2"/>
    </row>
    <row r="730" spans="1:10" ht="12.75" customHeight="1">
      <c r="A730" s="1"/>
      <c r="B730" s="1"/>
      <c r="C730" s="1"/>
      <c r="D730" s="1"/>
      <c r="E730" s="2"/>
      <c r="F730" s="2"/>
      <c r="G730" s="2"/>
      <c r="H730" s="2"/>
      <c r="I730" s="2"/>
      <c r="J730" s="2"/>
    </row>
    <row r="731" spans="1:10" ht="12.75" customHeight="1">
      <c r="A731" s="1"/>
      <c r="B731" s="1"/>
      <c r="C731" s="1"/>
      <c r="D731" s="1"/>
      <c r="E731" s="2"/>
      <c r="F731" s="2"/>
      <c r="G731" s="2"/>
      <c r="H731" s="2"/>
      <c r="I731" s="2"/>
      <c r="J731" s="2"/>
    </row>
    <row r="732" spans="1:10" ht="12.75" customHeight="1">
      <c r="A732" s="1"/>
      <c r="B732" s="1"/>
      <c r="C732" s="1"/>
      <c r="D732" s="1"/>
      <c r="E732" s="2"/>
      <c r="F732" s="2"/>
      <c r="G732" s="2"/>
      <c r="H732" s="2"/>
      <c r="I732" s="2"/>
      <c r="J732" s="2"/>
    </row>
    <row r="733" spans="1:10" ht="12.75" customHeight="1">
      <c r="A733" s="1"/>
      <c r="B733" s="1"/>
      <c r="C733" s="1"/>
      <c r="D733" s="1"/>
      <c r="E733" s="2"/>
      <c r="F733" s="2"/>
      <c r="G733" s="2"/>
      <c r="H733" s="2"/>
      <c r="I733" s="2"/>
      <c r="J733" s="2"/>
    </row>
    <row r="734" spans="1:10" ht="12.75" customHeight="1">
      <c r="A734" s="1"/>
      <c r="B734" s="1"/>
      <c r="C734" s="1"/>
      <c r="D734" s="1"/>
      <c r="E734" s="2"/>
      <c r="F734" s="2"/>
      <c r="G734" s="2"/>
      <c r="H734" s="2"/>
      <c r="I734" s="2"/>
      <c r="J734" s="2"/>
    </row>
    <row r="735" spans="1:10" ht="12.75" customHeight="1">
      <c r="A735" s="1"/>
      <c r="B735" s="1"/>
      <c r="C735" s="1"/>
      <c r="D735" s="1"/>
      <c r="E735" s="2"/>
      <c r="F735" s="2"/>
      <c r="G735" s="2"/>
      <c r="H735" s="2"/>
      <c r="I735" s="2"/>
      <c r="J735" s="2"/>
    </row>
    <row r="736" spans="1:10" ht="12.75" customHeight="1">
      <c r="A736" s="1"/>
      <c r="B736" s="1"/>
      <c r="C736" s="1"/>
      <c r="D736" s="1"/>
      <c r="E736" s="2"/>
      <c r="F736" s="2"/>
      <c r="G736" s="2"/>
      <c r="H736" s="2"/>
      <c r="I736" s="2"/>
      <c r="J736" s="2"/>
    </row>
    <row r="737" spans="1:10" ht="12.75" customHeight="1">
      <c r="A737" s="1"/>
      <c r="B737" s="1"/>
      <c r="C737" s="1"/>
      <c r="D737" s="1"/>
      <c r="E737" s="2"/>
      <c r="F737" s="2"/>
      <c r="G737" s="2"/>
      <c r="H737" s="2"/>
      <c r="I737" s="2"/>
      <c r="J737" s="2"/>
    </row>
    <row r="738" spans="1:10" ht="12.75" customHeight="1">
      <c r="A738" s="1"/>
      <c r="B738" s="1"/>
      <c r="C738" s="1"/>
      <c r="D738" s="1"/>
      <c r="E738" s="2"/>
      <c r="F738" s="2"/>
      <c r="G738" s="2"/>
      <c r="H738" s="2"/>
      <c r="I738" s="2"/>
      <c r="J738" s="2"/>
    </row>
    <row r="739" spans="1:10" ht="12.75" customHeight="1">
      <c r="A739" s="1"/>
      <c r="B739" s="1"/>
      <c r="C739" s="1"/>
      <c r="D739" s="1"/>
      <c r="E739" s="2"/>
      <c r="F739" s="2"/>
      <c r="G739" s="2"/>
      <c r="H739" s="2"/>
      <c r="I739" s="2"/>
      <c r="J739" s="2"/>
    </row>
    <row r="740" spans="1:10" ht="12.75" customHeight="1">
      <c r="A740" s="1"/>
      <c r="B740" s="1"/>
      <c r="C740" s="1"/>
      <c r="D740" s="1"/>
      <c r="E740" s="2"/>
      <c r="F740" s="2"/>
      <c r="G740" s="2"/>
      <c r="H740" s="2"/>
      <c r="I740" s="2"/>
      <c r="J740" s="2"/>
    </row>
    <row r="741" spans="1:10" ht="12.75" customHeight="1">
      <c r="A741" s="1"/>
      <c r="B741" s="1"/>
      <c r="C741" s="1"/>
      <c r="D741" s="1"/>
      <c r="E741" s="2"/>
      <c r="F741" s="2"/>
      <c r="G741" s="2"/>
      <c r="H741" s="2"/>
      <c r="I741" s="2"/>
      <c r="J741" s="2"/>
    </row>
    <row r="742" spans="1:10" ht="12.75" customHeight="1">
      <c r="A742" s="1"/>
      <c r="B742" s="1"/>
      <c r="C742" s="1"/>
      <c r="D742" s="1"/>
      <c r="E742" s="2"/>
      <c r="F742" s="2"/>
      <c r="G742" s="2"/>
      <c r="H742" s="2"/>
      <c r="I742" s="2"/>
      <c r="J742" s="2"/>
    </row>
    <row r="743" spans="1:10" ht="12.75" customHeight="1">
      <c r="A743" s="1"/>
      <c r="B743" s="1"/>
      <c r="C743" s="1"/>
      <c r="D743" s="1"/>
      <c r="E743" s="2"/>
      <c r="F743" s="2"/>
      <c r="G743" s="2"/>
      <c r="H743" s="2"/>
      <c r="I743" s="2"/>
      <c r="J743" s="2"/>
    </row>
    <row r="744" spans="1:10" ht="12.75" customHeight="1">
      <c r="A744" s="1"/>
      <c r="B744" s="1"/>
      <c r="C744" s="1"/>
      <c r="D744" s="1"/>
      <c r="E744" s="2"/>
      <c r="F744" s="2"/>
      <c r="G744" s="2"/>
      <c r="H744" s="2"/>
      <c r="I744" s="2"/>
      <c r="J744" s="2"/>
    </row>
    <row r="745" spans="1:10" ht="12.75" customHeight="1">
      <c r="A745" s="1"/>
      <c r="B745" s="1"/>
      <c r="C745" s="1"/>
      <c r="D745" s="1"/>
      <c r="E745" s="2"/>
      <c r="F745" s="2"/>
      <c r="G745" s="2"/>
      <c r="H745" s="2"/>
      <c r="I745" s="2"/>
      <c r="J745" s="2"/>
    </row>
    <row r="746" spans="1:10" ht="12.75" customHeight="1">
      <c r="A746" s="1"/>
      <c r="B746" s="1"/>
      <c r="C746" s="1"/>
      <c r="D746" s="1"/>
      <c r="E746" s="2"/>
      <c r="F746" s="2"/>
      <c r="G746" s="2"/>
      <c r="H746" s="2"/>
      <c r="I746" s="2"/>
      <c r="J746" s="2"/>
    </row>
    <row r="747" spans="1:10" ht="12.75" customHeight="1">
      <c r="A747" s="1"/>
      <c r="B747" s="1"/>
      <c r="C747" s="1"/>
      <c r="D747" s="1"/>
      <c r="E747" s="2"/>
      <c r="F747" s="2"/>
      <c r="G747" s="2"/>
      <c r="H747" s="2"/>
      <c r="I747" s="2"/>
      <c r="J747" s="2"/>
    </row>
    <row r="748" spans="1:10" ht="12.75" customHeight="1">
      <c r="A748" s="1"/>
      <c r="B748" s="1"/>
      <c r="C748" s="1"/>
      <c r="D748" s="1"/>
      <c r="E748" s="2"/>
      <c r="F748" s="2"/>
      <c r="G748" s="2"/>
      <c r="H748" s="2"/>
      <c r="I748" s="2"/>
      <c r="J748" s="2"/>
    </row>
    <row r="749" spans="1:10" ht="12.75" customHeight="1">
      <c r="A749" s="1"/>
      <c r="B749" s="1"/>
      <c r="C749" s="1"/>
      <c r="D749" s="1"/>
      <c r="E749" s="2"/>
      <c r="F749" s="2"/>
      <c r="G749" s="2"/>
      <c r="H749" s="2"/>
      <c r="I749" s="2"/>
      <c r="J749" s="2"/>
    </row>
    <row r="750" spans="1:10" ht="12.75" customHeight="1">
      <c r="A750" s="1"/>
      <c r="B750" s="1"/>
      <c r="C750" s="1"/>
      <c r="D750" s="1"/>
      <c r="E750" s="2"/>
      <c r="F750" s="2"/>
      <c r="G750" s="2"/>
      <c r="H750" s="2"/>
      <c r="I750" s="2"/>
      <c r="J750" s="2"/>
    </row>
    <row r="751" spans="1:10" ht="12.75" customHeight="1">
      <c r="A751" s="1"/>
      <c r="B751" s="1"/>
      <c r="C751" s="1"/>
      <c r="D751" s="1"/>
      <c r="E751" s="2"/>
      <c r="F751" s="2"/>
      <c r="G751" s="2"/>
      <c r="H751" s="2"/>
      <c r="I751" s="2"/>
      <c r="J751" s="2"/>
    </row>
    <row r="752" spans="1:10" ht="12.75" customHeight="1">
      <c r="A752" s="1"/>
      <c r="B752" s="1"/>
      <c r="C752" s="1"/>
      <c r="D752" s="1"/>
      <c r="E752" s="2"/>
      <c r="F752" s="2"/>
      <c r="G752" s="2"/>
      <c r="H752" s="2"/>
      <c r="I752" s="2"/>
      <c r="J752" s="2"/>
    </row>
    <row r="753" spans="1:10" ht="12.75" customHeight="1">
      <c r="A753" s="1"/>
      <c r="B753" s="1"/>
      <c r="C753" s="1"/>
      <c r="D753" s="1"/>
      <c r="E753" s="2"/>
      <c r="F753" s="2"/>
      <c r="G753" s="2"/>
      <c r="H753" s="2"/>
      <c r="I753" s="2"/>
      <c r="J753" s="2"/>
    </row>
    <row r="754" spans="1:10" ht="12.75" customHeight="1">
      <c r="A754" s="1"/>
      <c r="B754" s="1"/>
      <c r="C754" s="1"/>
      <c r="D754" s="1"/>
      <c r="E754" s="2"/>
      <c r="F754" s="2"/>
      <c r="G754" s="2"/>
      <c r="H754" s="2"/>
      <c r="I754" s="2"/>
      <c r="J754" s="2"/>
    </row>
    <row r="755" spans="1:10" ht="12.75" customHeight="1">
      <c r="A755" s="1"/>
      <c r="B755" s="1"/>
      <c r="C755" s="1"/>
      <c r="D755" s="1"/>
      <c r="E755" s="2"/>
      <c r="F755" s="2"/>
      <c r="G755" s="2"/>
      <c r="H755" s="2"/>
      <c r="I755" s="2"/>
      <c r="J755" s="2"/>
    </row>
    <row r="756" spans="1:10" ht="12.75" customHeight="1">
      <c r="A756" s="1"/>
      <c r="B756" s="1"/>
      <c r="C756" s="1"/>
      <c r="D756" s="1"/>
      <c r="E756" s="2"/>
      <c r="F756" s="2"/>
      <c r="G756" s="2"/>
      <c r="H756" s="2"/>
      <c r="I756" s="2"/>
      <c r="J756" s="2"/>
    </row>
    <row r="757" spans="1:10" ht="12.75" customHeight="1">
      <c r="A757" s="1"/>
      <c r="B757" s="1"/>
      <c r="C757" s="1"/>
      <c r="D757" s="1"/>
      <c r="E757" s="2"/>
      <c r="F757" s="2"/>
      <c r="G757" s="2"/>
      <c r="H757" s="2"/>
      <c r="I757" s="2"/>
      <c r="J757" s="2"/>
    </row>
    <row r="758" spans="1:10" ht="12.75" customHeight="1">
      <c r="A758" s="1"/>
      <c r="B758" s="1"/>
      <c r="C758" s="1"/>
      <c r="D758" s="1"/>
      <c r="E758" s="2"/>
      <c r="F758" s="2"/>
      <c r="G758" s="2"/>
      <c r="H758" s="2"/>
      <c r="I758" s="2"/>
      <c r="J758" s="2"/>
    </row>
    <row r="759" spans="1:10" ht="12.75" customHeight="1">
      <c r="A759" s="1"/>
      <c r="B759" s="1"/>
      <c r="C759" s="1"/>
      <c r="D759" s="1"/>
      <c r="E759" s="2"/>
      <c r="F759" s="2"/>
      <c r="G759" s="2"/>
      <c r="H759" s="2"/>
      <c r="I759" s="2"/>
      <c r="J759" s="2"/>
    </row>
    <row r="760" spans="1:10" ht="12.75" customHeight="1">
      <c r="A760" s="1"/>
      <c r="B760" s="1"/>
      <c r="C760" s="1"/>
      <c r="D760" s="1"/>
      <c r="E760" s="2"/>
      <c r="F760" s="2"/>
      <c r="G760" s="2"/>
      <c r="H760" s="2"/>
      <c r="I760" s="2"/>
      <c r="J760" s="2"/>
    </row>
    <row r="761" spans="1:10" ht="12.75" customHeight="1">
      <c r="A761" s="1"/>
      <c r="B761" s="1"/>
      <c r="C761" s="1"/>
      <c r="D761" s="1"/>
      <c r="E761" s="2"/>
      <c r="F761" s="2"/>
      <c r="G761" s="2"/>
      <c r="H761" s="2"/>
      <c r="I761" s="2"/>
      <c r="J761" s="2"/>
    </row>
    <row r="762" spans="1:10" ht="12.75" customHeight="1">
      <c r="A762" s="1"/>
      <c r="B762" s="1"/>
      <c r="C762" s="1"/>
      <c r="D762" s="1"/>
      <c r="E762" s="2"/>
      <c r="F762" s="2"/>
      <c r="G762" s="2"/>
      <c r="H762" s="2"/>
      <c r="I762" s="2"/>
      <c r="J762" s="2"/>
    </row>
    <row r="763" spans="1:10" ht="12.75" customHeight="1">
      <c r="A763" s="1"/>
      <c r="B763" s="1"/>
      <c r="C763" s="1"/>
      <c r="D763" s="1"/>
      <c r="E763" s="2"/>
      <c r="F763" s="2"/>
      <c r="G763" s="2"/>
      <c r="H763" s="2"/>
      <c r="I763" s="2"/>
      <c r="J763" s="2"/>
    </row>
    <row r="764" spans="1:10" ht="12.75" customHeight="1">
      <c r="A764" s="1"/>
      <c r="B764" s="1"/>
      <c r="C764" s="1"/>
      <c r="D764" s="1"/>
      <c r="E764" s="2"/>
      <c r="F764" s="2"/>
      <c r="G764" s="2"/>
      <c r="H764" s="2"/>
      <c r="I764" s="2"/>
      <c r="J764" s="2"/>
    </row>
    <row r="765" spans="1:10" ht="12.75" customHeight="1">
      <c r="A765" s="1"/>
      <c r="B765" s="1"/>
      <c r="C765" s="1"/>
      <c r="D765" s="1"/>
      <c r="E765" s="2"/>
      <c r="F765" s="2"/>
      <c r="G765" s="2"/>
      <c r="H765" s="2"/>
      <c r="I765" s="2"/>
      <c r="J765" s="2"/>
    </row>
    <row r="766" spans="1:10" ht="12.75" customHeight="1">
      <c r="A766" s="1"/>
      <c r="B766" s="1"/>
      <c r="C766" s="1"/>
      <c r="D766" s="1"/>
      <c r="E766" s="2"/>
      <c r="F766" s="2"/>
      <c r="G766" s="2"/>
      <c r="H766" s="2"/>
      <c r="I766" s="2"/>
      <c r="J766" s="2"/>
    </row>
    <row r="767" spans="1:10" ht="12.75" customHeight="1">
      <c r="A767" s="1"/>
      <c r="B767" s="1"/>
      <c r="C767" s="1"/>
      <c r="D767" s="1"/>
      <c r="E767" s="2"/>
      <c r="F767" s="2"/>
      <c r="G767" s="2"/>
      <c r="H767" s="2"/>
      <c r="I767" s="2"/>
      <c r="J767" s="2"/>
    </row>
    <row r="768" spans="1:10" ht="12.75" customHeight="1">
      <c r="A768" s="1"/>
      <c r="B768" s="1"/>
      <c r="C768" s="1"/>
      <c r="D768" s="1"/>
      <c r="E768" s="2"/>
      <c r="F768" s="2"/>
      <c r="G768" s="2"/>
      <c r="H768" s="2"/>
      <c r="I768" s="2"/>
      <c r="J768" s="2"/>
    </row>
    <row r="769" spans="1:10" ht="12.75" customHeight="1">
      <c r="A769" s="1"/>
      <c r="B769" s="1"/>
      <c r="C769" s="1"/>
      <c r="D769" s="1"/>
      <c r="E769" s="2"/>
      <c r="F769" s="2"/>
      <c r="G769" s="2"/>
      <c r="H769" s="2"/>
      <c r="I769" s="2"/>
      <c r="J769" s="2"/>
    </row>
    <row r="770" spans="1:10" ht="12.75" customHeight="1">
      <c r="A770" s="1"/>
      <c r="B770" s="1"/>
      <c r="C770" s="1"/>
      <c r="D770" s="1"/>
      <c r="E770" s="2"/>
      <c r="F770" s="2"/>
      <c r="G770" s="2"/>
      <c r="H770" s="2"/>
      <c r="I770" s="2"/>
      <c r="J770" s="2"/>
    </row>
    <row r="771" spans="1:10" ht="12.75" customHeight="1">
      <c r="A771" s="1"/>
      <c r="B771" s="1"/>
      <c r="C771" s="1"/>
      <c r="D771" s="1"/>
      <c r="E771" s="2"/>
      <c r="F771" s="2"/>
      <c r="G771" s="2"/>
      <c r="H771" s="2"/>
      <c r="I771" s="2"/>
      <c r="J771" s="2"/>
    </row>
    <row r="772" spans="1:10" ht="12.75" customHeight="1">
      <c r="A772" s="1"/>
      <c r="B772" s="1"/>
      <c r="C772" s="1"/>
      <c r="D772" s="1"/>
      <c r="E772" s="2"/>
      <c r="F772" s="2"/>
      <c r="G772" s="2"/>
      <c r="H772" s="2"/>
      <c r="I772" s="2"/>
      <c r="J772" s="2"/>
    </row>
    <row r="773" spans="1:10" ht="12.75" customHeight="1">
      <c r="A773" s="1"/>
      <c r="B773" s="1"/>
      <c r="C773" s="1"/>
      <c r="D773" s="1"/>
      <c r="E773" s="2"/>
      <c r="F773" s="2"/>
      <c r="G773" s="2"/>
      <c r="H773" s="2"/>
      <c r="I773" s="2"/>
      <c r="J773" s="2"/>
    </row>
    <row r="774" spans="1:10" ht="12.75" customHeight="1">
      <c r="A774" s="1"/>
      <c r="B774" s="1"/>
      <c r="C774" s="1"/>
      <c r="D774" s="1"/>
      <c r="E774" s="2"/>
      <c r="F774" s="2"/>
      <c r="G774" s="2"/>
      <c r="H774" s="2"/>
      <c r="I774" s="2"/>
      <c r="J774" s="2"/>
    </row>
    <row r="775" spans="1:10" ht="12.75" customHeight="1">
      <c r="A775" s="1"/>
      <c r="B775" s="1"/>
      <c r="C775" s="1"/>
      <c r="D775" s="1"/>
      <c r="E775" s="2"/>
      <c r="F775" s="2"/>
      <c r="G775" s="2"/>
      <c r="H775" s="2"/>
      <c r="I775" s="2"/>
      <c r="J775" s="2"/>
    </row>
    <row r="776" spans="1:10" ht="12.75" customHeight="1">
      <c r="A776" s="1"/>
      <c r="B776" s="1"/>
      <c r="C776" s="1"/>
      <c r="D776" s="1"/>
      <c r="E776" s="2"/>
      <c r="F776" s="2"/>
      <c r="G776" s="2"/>
      <c r="H776" s="2"/>
      <c r="I776" s="2"/>
      <c r="J776" s="2"/>
    </row>
    <row r="777" spans="1:10" ht="12.75" customHeight="1">
      <c r="A777" s="1"/>
      <c r="B777" s="1"/>
      <c r="C777" s="1"/>
      <c r="D777" s="1"/>
      <c r="E777" s="2"/>
      <c r="F777" s="2"/>
      <c r="G777" s="2"/>
      <c r="H777" s="2"/>
      <c r="I777" s="2"/>
      <c r="J777" s="2"/>
    </row>
    <row r="778" spans="1:10" ht="12.75" customHeight="1">
      <c r="A778" s="1"/>
      <c r="B778" s="1"/>
      <c r="C778" s="1"/>
      <c r="D778" s="1"/>
      <c r="E778" s="2"/>
      <c r="F778" s="2"/>
      <c r="G778" s="2"/>
      <c r="H778" s="2"/>
      <c r="I778" s="2"/>
      <c r="J778" s="2"/>
    </row>
    <row r="779" spans="1:10" ht="12.75" customHeight="1">
      <c r="A779" s="1"/>
      <c r="B779" s="1"/>
      <c r="C779" s="1"/>
      <c r="D779" s="1"/>
      <c r="E779" s="2"/>
      <c r="F779" s="2"/>
      <c r="G779" s="2"/>
      <c r="H779" s="2"/>
      <c r="I779" s="2"/>
      <c r="J779" s="2"/>
    </row>
    <row r="780" spans="1:10" ht="12.75" customHeight="1">
      <c r="A780" s="1"/>
      <c r="B780" s="1"/>
      <c r="C780" s="1"/>
      <c r="D780" s="1"/>
      <c r="E780" s="2"/>
      <c r="F780" s="2"/>
      <c r="G780" s="2"/>
      <c r="H780" s="2"/>
      <c r="I780" s="2"/>
      <c r="J780" s="2"/>
    </row>
    <row r="781" spans="1:10" ht="12.75" customHeight="1">
      <c r="A781" s="1"/>
      <c r="B781" s="1"/>
      <c r="C781" s="1"/>
      <c r="D781" s="1"/>
      <c r="E781" s="2"/>
      <c r="F781" s="2"/>
      <c r="G781" s="2"/>
      <c r="H781" s="2"/>
      <c r="I781" s="2"/>
      <c r="J781" s="2"/>
    </row>
    <row r="782" spans="1:10" ht="12.75" customHeight="1">
      <c r="A782" s="1"/>
      <c r="B782" s="1"/>
      <c r="C782" s="1"/>
      <c r="D782" s="1"/>
      <c r="E782" s="2"/>
      <c r="F782" s="2"/>
      <c r="G782" s="2"/>
      <c r="H782" s="2"/>
      <c r="I782" s="2"/>
      <c r="J782" s="2"/>
    </row>
    <row r="783" spans="1:10" ht="12.75" customHeight="1">
      <c r="A783" s="1"/>
      <c r="B783" s="1"/>
      <c r="C783" s="1"/>
      <c r="D783" s="1"/>
      <c r="E783" s="2"/>
      <c r="F783" s="2"/>
      <c r="G783" s="2"/>
      <c r="H783" s="2"/>
      <c r="I783" s="2"/>
      <c r="J783" s="2"/>
    </row>
    <row r="784" spans="1:10" ht="12.75" customHeight="1">
      <c r="A784" s="1"/>
      <c r="B784" s="1"/>
      <c r="C784" s="1"/>
      <c r="D784" s="1"/>
      <c r="E784" s="2"/>
      <c r="F784" s="2"/>
      <c r="G784" s="2"/>
      <c r="H784" s="2"/>
      <c r="I784" s="2"/>
      <c r="J784" s="2"/>
    </row>
    <row r="785" spans="1:10" ht="12.75" customHeight="1">
      <c r="A785" s="1"/>
      <c r="B785" s="1"/>
      <c r="C785" s="1"/>
      <c r="D785" s="1"/>
      <c r="E785" s="2"/>
      <c r="F785" s="2"/>
      <c r="G785" s="2"/>
      <c r="H785" s="2"/>
      <c r="I785" s="2"/>
      <c r="J785" s="2"/>
    </row>
    <row r="786" spans="1:10" ht="12.75" customHeight="1">
      <c r="A786" s="1"/>
      <c r="B786" s="1"/>
      <c r="C786" s="1"/>
      <c r="D786" s="1"/>
      <c r="E786" s="2"/>
      <c r="F786" s="2"/>
      <c r="G786" s="2"/>
      <c r="H786" s="2"/>
      <c r="I786" s="2"/>
      <c r="J786" s="2"/>
    </row>
    <row r="787" spans="1:10" ht="12.75" customHeight="1">
      <c r="A787" s="1"/>
      <c r="B787" s="1"/>
      <c r="C787" s="1"/>
      <c r="D787" s="1"/>
      <c r="E787" s="2"/>
      <c r="F787" s="2"/>
      <c r="G787" s="2"/>
      <c r="H787" s="2"/>
      <c r="I787" s="2"/>
      <c r="J787" s="2"/>
    </row>
    <row r="788" spans="1:10" ht="12.75" customHeight="1">
      <c r="A788" s="1"/>
      <c r="B788" s="1"/>
      <c r="C788" s="1"/>
      <c r="D788" s="1"/>
      <c r="E788" s="2"/>
      <c r="F788" s="2"/>
      <c r="G788" s="2"/>
      <c r="H788" s="2"/>
      <c r="I788" s="2"/>
      <c r="J788" s="2"/>
    </row>
    <row r="789" spans="1:10" ht="12.75" customHeight="1">
      <c r="A789" s="1"/>
      <c r="B789" s="1"/>
      <c r="C789" s="1"/>
      <c r="D789" s="1"/>
      <c r="E789" s="2"/>
      <c r="F789" s="2"/>
      <c r="G789" s="2"/>
      <c r="H789" s="2"/>
      <c r="I789" s="2"/>
      <c r="J789" s="2"/>
    </row>
    <row r="790" spans="1:10" ht="12.75" customHeight="1">
      <c r="A790" s="1"/>
      <c r="B790" s="1"/>
      <c r="C790" s="1"/>
      <c r="D790" s="1"/>
      <c r="E790" s="2"/>
      <c r="F790" s="2"/>
      <c r="G790" s="2"/>
      <c r="H790" s="2"/>
      <c r="I790" s="2"/>
      <c r="J790" s="2"/>
    </row>
    <row r="791" spans="1:10" ht="12.75" customHeight="1">
      <c r="A791" s="1"/>
      <c r="B791" s="1"/>
      <c r="C791" s="1"/>
      <c r="D791" s="1"/>
      <c r="E791" s="2"/>
      <c r="F791" s="2"/>
      <c r="G791" s="2"/>
      <c r="H791" s="2"/>
      <c r="I791" s="2"/>
      <c r="J791" s="2"/>
    </row>
    <row r="792" spans="1:10" ht="12.75" customHeight="1">
      <c r="A792" s="1"/>
      <c r="B792" s="1"/>
      <c r="C792" s="1"/>
      <c r="D792" s="1"/>
      <c r="E792" s="2"/>
      <c r="F792" s="2"/>
      <c r="G792" s="2"/>
      <c r="H792" s="2"/>
      <c r="I792" s="2"/>
      <c r="J792" s="2"/>
    </row>
    <row r="793" spans="1:10" ht="12.75" customHeight="1">
      <c r="A793" s="1"/>
      <c r="B793" s="1"/>
      <c r="C793" s="1"/>
      <c r="D793" s="1"/>
      <c r="E793" s="2"/>
      <c r="F793" s="2"/>
      <c r="G793" s="2"/>
      <c r="H793" s="2"/>
      <c r="I793" s="2"/>
      <c r="J793" s="2"/>
    </row>
    <row r="794" spans="1:10" ht="12.75" customHeight="1">
      <c r="A794" s="1"/>
      <c r="B794" s="1"/>
      <c r="C794" s="1"/>
      <c r="D794" s="1"/>
      <c r="E794" s="2"/>
      <c r="F794" s="2"/>
      <c r="G794" s="2"/>
      <c r="H794" s="2"/>
      <c r="I794" s="2"/>
      <c r="J794" s="2"/>
    </row>
    <row r="795" spans="1:10" ht="12.75" customHeight="1">
      <c r="A795" s="1"/>
      <c r="B795" s="1"/>
      <c r="C795" s="1"/>
      <c r="D795" s="1"/>
      <c r="E795" s="2"/>
      <c r="F795" s="2"/>
      <c r="G795" s="2"/>
      <c r="H795" s="2"/>
      <c r="I795" s="2"/>
      <c r="J795" s="2"/>
    </row>
    <row r="796" spans="1:10" ht="12.75" customHeight="1">
      <c r="A796" s="1"/>
      <c r="B796" s="1"/>
      <c r="C796" s="1"/>
      <c r="D796" s="1"/>
      <c r="E796" s="2"/>
      <c r="F796" s="2"/>
      <c r="G796" s="2"/>
      <c r="H796" s="2"/>
      <c r="I796" s="2"/>
      <c r="J796" s="2"/>
    </row>
    <row r="797" spans="1:10" ht="12.75" customHeight="1">
      <c r="A797" s="1"/>
      <c r="B797" s="1"/>
      <c r="C797" s="1"/>
      <c r="D797" s="1"/>
      <c r="E797" s="2"/>
      <c r="F797" s="2"/>
      <c r="G797" s="2"/>
      <c r="H797" s="2"/>
      <c r="I797" s="2"/>
      <c r="J797" s="2"/>
    </row>
    <row r="798" spans="1:10" ht="12.75" customHeight="1">
      <c r="A798" s="1"/>
      <c r="B798" s="1"/>
      <c r="C798" s="1"/>
      <c r="D798" s="1"/>
      <c r="E798" s="2"/>
      <c r="F798" s="2"/>
      <c r="G798" s="2"/>
      <c r="H798" s="2"/>
      <c r="I798" s="2"/>
      <c r="J798" s="2"/>
    </row>
    <row r="799" spans="1:10" ht="12.75" customHeight="1">
      <c r="A799" s="1"/>
      <c r="B799" s="1"/>
      <c r="C799" s="1"/>
      <c r="D799" s="1"/>
      <c r="E799" s="2"/>
      <c r="F799" s="2"/>
      <c r="G799" s="2"/>
      <c r="H799" s="2"/>
      <c r="I799" s="2"/>
      <c r="J799" s="2"/>
    </row>
    <row r="800" spans="1:10" ht="12.75" customHeight="1">
      <c r="A800" s="1"/>
      <c r="B800" s="1"/>
      <c r="C800" s="1"/>
      <c r="D800" s="1"/>
      <c r="E800" s="2"/>
      <c r="F800" s="2"/>
      <c r="G800" s="2"/>
      <c r="H800" s="2"/>
      <c r="I800" s="2"/>
      <c r="J800" s="2"/>
    </row>
    <row r="801" spans="1:10" ht="12.75" customHeight="1">
      <c r="A801" s="1"/>
      <c r="B801" s="1"/>
      <c r="C801" s="1"/>
      <c r="D801" s="1"/>
      <c r="E801" s="2"/>
      <c r="F801" s="2"/>
      <c r="G801" s="2"/>
      <c r="H801" s="2"/>
      <c r="I801" s="2"/>
      <c r="J801" s="2"/>
    </row>
    <row r="802" spans="1:10" ht="12.75" customHeight="1">
      <c r="A802" s="1"/>
      <c r="B802" s="1"/>
      <c r="C802" s="1"/>
      <c r="D802" s="1"/>
      <c r="E802" s="2"/>
      <c r="F802" s="2"/>
      <c r="G802" s="2"/>
      <c r="H802" s="2"/>
      <c r="I802" s="2"/>
      <c r="J802" s="2"/>
    </row>
    <row r="803" spans="1:10" ht="12.75" customHeight="1">
      <c r="A803" s="1"/>
      <c r="B803" s="1"/>
      <c r="C803" s="1"/>
      <c r="D803" s="1"/>
      <c r="E803" s="2"/>
      <c r="F803" s="2"/>
      <c r="G803" s="2"/>
      <c r="H803" s="2"/>
      <c r="I803" s="2"/>
      <c r="J803" s="2"/>
    </row>
    <row r="804" spans="1:10" ht="12.75" customHeight="1">
      <c r="A804" s="1"/>
      <c r="B804" s="1"/>
      <c r="C804" s="1"/>
      <c r="D804" s="1"/>
      <c r="E804" s="2"/>
      <c r="F804" s="2"/>
      <c r="G804" s="2"/>
      <c r="H804" s="2"/>
      <c r="I804" s="2"/>
      <c r="J804" s="2"/>
    </row>
    <row r="805" spans="1:10" ht="12.75" customHeight="1">
      <c r="A805" s="1"/>
      <c r="B805" s="1"/>
      <c r="C805" s="1"/>
      <c r="D805" s="1"/>
      <c r="E805" s="2"/>
      <c r="F805" s="2"/>
      <c r="G805" s="2"/>
      <c r="H805" s="2"/>
      <c r="I805" s="2"/>
      <c r="J805" s="2"/>
    </row>
    <row r="806" spans="1:10" ht="12.75" customHeight="1">
      <c r="A806" s="1"/>
      <c r="B806" s="1"/>
      <c r="C806" s="1"/>
      <c r="D806" s="1"/>
      <c r="E806" s="2"/>
      <c r="F806" s="2"/>
      <c r="G806" s="2"/>
      <c r="H806" s="2"/>
      <c r="I806" s="2"/>
      <c r="J806" s="2"/>
    </row>
    <row r="807" spans="1:10" ht="12.75" customHeight="1">
      <c r="A807" s="1"/>
      <c r="B807" s="1"/>
      <c r="C807" s="1"/>
      <c r="D807" s="1"/>
      <c r="E807" s="2"/>
      <c r="F807" s="2"/>
      <c r="G807" s="2"/>
      <c r="H807" s="2"/>
      <c r="I807" s="2"/>
      <c r="J807" s="2"/>
    </row>
    <row r="808" spans="1:10" ht="12.75" customHeight="1">
      <c r="A808" s="1"/>
      <c r="B808" s="1"/>
      <c r="C808" s="1"/>
      <c r="D808" s="1"/>
      <c r="E808" s="2"/>
      <c r="F808" s="2"/>
      <c r="G808" s="2"/>
      <c r="H808" s="2"/>
      <c r="I808" s="2"/>
      <c r="J808" s="2"/>
    </row>
    <row r="809" spans="1:10" ht="12.75" customHeight="1">
      <c r="A809" s="1"/>
      <c r="B809" s="1"/>
      <c r="C809" s="1"/>
      <c r="D809" s="1"/>
      <c r="E809" s="2"/>
      <c r="F809" s="2"/>
      <c r="G809" s="2"/>
      <c r="H809" s="2"/>
      <c r="I809" s="2"/>
      <c r="J809" s="2"/>
    </row>
    <row r="810" spans="1:10" ht="12.75" customHeight="1">
      <c r="A810" s="1"/>
      <c r="B810" s="1"/>
      <c r="C810" s="1"/>
      <c r="D810" s="1"/>
      <c r="E810" s="2"/>
      <c r="F810" s="2"/>
      <c r="G810" s="2"/>
      <c r="H810" s="2"/>
      <c r="I810" s="2"/>
      <c r="J810" s="2"/>
    </row>
    <row r="811" spans="1:10" ht="12.75" customHeight="1">
      <c r="A811" s="1"/>
      <c r="B811" s="1"/>
      <c r="C811" s="1"/>
      <c r="D811" s="1"/>
      <c r="E811" s="2"/>
      <c r="F811" s="2"/>
      <c r="G811" s="2"/>
      <c r="H811" s="2"/>
      <c r="I811" s="2"/>
      <c r="J811" s="2"/>
    </row>
    <row r="812" spans="1:10" ht="12.75" customHeight="1">
      <c r="A812" s="1"/>
      <c r="B812" s="1"/>
      <c r="C812" s="1"/>
      <c r="D812" s="1"/>
      <c r="E812" s="2"/>
      <c r="F812" s="2"/>
      <c r="G812" s="2"/>
      <c r="H812" s="2"/>
      <c r="I812" s="2"/>
      <c r="J812" s="2"/>
    </row>
    <row r="813" spans="1:10" ht="12.75" customHeight="1">
      <c r="A813" s="1"/>
      <c r="B813" s="1"/>
      <c r="C813" s="1"/>
      <c r="D813" s="1"/>
      <c r="E813" s="2"/>
      <c r="F813" s="2"/>
      <c r="G813" s="2"/>
      <c r="H813" s="2"/>
      <c r="I813" s="2"/>
      <c r="J813" s="2"/>
    </row>
    <row r="814" spans="1:10" ht="12.75" customHeight="1">
      <c r="A814" s="1"/>
      <c r="B814" s="1"/>
      <c r="C814" s="1"/>
      <c r="D814" s="1"/>
      <c r="E814" s="2"/>
      <c r="F814" s="2"/>
      <c r="G814" s="2"/>
      <c r="H814" s="2"/>
      <c r="I814" s="2"/>
      <c r="J814" s="2"/>
    </row>
    <row r="815" spans="1:10" ht="12.75" customHeight="1">
      <c r="A815" s="1"/>
      <c r="B815" s="1"/>
      <c r="C815" s="1"/>
      <c r="D815" s="1"/>
      <c r="E815" s="2"/>
      <c r="F815" s="2"/>
      <c r="G815" s="2"/>
      <c r="H815" s="2"/>
      <c r="I815" s="2"/>
      <c r="J815" s="2"/>
    </row>
    <row r="816" spans="1:10" ht="12.75" customHeight="1">
      <c r="A816" s="1"/>
      <c r="B816" s="1"/>
      <c r="C816" s="1"/>
      <c r="D816" s="1"/>
      <c r="E816" s="2"/>
      <c r="F816" s="2"/>
      <c r="G816" s="2"/>
      <c r="H816" s="2"/>
      <c r="I816" s="2"/>
      <c r="J816" s="2"/>
    </row>
    <row r="817" spans="1:10" ht="12.75" customHeight="1">
      <c r="A817" s="1"/>
      <c r="B817" s="1"/>
      <c r="C817" s="1"/>
      <c r="D817" s="1"/>
      <c r="E817" s="2"/>
      <c r="F817" s="2"/>
      <c r="G817" s="2"/>
      <c r="H817" s="2"/>
      <c r="I817" s="2"/>
      <c r="J817" s="2"/>
    </row>
    <row r="818" spans="1:10" ht="12.75" customHeight="1">
      <c r="A818" s="1"/>
      <c r="B818" s="1"/>
      <c r="C818" s="1"/>
      <c r="D818" s="1"/>
      <c r="E818" s="2"/>
      <c r="F818" s="2"/>
      <c r="G818" s="2"/>
      <c r="H818" s="2"/>
      <c r="I818" s="2"/>
      <c r="J818" s="2"/>
    </row>
    <row r="819" spans="1:10" ht="12.75" customHeight="1">
      <c r="A819" s="1"/>
      <c r="B819" s="1"/>
      <c r="C819" s="1"/>
      <c r="D819" s="1"/>
      <c r="E819" s="2"/>
      <c r="F819" s="2"/>
      <c r="G819" s="2"/>
      <c r="H819" s="2"/>
      <c r="I819" s="2"/>
      <c r="J819" s="2"/>
    </row>
    <row r="820" spans="1:10" ht="12.75" customHeight="1">
      <c r="A820" s="1"/>
      <c r="B820" s="1"/>
      <c r="C820" s="1"/>
      <c r="D820" s="1"/>
      <c r="E820" s="2"/>
      <c r="F820" s="2"/>
      <c r="G820" s="2"/>
      <c r="H820" s="2"/>
      <c r="I820" s="2"/>
      <c r="J820" s="2"/>
    </row>
    <row r="821" spans="1:10" ht="12.75" customHeight="1">
      <c r="A821" s="1"/>
      <c r="B821" s="1"/>
      <c r="C821" s="1"/>
      <c r="D821" s="1"/>
      <c r="E821" s="2"/>
      <c r="F821" s="2"/>
      <c r="G821" s="2"/>
      <c r="H821" s="2"/>
      <c r="I821" s="2"/>
      <c r="J821" s="2"/>
    </row>
    <row r="822" spans="1:10" ht="12.75" customHeight="1">
      <c r="A822" s="1"/>
      <c r="B822" s="1"/>
      <c r="C822" s="1"/>
      <c r="D822" s="1"/>
      <c r="E822" s="2"/>
      <c r="F822" s="2"/>
      <c r="G822" s="2"/>
      <c r="H822" s="2"/>
      <c r="I822" s="2"/>
      <c r="J822" s="2"/>
    </row>
    <row r="823" spans="1:10" ht="12.75" customHeight="1">
      <c r="A823" s="1"/>
      <c r="B823" s="1"/>
      <c r="C823" s="1"/>
      <c r="D823" s="1"/>
      <c r="E823" s="2"/>
      <c r="F823" s="2"/>
      <c r="G823" s="2"/>
      <c r="H823" s="2"/>
      <c r="I823" s="2"/>
      <c r="J823" s="2"/>
    </row>
    <row r="824" spans="1:10" ht="12.75" customHeight="1">
      <c r="A824" s="1"/>
      <c r="B824" s="1"/>
      <c r="C824" s="1"/>
      <c r="D824" s="1"/>
      <c r="E824" s="2"/>
      <c r="F824" s="2"/>
      <c r="G824" s="2"/>
      <c r="H824" s="2"/>
      <c r="I824" s="2"/>
      <c r="J824" s="2"/>
    </row>
    <row r="825" spans="1:10" ht="12.75" customHeight="1">
      <c r="A825" s="1"/>
      <c r="B825" s="1"/>
      <c r="C825" s="1"/>
      <c r="D825" s="1"/>
      <c r="E825" s="2"/>
      <c r="F825" s="2"/>
      <c r="G825" s="2"/>
      <c r="H825" s="2"/>
      <c r="I825" s="2"/>
      <c r="J825" s="2"/>
    </row>
    <row r="826" spans="1:10" ht="12.75" customHeight="1">
      <c r="A826" s="1"/>
      <c r="B826" s="1"/>
      <c r="C826" s="1"/>
      <c r="D826" s="1"/>
      <c r="E826" s="2"/>
      <c r="F826" s="2"/>
      <c r="G826" s="2"/>
      <c r="H826" s="2"/>
      <c r="I826" s="2"/>
      <c r="J826" s="2"/>
    </row>
    <row r="827" spans="1:10" ht="12.75" customHeight="1">
      <c r="A827" s="1"/>
      <c r="B827" s="1"/>
      <c r="C827" s="1"/>
      <c r="D827" s="1"/>
      <c r="E827" s="2"/>
      <c r="F827" s="2"/>
      <c r="G827" s="2"/>
      <c r="H827" s="2"/>
      <c r="I827" s="2"/>
      <c r="J827" s="2"/>
    </row>
    <row r="828" spans="1:10" ht="12.75" customHeight="1">
      <c r="A828" s="1"/>
      <c r="B828" s="1"/>
      <c r="C828" s="1"/>
      <c r="D828" s="1"/>
      <c r="E828" s="2"/>
      <c r="F828" s="2"/>
      <c r="G828" s="2"/>
      <c r="H828" s="2"/>
      <c r="I828" s="2"/>
      <c r="J828" s="2"/>
    </row>
    <row r="829" spans="1:10" ht="12.75" customHeight="1">
      <c r="A829" s="1"/>
      <c r="B829" s="1"/>
      <c r="C829" s="1"/>
      <c r="D829" s="1"/>
      <c r="E829" s="2"/>
      <c r="F829" s="2"/>
      <c r="G829" s="2"/>
      <c r="H829" s="2"/>
      <c r="I829" s="2"/>
      <c r="J829" s="2"/>
    </row>
    <row r="830" spans="1:10" ht="12.75" customHeight="1">
      <c r="A830" s="1"/>
      <c r="B830" s="1"/>
      <c r="C830" s="1"/>
      <c r="D830" s="1"/>
      <c r="E830" s="2"/>
      <c r="F830" s="2"/>
      <c r="G830" s="2"/>
      <c r="H830" s="2"/>
      <c r="I830" s="2"/>
      <c r="J830" s="2"/>
    </row>
    <row r="831" spans="1:10" ht="12.75" customHeight="1">
      <c r="A831" s="1"/>
      <c r="B831" s="1"/>
      <c r="C831" s="1"/>
      <c r="D831" s="1"/>
      <c r="E831" s="2"/>
      <c r="F831" s="2"/>
      <c r="G831" s="2"/>
      <c r="H831" s="2"/>
      <c r="I831" s="2"/>
      <c r="J831" s="2"/>
    </row>
    <row r="832" spans="1:10" ht="12.75" customHeight="1">
      <c r="A832" s="1"/>
      <c r="B832" s="1"/>
      <c r="C832" s="1"/>
      <c r="D832" s="1"/>
      <c r="E832" s="2"/>
      <c r="F832" s="2"/>
      <c r="G832" s="2"/>
      <c r="H832" s="2"/>
      <c r="I832" s="2"/>
      <c r="J832" s="2"/>
    </row>
    <row r="833" spans="1:10" ht="12.75" customHeight="1">
      <c r="A833" s="1"/>
      <c r="B833" s="1"/>
      <c r="C833" s="1"/>
      <c r="D833" s="1"/>
      <c r="E833" s="2"/>
      <c r="F833" s="2"/>
      <c r="G833" s="2"/>
      <c r="H833" s="2"/>
      <c r="I833" s="2"/>
      <c r="J833" s="2"/>
    </row>
    <row r="834" spans="1:10" ht="12.75" customHeight="1">
      <c r="A834" s="1"/>
      <c r="B834" s="1"/>
      <c r="C834" s="1"/>
      <c r="D834" s="1"/>
      <c r="E834" s="2"/>
      <c r="F834" s="2"/>
      <c r="G834" s="2"/>
      <c r="H834" s="2"/>
      <c r="I834" s="2"/>
      <c r="J834" s="2"/>
    </row>
    <row r="835" spans="1:10" ht="12.75" customHeight="1">
      <c r="A835" s="1"/>
      <c r="B835" s="1"/>
      <c r="C835" s="1"/>
      <c r="D835" s="1"/>
      <c r="E835" s="2"/>
      <c r="F835" s="2"/>
      <c r="G835" s="2"/>
      <c r="H835" s="2"/>
      <c r="I835" s="2"/>
      <c r="J835" s="2"/>
    </row>
    <row r="836" spans="1:10" ht="12.75" customHeight="1">
      <c r="A836" s="1"/>
      <c r="B836" s="1"/>
      <c r="C836" s="1"/>
      <c r="D836" s="1"/>
      <c r="E836" s="2"/>
      <c r="F836" s="2"/>
      <c r="G836" s="2"/>
      <c r="H836" s="2"/>
      <c r="I836" s="2"/>
      <c r="J836" s="2"/>
    </row>
    <row r="837" spans="1:10" ht="12.75" customHeight="1">
      <c r="A837" s="1"/>
      <c r="B837" s="1"/>
      <c r="C837" s="1"/>
      <c r="D837" s="1"/>
      <c r="E837" s="2"/>
      <c r="F837" s="2"/>
      <c r="G837" s="2"/>
      <c r="H837" s="2"/>
      <c r="I837" s="2"/>
      <c r="J837" s="2"/>
    </row>
    <row r="838" spans="1:10" ht="12.75" customHeight="1">
      <c r="A838" s="1"/>
      <c r="B838" s="1"/>
      <c r="C838" s="1"/>
      <c r="D838" s="1"/>
      <c r="E838" s="2"/>
      <c r="F838" s="2"/>
      <c r="G838" s="2"/>
      <c r="H838" s="2"/>
      <c r="I838" s="2"/>
      <c r="J838" s="2"/>
    </row>
    <row r="839" spans="1:10" ht="12.75" customHeight="1">
      <c r="A839" s="1"/>
      <c r="B839" s="1"/>
      <c r="C839" s="1"/>
      <c r="D839" s="1"/>
      <c r="E839" s="2"/>
      <c r="F839" s="2"/>
      <c r="G839" s="2"/>
      <c r="H839" s="2"/>
      <c r="I839" s="2"/>
      <c r="J839" s="2"/>
    </row>
    <row r="840" spans="1:10" ht="12.75" customHeight="1">
      <c r="A840" s="1"/>
      <c r="B840" s="1"/>
      <c r="C840" s="1"/>
      <c r="D840" s="1"/>
      <c r="E840" s="2"/>
      <c r="F840" s="2"/>
      <c r="G840" s="2"/>
      <c r="H840" s="2"/>
      <c r="I840" s="2"/>
      <c r="J840" s="2"/>
    </row>
    <row r="841" spans="1:10" ht="12.75" customHeight="1">
      <c r="A841" s="1"/>
      <c r="B841" s="1"/>
      <c r="C841" s="1"/>
      <c r="D841" s="1"/>
      <c r="E841" s="2"/>
      <c r="F841" s="2"/>
      <c r="G841" s="2"/>
      <c r="H841" s="2"/>
      <c r="I841" s="2"/>
      <c r="J841" s="2"/>
    </row>
    <row r="842" spans="1:10" ht="12.75" customHeight="1">
      <c r="A842" s="1"/>
      <c r="B842" s="1"/>
      <c r="C842" s="1"/>
      <c r="D842" s="1"/>
      <c r="E842" s="2"/>
      <c r="F842" s="2"/>
      <c r="G842" s="2"/>
      <c r="H842" s="2"/>
      <c r="I842" s="2"/>
      <c r="J842" s="2"/>
    </row>
    <row r="843" spans="1:10" ht="12.75" customHeight="1">
      <c r="A843" s="1"/>
      <c r="B843" s="1"/>
      <c r="C843" s="1"/>
      <c r="D843" s="1"/>
      <c r="E843" s="2"/>
      <c r="F843" s="2"/>
      <c r="G843" s="2"/>
      <c r="H843" s="2"/>
      <c r="I843" s="2"/>
      <c r="J843" s="2"/>
    </row>
    <row r="844" spans="1:10" ht="12.75" customHeight="1">
      <c r="A844" s="1"/>
      <c r="B844" s="1"/>
      <c r="C844" s="1"/>
      <c r="D844" s="1"/>
      <c r="E844" s="2"/>
      <c r="F844" s="2"/>
      <c r="G844" s="2"/>
      <c r="H844" s="2"/>
      <c r="I844" s="2"/>
      <c r="J844" s="2"/>
    </row>
    <row r="845" spans="1:10" ht="12.75" customHeight="1">
      <c r="A845" s="1"/>
      <c r="B845" s="1"/>
      <c r="C845" s="1"/>
      <c r="D845" s="1"/>
      <c r="E845" s="2"/>
      <c r="F845" s="2"/>
      <c r="G845" s="2"/>
      <c r="H845" s="2"/>
      <c r="I845" s="2"/>
      <c r="J845" s="2"/>
    </row>
    <row r="846" spans="1:10" ht="12.75" customHeight="1">
      <c r="A846" s="1"/>
      <c r="B846" s="1"/>
      <c r="C846" s="1"/>
      <c r="D846" s="1"/>
      <c r="E846" s="2"/>
      <c r="F846" s="2"/>
      <c r="G846" s="2"/>
      <c r="H846" s="2"/>
      <c r="I846" s="2"/>
      <c r="J846" s="2"/>
    </row>
    <row r="847" spans="1:10" ht="12.75" customHeight="1">
      <c r="A847" s="1"/>
      <c r="B847" s="1"/>
      <c r="C847" s="1"/>
      <c r="D847" s="1"/>
      <c r="E847" s="2"/>
      <c r="F847" s="2"/>
      <c r="G847" s="2"/>
      <c r="H847" s="2"/>
      <c r="I847" s="2"/>
      <c r="J847" s="2"/>
    </row>
    <row r="848" spans="1:10" ht="12.75" customHeight="1">
      <c r="A848" s="1"/>
      <c r="B848" s="1"/>
      <c r="C848" s="1"/>
      <c r="D848" s="1"/>
      <c r="E848" s="2"/>
      <c r="F848" s="2"/>
      <c r="G848" s="2"/>
      <c r="H848" s="2"/>
      <c r="I848" s="2"/>
      <c r="J848" s="2"/>
    </row>
    <row r="849" spans="1:10" ht="12.75" customHeight="1">
      <c r="A849" s="1"/>
      <c r="B849" s="1"/>
      <c r="C849" s="1"/>
      <c r="D849" s="1"/>
      <c r="E849" s="2"/>
      <c r="F849" s="2"/>
      <c r="G849" s="2"/>
      <c r="H849" s="2"/>
      <c r="I849" s="2"/>
      <c r="J849" s="2"/>
    </row>
    <row r="850" spans="1:10" ht="12.75" customHeight="1">
      <c r="A850" s="1"/>
      <c r="B850" s="1"/>
      <c r="C850" s="1"/>
      <c r="D850" s="1"/>
      <c r="E850" s="2"/>
      <c r="F850" s="2"/>
      <c r="G850" s="2"/>
      <c r="H850" s="2"/>
      <c r="I850" s="2"/>
      <c r="J850" s="2"/>
    </row>
    <row r="851" spans="1:10" ht="12.75" customHeight="1">
      <c r="A851" s="1"/>
      <c r="B851" s="1"/>
      <c r="C851" s="1"/>
      <c r="D851" s="1"/>
      <c r="E851" s="2"/>
      <c r="F851" s="2"/>
      <c r="G851" s="2"/>
      <c r="H851" s="2"/>
      <c r="I851" s="2"/>
      <c r="J851" s="2"/>
    </row>
    <row r="852" spans="1:10" ht="12.75" customHeight="1">
      <c r="A852" s="1"/>
      <c r="B852" s="1"/>
      <c r="C852" s="1"/>
      <c r="D852" s="1"/>
      <c r="E852" s="2"/>
      <c r="F852" s="2"/>
      <c r="G852" s="2"/>
      <c r="H852" s="2"/>
      <c r="I852" s="2"/>
      <c r="J852" s="2"/>
    </row>
    <row r="853" spans="1:10" ht="12.75" customHeight="1">
      <c r="A853" s="1"/>
      <c r="B853" s="1"/>
      <c r="C853" s="1"/>
      <c r="D853" s="1"/>
      <c r="E853" s="2"/>
      <c r="F853" s="2"/>
      <c r="G853" s="2"/>
      <c r="H853" s="2"/>
      <c r="I853" s="2"/>
      <c r="J853" s="2"/>
    </row>
    <row r="854" spans="1:10" ht="12.75" customHeight="1">
      <c r="A854" s="1"/>
      <c r="B854" s="1"/>
      <c r="C854" s="1"/>
      <c r="D854" s="1"/>
      <c r="E854" s="2"/>
      <c r="F854" s="2"/>
      <c r="G854" s="2"/>
      <c r="H854" s="2"/>
      <c r="I854" s="2"/>
      <c r="J854" s="2"/>
    </row>
    <row r="855" spans="1:10" ht="12.75" customHeight="1">
      <c r="A855" s="1"/>
      <c r="B855" s="1"/>
      <c r="C855" s="1"/>
      <c r="D855" s="1"/>
      <c r="E855" s="2"/>
      <c r="F855" s="2"/>
      <c r="G855" s="2"/>
      <c r="H855" s="2"/>
      <c r="I855" s="2"/>
      <c r="J855" s="2"/>
    </row>
    <row r="856" spans="1:10" ht="12.75" customHeight="1">
      <c r="A856" s="1"/>
      <c r="B856" s="1"/>
      <c r="C856" s="1"/>
      <c r="D856" s="1"/>
      <c r="E856" s="2"/>
      <c r="F856" s="2"/>
      <c r="G856" s="2"/>
      <c r="H856" s="2"/>
      <c r="I856" s="2"/>
      <c r="J856" s="2"/>
    </row>
    <row r="857" spans="1:10" ht="12.75" customHeight="1">
      <c r="A857" s="1"/>
      <c r="B857" s="1"/>
      <c r="C857" s="1"/>
      <c r="D857" s="1"/>
      <c r="E857" s="2"/>
      <c r="F857" s="2"/>
      <c r="G857" s="2"/>
      <c r="H857" s="2"/>
      <c r="I857" s="2"/>
      <c r="J857" s="2"/>
    </row>
    <row r="858" spans="1:10" ht="12.75" customHeight="1">
      <c r="A858" s="1"/>
      <c r="B858" s="1"/>
      <c r="C858" s="1"/>
      <c r="D858" s="1"/>
      <c r="E858" s="2"/>
      <c r="F858" s="2"/>
      <c r="G858" s="2"/>
      <c r="H858" s="2"/>
      <c r="I858" s="2"/>
      <c r="J858" s="2"/>
    </row>
    <row r="859" spans="1:10" ht="12.75" customHeight="1">
      <c r="A859" s="1"/>
      <c r="B859" s="1"/>
      <c r="C859" s="1"/>
      <c r="D859" s="1"/>
      <c r="E859" s="2"/>
      <c r="F859" s="2"/>
      <c r="G859" s="2"/>
      <c r="H859" s="2"/>
      <c r="I859" s="2"/>
      <c r="J859" s="2"/>
    </row>
    <row r="860" spans="1:10" ht="12.75" customHeight="1">
      <c r="A860" s="1"/>
      <c r="B860" s="1"/>
      <c r="C860" s="1"/>
      <c r="D860" s="1"/>
      <c r="E860" s="2"/>
      <c r="F860" s="2"/>
      <c r="G860" s="2"/>
      <c r="H860" s="2"/>
      <c r="I860" s="2"/>
      <c r="J860" s="2"/>
    </row>
    <row r="861" spans="1:10" ht="12.75" customHeight="1">
      <c r="A861" s="1"/>
      <c r="B861" s="1"/>
      <c r="C861" s="1"/>
      <c r="D861" s="1"/>
      <c r="E861" s="2"/>
      <c r="F861" s="2"/>
      <c r="G861" s="2"/>
      <c r="H861" s="2"/>
      <c r="I861" s="2"/>
      <c r="J861" s="2"/>
    </row>
    <row r="862" spans="1:10" ht="12.75" customHeight="1">
      <c r="A862" s="1"/>
      <c r="B862" s="1"/>
      <c r="C862" s="1"/>
      <c r="D862" s="1"/>
      <c r="E862" s="2"/>
      <c r="F862" s="2"/>
      <c r="G862" s="2"/>
      <c r="H862" s="2"/>
      <c r="I862" s="2"/>
      <c r="J862" s="2"/>
    </row>
    <row r="863" spans="1:10" ht="12.75" customHeight="1">
      <c r="A863" s="1"/>
      <c r="B863" s="1"/>
      <c r="C863" s="1"/>
      <c r="D863" s="1"/>
      <c r="E863" s="2"/>
      <c r="F863" s="2"/>
      <c r="G863" s="2"/>
      <c r="H863" s="2"/>
      <c r="I863" s="2"/>
      <c r="J863" s="2"/>
    </row>
    <row r="864" spans="1:10" ht="12.75" customHeight="1">
      <c r="A864" s="1"/>
      <c r="B864" s="1"/>
      <c r="C864" s="1"/>
      <c r="D864" s="1"/>
      <c r="E864" s="2"/>
      <c r="F864" s="2"/>
      <c r="G864" s="2"/>
      <c r="H864" s="2"/>
      <c r="I864" s="2"/>
      <c r="J864" s="2"/>
    </row>
    <row r="865" spans="1:10" ht="12.75" customHeight="1">
      <c r="A865" s="1"/>
      <c r="B865" s="1"/>
      <c r="C865" s="1"/>
      <c r="D865" s="1"/>
      <c r="E865" s="2"/>
      <c r="F865" s="2"/>
      <c r="G865" s="2"/>
      <c r="H865" s="2"/>
      <c r="I865" s="2"/>
      <c r="J865" s="2"/>
    </row>
    <row r="866" spans="1:10" ht="12.75" customHeight="1">
      <c r="A866" s="1"/>
      <c r="B866" s="1"/>
      <c r="C866" s="1"/>
      <c r="D866" s="1"/>
      <c r="E866" s="2"/>
      <c r="F866" s="2"/>
      <c r="G866" s="2"/>
      <c r="H866" s="2"/>
      <c r="I866" s="2"/>
      <c r="J866" s="2"/>
    </row>
    <row r="867" spans="1:10" ht="12.75" customHeight="1">
      <c r="A867" s="1"/>
      <c r="B867" s="1"/>
      <c r="C867" s="1"/>
      <c r="D867" s="1"/>
      <c r="E867" s="2"/>
      <c r="F867" s="2"/>
      <c r="G867" s="2"/>
      <c r="H867" s="2"/>
      <c r="I867" s="2"/>
      <c r="J867" s="2"/>
    </row>
    <row r="868" spans="1:10" ht="12.75" customHeight="1">
      <c r="A868" s="1"/>
      <c r="B868" s="1"/>
      <c r="C868" s="1"/>
      <c r="D868" s="1"/>
      <c r="E868" s="2"/>
      <c r="F868" s="2"/>
      <c r="G868" s="2"/>
      <c r="H868" s="2"/>
      <c r="I868" s="2"/>
      <c r="J868" s="2"/>
    </row>
    <row r="869" spans="1:10" ht="12.75" customHeight="1">
      <c r="A869" s="1"/>
      <c r="B869" s="1"/>
      <c r="C869" s="1"/>
      <c r="D869" s="1"/>
      <c r="E869" s="2"/>
      <c r="F869" s="2"/>
      <c r="G869" s="2"/>
      <c r="H869" s="2"/>
      <c r="I869" s="2"/>
      <c r="J869" s="2"/>
    </row>
    <row r="870" spans="1:10" ht="12.75" customHeight="1">
      <c r="A870" s="1"/>
      <c r="B870" s="1"/>
      <c r="C870" s="1"/>
      <c r="D870" s="1"/>
      <c r="E870" s="2"/>
      <c r="F870" s="2"/>
      <c r="G870" s="2"/>
      <c r="H870" s="2"/>
      <c r="I870" s="2"/>
      <c r="J870" s="2"/>
    </row>
    <row r="871" spans="1:10" ht="12.75" customHeight="1">
      <c r="A871" s="1"/>
      <c r="B871" s="1"/>
      <c r="C871" s="1"/>
      <c r="D871" s="1"/>
      <c r="E871" s="2"/>
      <c r="F871" s="2"/>
      <c r="G871" s="2"/>
      <c r="H871" s="2"/>
      <c r="I871" s="2"/>
      <c r="J871" s="2"/>
    </row>
    <row r="872" spans="1:10" ht="12.75" customHeight="1">
      <c r="A872" s="1"/>
      <c r="B872" s="1"/>
      <c r="C872" s="1"/>
      <c r="D872" s="1"/>
      <c r="E872" s="2"/>
      <c r="F872" s="2"/>
      <c r="G872" s="2"/>
      <c r="H872" s="2"/>
      <c r="I872" s="2"/>
      <c r="J872" s="2"/>
    </row>
    <row r="873" spans="1:10" ht="12.75" customHeight="1">
      <c r="A873" s="1"/>
      <c r="B873" s="1"/>
      <c r="C873" s="1"/>
      <c r="D873" s="1"/>
      <c r="E873" s="2"/>
      <c r="F873" s="2"/>
      <c r="G873" s="2"/>
      <c r="H873" s="2"/>
      <c r="I873" s="2"/>
      <c r="J873" s="2"/>
    </row>
    <row r="874" spans="1:10" ht="12.75" customHeight="1">
      <c r="A874" s="1"/>
      <c r="B874" s="1"/>
      <c r="C874" s="1"/>
      <c r="D874" s="1"/>
      <c r="E874" s="2"/>
      <c r="F874" s="2"/>
      <c r="G874" s="2"/>
      <c r="H874" s="2"/>
      <c r="I874" s="2"/>
      <c r="J874" s="2"/>
    </row>
    <row r="875" spans="1:10" ht="12.75" customHeight="1">
      <c r="A875" s="1"/>
      <c r="B875" s="1"/>
      <c r="C875" s="1"/>
      <c r="D875" s="1"/>
      <c r="E875" s="2"/>
      <c r="F875" s="2"/>
      <c r="G875" s="2"/>
      <c r="H875" s="2"/>
      <c r="I875" s="2"/>
      <c r="J875" s="2"/>
    </row>
    <row r="876" spans="1:10" ht="12.75" customHeight="1">
      <c r="A876" s="1"/>
      <c r="B876" s="1"/>
      <c r="C876" s="1"/>
      <c r="D876" s="1"/>
      <c r="E876" s="2"/>
      <c r="F876" s="2"/>
      <c r="G876" s="2"/>
      <c r="H876" s="2"/>
      <c r="I876" s="2"/>
      <c r="J876" s="2"/>
    </row>
    <row r="877" spans="1:10" ht="12.75" customHeight="1">
      <c r="A877" s="1"/>
      <c r="B877" s="1"/>
      <c r="C877" s="1"/>
      <c r="D877" s="1"/>
      <c r="E877" s="2"/>
      <c r="F877" s="2"/>
      <c r="G877" s="2"/>
      <c r="H877" s="2"/>
      <c r="I877" s="2"/>
      <c r="J877" s="2"/>
    </row>
    <row r="878" spans="1:10" ht="12.75" customHeight="1">
      <c r="A878" s="1"/>
      <c r="B878" s="1"/>
      <c r="C878" s="1"/>
      <c r="D878" s="1"/>
      <c r="E878" s="2"/>
      <c r="F878" s="2"/>
      <c r="G878" s="2"/>
      <c r="H878" s="2"/>
      <c r="I878" s="2"/>
      <c r="J878" s="2"/>
    </row>
    <row r="879" spans="1:10" ht="12.75" customHeight="1">
      <c r="A879" s="1"/>
      <c r="B879" s="1"/>
      <c r="C879" s="1"/>
      <c r="D879" s="1"/>
      <c r="E879" s="2"/>
      <c r="F879" s="2"/>
      <c r="G879" s="2"/>
      <c r="H879" s="2"/>
      <c r="I879" s="2"/>
      <c r="J879" s="2"/>
    </row>
    <row r="880" spans="1:10" ht="12.75" customHeight="1">
      <c r="A880" s="1"/>
      <c r="B880" s="1"/>
      <c r="C880" s="1"/>
      <c r="D880" s="1"/>
      <c r="E880" s="2"/>
      <c r="F880" s="2"/>
      <c r="G880" s="2"/>
      <c r="H880" s="2"/>
      <c r="I880" s="2"/>
      <c r="J880" s="2"/>
    </row>
    <row r="881" spans="1:10" ht="12.75" customHeight="1">
      <c r="A881" s="1"/>
      <c r="B881" s="1"/>
      <c r="C881" s="1"/>
      <c r="D881" s="1"/>
      <c r="E881" s="2"/>
      <c r="F881" s="2"/>
      <c r="G881" s="2"/>
      <c r="H881" s="2"/>
      <c r="I881" s="2"/>
      <c r="J881" s="2"/>
    </row>
    <row r="882" spans="1:10" ht="12.75" customHeight="1">
      <c r="A882" s="1"/>
      <c r="B882" s="1"/>
      <c r="C882" s="1"/>
      <c r="D882" s="1"/>
      <c r="E882" s="2"/>
      <c r="F882" s="2"/>
      <c r="G882" s="2"/>
      <c r="H882" s="2"/>
      <c r="I882" s="2"/>
      <c r="J882" s="2"/>
    </row>
    <row r="883" spans="1:10" ht="12.75" customHeight="1">
      <c r="A883" s="1"/>
      <c r="B883" s="1"/>
      <c r="C883" s="1"/>
      <c r="D883" s="1"/>
      <c r="E883" s="2"/>
      <c r="F883" s="2"/>
      <c r="G883" s="2"/>
      <c r="H883" s="2"/>
      <c r="I883" s="2"/>
      <c r="J883" s="2"/>
    </row>
    <row r="884" spans="1:10" ht="12.75" customHeight="1">
      <c r="A884" s="1"/>
      <c r="B884" s="1"/>
      <c r="C884" s="1"/>
      <c r="D884" s="1"/>
      <c r="E884" s="2"/>
      <c r="F884" s="2"/>
      <c r="G884" s="2"/>
      <c r="H884" s="2"/>
      <c r="I884" s="2"/>
      <c r="J884" s="2"/>
    </row>
    <row r="885" spans="1:10" ht="12.75" customHeight="1">
      <c r="A885" s="1"/>
      <c r="B885" s="1"/>
      <c r="C885" s="1"/>
      <c r="D885" s="1"/>
      <c r="E885" s="2"/>
      <c r="F885" s="2"/>
      <c r="G885" s="2"/>
      <c r="H885" s="2"/>
      <c r="I885" s="2"/>
      <c r="J885" s="2"/>
    </row>
    <row r="886" spans="1:10" ht="12.75" customHeight="1">
      <c r="A886" s="1"/>
      <c r="B886" s="1"/>
      <c r="C886" s="1"/>
      <c r="D886" s="1"/>
      <c r="E886" s="2"/>
      <c r="F886" s="2"/>
      <c r="G886" s="2"/>
      <c r="H886" s="2"/>
      <c r="I886" s="2"/>
      <c r="J886" s="2"/>
    </row>
    <row r="887" spans="1:10" ht="12.75" customHeight="1">
      <c r="A887" s="1"/>
      <c r="B887" s="1"/>
      <c r="C887" s="1"/>
      <c r="D887" s="1"/>
      <c r="E887" s="2"/>
      <c r="F887" s="2"/>
      <c r="G887" s="2"/>
      <c r="H887" s="2"/>
      <c r="I887" s="2"/>
      <c r="J887" s="2"/>
    </row>
    <row r="888" spans="1:10" ht="12.75" customHeight="1">
      <c r="A888" s="1"/>
      <c r="B888" s="1"/>
      <c r="C888" s="1"/>
      <c r="D888" s="1"/>
      <c r="E888" s="2"/>
      <c r="F888" s="2"/>
      <c r="G888" s="2"/>
      <c r="H888" s="2"/>
      <c r="I888" s="2"/>
      <c r="J888" s="2"/>
    </row>
    <row r="889" spans="1:10" ht="12.75" customHeight="1">
      <c r="A889" s="1"/>
      <c r="B889" s="1"/>
      <c r="C889" s="1"/>
      <c r="D889" s="1"/>
      <c r="E889" s="2"/>
      <c r="F889" s="2"/>
      <c r="G889" s="2"/>
      <c r="H889" s="2"/>
      <c r="I889" s="2"/>
      <c r="J889" s="2"/>
    </row>
    <row r="890" spans="1:10" ht="12.75" customHeight="1">
      <c r="A890" s="1"/>
      <c r="B890" s="1"/>
      <c r="C890" s="1"/>
      <c r="D890" s="1"/>
      <c r="E890" s="2"/>
      <c r="F890" s="2"/>
      <c r="G890" s="2"/>
      <c r="H890" s="2"/>
      <c r="I890" s="2"/>
      <c r="J890" s="2"/>
    </row>
    <row r="891" spans="1:10" ht="12.75" customHeight="1">
      <c r="A891" s="1"/>
      <c r="B891" s="1"/>
      <c r="C891" s="1"/>
      <c r="D891" s="1"/>
      <c r="E891" s="2"/>
      <c r="F891" s="2"/>
      <c r="G891" s="2"/>
      <c r="H891" s="2"/>
      <c r="I891" s="2"/>
      <c r="J891" s="2"/>
    </row>
    <row r="892" spans="1:10" ht="12.75" customHeight="1">
      <c r="A892" s="1"/>
      <c r="B892" s="1"/>
      <c r="C892" s="1"/>
      <c r="D892" s="1"/>
      <c r="E892" s="2"/>
      <c r="F892" s="2"/>
      <c r="G892" s="2"/>
      <c r="H892" s="2"/>
      <c r="I892" s="2"/>
      <c r="J892" s="2"/>
    </row>
    <row r="893" spans="1:10" ht="12.75" customHeight="1">
      <c r="A893" s="1"/>
      <c r="B893" s="1"/>
      <c r="C893" s="1"/>
      <c r="D893" s="1"/>
      <c r="E893" s="2"/>
      <c r="F893" s="2"/>
      <c r="G893" s="2"/>
      <c r="H893" s="2"/>
      <c r="I893" s="2"/>
      <c r="J893" s="2"/>
    </row>
    <row r="894" spans="1:10" ht="12.75" customHeight="1">
      <c r="A894" s="1"/>
      <c r="B894" s="1"/>
      <c r="C894" s="1"/>
      <c r="D894" s="1"/>
      <c r="E894" s="2"/>
      <c r="F894" s="2"/>
      <c r="G894" s="2"/>
      <c r="H894" s="2"/>
      <c r="I894" s="2"/>
      <c r="J894" s="2"/>
    </row>
    <row r="895" spans="1:10" ht="12.75" customHeight="1">
      <c r="A895" s="1"/>
      <c r="B895" s="1"/>
      <c r="C895" s="1"/>
      <c r="D895" s="1"/>
      <c r="E895" s="2"/>
      <c r="F895" s="2"/>
      <c r="G895" s="2"/>
      <c r="H895" s="2"/>
      <c r="I895" s="2"/>
      <c r="J895" s="2"/>
    </row>
    <row r="896" spans="1:10" ht="12.75" customHeight="1">
      <c r="A896" s="1"/>
      <c r="B896" s="1"/>
      <c r="C896" s="1"/>
      <c r="D896" s="1"/>
      <c r="E896" s="2"/>
      <c r="F896" s="2"/>
      <c r="G896" s="2"/>
      <c r="H896" s="2"/>
      <c r="I896" s="2"/>
      <c r="J896" s="2"/>
    </row>
    <row r="897" spans="1:10" ht="12.75" customHeight="1">
      <c r="A897" s="1"/>
      <c r="B897" s="1"/>
      <c r="C897" s="1"/>
      <c r="D897" s="1"/>
      <c r="E897" s="2"/>
      <c r="F897" s="2"/>
      <c r="G897" s="2"/>
      <c r="H897" s="2"/>
      <c r="I897" s="2"/>
      <c r="J897" s="2"/>
    </row>
    <row r="898" spans="1:10" ht="12.75" customHeight="1">
      <c r="A898" s="1"/>
      <c r="B898" s="1"/>
      <c r="C898" s="1"/>
      <c r="D898" s="1"/>
      <c r="E898" s="2"/>
      <c r="F898" s="2"/>
      <c r="G898" s="2"/>
      <c r="H898" s="2"/>
      <c r="I898" s="2"/>
      <c r="J898" s="2"/>
    </row>
    <row r="899" spans="1:10" ht="12.75" customHeight="1">
      <c r="A899" s="1"/>
      <c r="B899" s="1"/>
      <c r="C899" s="1"/>
      <c r="D899" s="1"/>
      <c r="E899" s="2"/>
      <c r="F899" s="2"/>
      <c r="G899" s="2"/>
      <c r="H899" s="2"/>
      <c r="I899" s="2"/>
      <c r="J899" s="2"/>
    </row>
    <row r="900" spans="1:10" ht="12.75" customHeight="1">
      <c r="A900" s="1"/>
      <c r="B900" s="1"/>
      <c r="C900" s="1"/>
      <c r="D900" s="1"/>
      <c r="E900" s="2"/>
      <c r="F900" s="2"/>
      <c r="G900" s="2"/>
      <c r="H900" s="2"/>
      <c r="I900" s="2"/>
      <c r="J900" s="2"/>
    </row>
    <row r="901" spans="1:10" ht="12.75" customHeight="1">
      <c r="A901" s="1"/>
      <c r="B901" s="1"/>
      <c r="C901" s="1"/>
      <c r="D901" s="1"/>
      <c r="E901" s="2"/>
      <c r="F901" s="2"/>
      <c r="G901" s="2"/>
      <c r="H901" s="2"/>
      <c r="I901" s="2"/>
      <c r="J901" s="2"/>
    </row>
    <row r="902" spans="1:10" ht="12.75" customHeight="1">
      <c r="A902" s="1"/>
      <c r="B902" s="1"/>
      <c r="C902" s="1"/>
      <c r="D902" s="1"/>
      <c r="E902" s="2"/>
      <c r="F902" s="2"/>
      <c r="G902" s="2"/>
      <c r="H902" s="2"/>
      <c r="I902" s="2"/>
      <c r="J902" s="2"/>
    </row>
    <row r="903" spans="1:10" ht="12.75" customHeight="1">
      <c r="A903" s="1"/>
      <c r="B903" s="1"/>
      <c r="C903" s="1"/>
      <c r="D903" s="1"/>
      <c r="E903" s="2"/>
      <c r="F903" s="2"/>
      <c r="G903" s="2"/>
      <c r="H903" s="2"/>
      <c r="I903" s="2"/>
      <c r="J903" s="2"/>
    </row>
    <row r="904" spans="1:10" ht="12.75" customHeight="1">
      <c r="A904" s="1"/>
      <c r="B904" s="1"/>
      <c r="C904" s="1"/>
      <c r="D904" s="1"/>
      <c r="E904" s="2"/>
      <c r="F904" s="2"/>
      <c r="G904" s="2"/>
      <c r="H904" s="2"/>
      <c r="I904" s="2"/>
      <c r="J904" s="2"/>
    </row>
    <row r="905" spans="1:10" ht="12.75" customHeight="1">
      <c r="A905" s="1"/>
      <c r="B905" s="1"/>
      <c r="C905" s="1"/>
      <c r="D905" s="1"/>
      <c r="E905" s="2"/>
      <c r="F905" s="2"/>
      <c r="G905" s="2"/>
      <c r="H905" s="2"/>
      <c r="I905" s="2"/>
      <c r="J905" s="2"/>
    </row>
    <row r="906" spans="1:10" ht="12.75" customHeight="1">
      <c r="A906" s="1"/>
      <c r="B906" s="1"/>
      <c r="C906" s="1"/>
      <c r="D906" s="1"/>
      <c r="E906" s="2"/>
      <c r="F906" s="2"/>
      <c r="G906" s="2"/>
      <c r="H906" s="2"/>
      <c r="I906" s="2"/>
      <c r="J906" s="2"/>
    </row>
    <row r="907" spans="1:10" ht="12.75" customHeight="1">
      <c r="A907" s="1"/>
      <c r="B907" s="1"/>
      <c r="C907" s="1"/>
      <c r="D907" s="1"/>
      <c r="E907" s="2"/>
      <c r="F907" s="2"/>
      <c r="G907" s="2"/>
      <c r="H907" s="2"/>
      <c r="I907" s="2"/>
      <c r="J907" s="2"/>
    </row>
    <row r="908" spans="1:10" ht="12.75" customHeight="1">
      <c r="A908" s="1"/>
      <c r="B908" s="1"/>
      <c r="C908" s="1"/>
      <c r="D908" s="1"/>
      <c r="E908" s="2"/>
      <c r="F908" s="2"/>
      <c r="G908" s="2"/>
      <c r="H908" s="2"/>
      <c r="I908" s="2"/>
      <c r="J908" s="2"/>
    </row>
    <row r="909" spans="1:10" ht="12.75" customHeight="1">
      <c r="A909" s="1"/>
      <c r="B909" s="1"/>
      <c r="C909" s="1"/>
      <c r="D909" s="1"/>
      <c r="E909" s="2"/>
      <c r="F909" s="2"/>
      <c r="G909" s="2"/>
      <c r="H909" s="2"/>
      <c r="I909" s="2"/>
      <c r="J909" s="2"/>
    </row>
    <row r="910" spans="1:10" ht="12.75" customHeight="1">
      <c r="A910" s="1"/>
      <c r="B910" s="1"/>
      <c r="C910" s="1"/>
      <c r="D910" s="1"/>
      <c r="E910" s="2"/>
      <c r="F910" s="2"/>
      <c r="G910" s="2"/>
      <c r="H910" s="2"/>
      <c r="I910" s="2"/>
      <c r="J910" s="2"/>
    </row>
    <row r="911" spans="1:10" ht="12.75" customHeight="1">
      <c r="A911" s="1"/>
      <c r="B911" s="1"/>
      <c r="C911" s="1"/>
      <c r="D911" s="1"/>
      <c r="E911" s="2"/>
      <c r="F911" s="2"/>
      <c r="G911" s="2"/>
      <c r="H911" s="2"/>
      <c r="I911" s="2"/>
      <c r="J911" s="2"/>
    </row>
    <row r="912" spans="1:10" ht="12.75" customHeight="1">
      <c r="A912" s="1"/>
      <c r="B912" s="1"/>
      <c r="C912" s="1"/>
      <c r="D912" s="1"/>
      <c r="E912" s="2"/>
      <c r="F912" s="2"/>
      <c r="G912" s="2"/>
      <c r="H912" s="2"/>
      <c r="I912" s="2"/>
      <c r="J912" s="2"/>
    </row>
    <row r="913" spans="1:10" ht="12.75" customHeight="1">
      <c r="A913" s="1"/>
      <c r="B913" s="1"/>
      <c r="C913" s="1"/>
      <c r="D913" s="1"/>
      <c r="E913" s="2"/>
      <c r="F913" s="2"/>
      <c r="G913" s="2"/>
      <c r="H913" s="2"/>
      <c r="I913" s="2"/>
      <c r="J913" s="2"/>
    </row>
    <row r="914" spans="1:10" ht="12.75" customHeight="1">
      <c r="A914" s="1"/>
      <c r="B914" s="1"/>
      <c r="C914" s="1"/>
      <c r="D914" s="1"/>
      <c r="E914" s="2"/>
      <c r="F914" s="2"/>
      <c r="G914" s="2"/>
      <c r="H914" s="2"/>
      <c r="I914" s="2"/>
      <c r="J914" s="2"/>
    </row>
    <row r="915" spans="1:10" ht="12.75" customHeight="1">
      <c r="A915" s="1"/>
      <c r="B915" s="1"/>
      <c r="C915" s="1"/>
      <c r="D915" s="1"/>
      <c r="E915" s="2"/>
      <c r="F915" s="2"/>
      <c r="G915" s="2"/>
      <c r="H915" s="2"/>
      <c r="I915" s="2"/>
      <c r="J915" s="2"/>
    </row>
    <row r="916" spans="1:10" ht="12.75" customHeight="1">
      <c r="A916" s="1"/>
      <c r="B916" s="1"/>
      <c r="C916" s="1"/>
      <c r="D916" s="1"/>
      <c r="E916" s="2"/>
      <c r="F916" s="2"/>
      <c r="G916" s="2"/>
      <c r="H916" s="2"/>
      <c r="I916" s="2"/>
      <c r="J916" s="2"/>
    </row>
    <row r="917" spans="1:10" ht="12.75" customHeight="1">
      <c r="A917" s="1"/>
      <c r="B917" s="1"/>
      <c r="C917" s="1"/>
      <c r="D917" s="1"/>
      <c r="E917" s="2"/>
      <c r="F917" s="2"/>
      <c r="G917" s="2"/>
      <c r="H917" s="2"/>
      <c r="I917" s="2"/>
      <c r="J917" s="2"/>
    </row>
    <row r="918" spans="1:10" ht="12.75" customHeight="1">
      <c r="A918" s="1"/>
      <c r="B918" s="1"/>
      <c r="C918" s="1"/>
      <c r="D918" s="1"/>
      <c r="E918" s="2"/>
      <c r="F918" s="2"/>
      <c r="G918" s="2"/>
      <c r="H918" s="2"/>
      <c r="I918" s="2"/>
      <c r="J918" s="2"/>
    </row>
    <row r="919" spans="1:10" ht="12.75" customHeight="1">
      <c r="A919" s="1"/>
      <c r="B919" s="1"/>
      <c r="C919" s="1"/>
      <c r="D919" s="1"/>
      <c r="E919" s="2"/>
      <c r="F919" s="2"/>
      <c r="G919" s="2"/>
      <c r="H919" s="2"/>
      <c r="I919" s="2"/>
      <c r="J919" s="2"/>
    </row>
    <row r="920" spans="1:10" ht="12.75" customHeight="1">
      <c r="A920" s="1"/>
      <c r="B920" s="1"/>
      <c r="C920" s="1"/>
      <c r="D920" s="1"/>
      <c r="E920" s="2"/>
      <c r="F920" s="2"/>
      <c r="G920" s="2"/>
      <c r="H920" s="2"/>
      <c r="I920" s="2"/>
      <c r="J920" s="2"/>
    </row>
    <row r="921" spans="1:10" ht="12.75" customHeight="1">
      <c r="A921" s="1"/>
      <c r="B921" s="1"/>
      <c r="C921" s="1"/>
      <c r="D921" s="1"/>
      <c r="E921" s="2"/>
      <c r="F921" s="2"/>
      <c r="G921" s="2"/>
      <c r="H921" s="2"/>
      <c r="I921" s="2"/>
      <c r="J921" s="2"/>
    </row>
    <row r="922" spans="1:10" ht="12.75" customHeight="1">
      <c r="A922" s="1"/>
      <c r="B922" s="1"/>
      <c r="C922" s="1"/>
      <c r="D922" s="1"/>
      <c r="E922" s="2"/>
      <c r="F922" s="2"/>
      <c r="G922" s="2"/>
      <c r="H922" s="2"/>
      <c r="I922" s="2"/>
      <c r="J922" s="2"/>
    </row>
    <row r="923" spans="1:10" ht="12.75" customHeight="1">
      <c r="A923" s="1"/>
      <c r="B923" s="1"/>
      <c r="C923" s="1"/>
      <c r="D923" s="1"/>
      <c r="E923" s="2"/>
      <c r="F923" s="2"/>
      <c r="G923" s="2"/>
      <c r="H923" s="2"/>
      <c r="I923" s="2"/>
      <c r="J923" s="2"/>
    </row>
    <row r="924" spans="1:10" ht="12.75" customHeight="1">
      <c r="A924" s="1"/>
      <c r="B924" s="1"/>
      <c r="C924" s="1"/>
      <c r="D924" s="1"/>
      <c r="E924" s="2"/>
      <c r="F924" s="2"/>
      <c r="G924" s="2"/>
      <c r="H924" s="2"/>
      <c r="I924" s="2"/>
      <c r="J924" s="2"/>
    </row>
    <row r="925" spans="1:10" ht="12.75" customHeight="1">
      <c r="A925" s="1"/>
      <c r="B925" s="1"/>
      <c r="C925" s="1"/>
      <c r="D925" s="1"/>
      <c r="E925" s="2"/>
      <c r="F925" s="2"/>
      <c r="G925" s="2"/>
      <c r="H925" s="2"/>
      <c r="I925" s="2"/>
      <c r="J925" s="2"/>
    </row>
    <row r="926" spans="1:10" ht="12.75" customHeight="1">
      <c r="A926" s="1"/>
      <c r="B926" s="1"/>
      <c r="C926" s="1"/>
      <c r="D926" s="1"/>
      <c r="E926" s="2"/>
      <c r="F926" s="2"/>
      <c r="G926" s="2"/>
      <c r="H926" s="2"/>
      <c r="I926" s="2"/>
      <c r="J926" s="2"/>
    </row>
    <row r="927" spans="1:10" ht="12.75" customHeight="1">
      <c r="A927" s="1"/>
      <c r="B927" s="1"/>
      <c r="C927" s="1"/>
      <c r="D927" s="1"/>
      <c r="E927" s="2"/>
      <c r="F927" s="2"/>
      <c r="G927" s="2"/>
      <c r="H927" s="2"/>
      <c r="I927" s="2"/>
      <c r="J927" s="2"/>
    </row>
    <row r="928" spans="1:10" ht="12.75" customHeight="1">
      <c r="A928" s="1"/>
      <c r="B928" s="1"/>
      <c r="C928" s="1"/>
      <c r="D928" s="1"/>
      <c r="E928" s="2"/>
      <c r="F928" s="2"/>
      <c r="G928" s="2"/>
      <c r="H928" s="2"/>
      <c r="I928" s="2"/>
      <c r="J928" s="2"/>
    </row>
    <row r="929" spans="1:10" ht="12.75" customHeight="1">
      <c r="A929" s="1"/>
      <c r="B929" s="1"/>
      <c r="C929" s="1"/>
      <c r="D929" s="1"/>
      <c r="E929" s="2"/>
      <c r="F929" s="2"/>
      <c r="G929" s="2"/>
      <c r="H929" s="2"/>
      <c r="I929" s="2"/>
      <c r="J929" s="2"/>
    </row>
    <row r="930" spans="1:10" ht="12.75" customHeight="1">
      <c r="A930" s="1"/>
      <c r="B930" s="1"/>
      <c r="C930" s="1"/>
      <c r="D930" s="1"/>
      <c r="E930" s="2"/>
      <c r="F930" s="2"/>
      <c r="G930" s="2"/>
      <c r="H930" s="2"/>
      <c r="I930" s="2"/>
      <c r="J930" s="2"/>
    </row>
    <row r="931" spans="1:10" ht="12.75" customHeight="1">
      <c r="A931" s="1"/>
      <c r="B931" s="1"/>
      <c r="C931" s="1"/>
      <c r="D931" s="1"/>
      <c r="E931" s="2"/>
      <c r="F931" s="2"/>
      <c r="G931" s="2"/>
      <c r="H931" s="2"/>
      <c r="I931" s="2"/>
      <c r="J931" s="2"/>
    </row>
    <row r="932" spans="1:10" ht="12.75" customHeight="1">
      <c r="A932" s="1"/>
      <c r="B932" s="1"/>
      <c r="C932" s="1"/>
      <c r="D932" s="1"/>
      <c r="E932" s="2"/>
      <c r="F932" s="2"/>
      <c r="G932" s="2"/>
      <c r="H932" s="2"/>
      <c r="I932" s="2"/>
      <c r="J932" s="2"/>
    </row>
    <row r="933" spans="1:10" ht="12.75" customHeight="1">
      <c r="A933" s="1"/>
      <c r="B933" s="1"/>
      <c r="C933" s="1"/>
      <c r="D933" s="1"/>
      <c r="E933" s="2"/>
      <c r="F933" s="2"/>
      <c r="G933" s="2"/>
      <c r="H933" s="2"/>
      <c r="I933" s="2"/>
      <c r="J933" s="2"/>
    </row>
    <row r="934" spans="1:10" ht="12.75" customHeight="1">
      <c r="A934" s="1"/>
      <c r="B934" s="1"/>
      <c r="C934" s="1"/>
      <c r="D934" s="1"/>
      <c r="E934" s="2"/>
      <c r="F934" s="2"/>
      <c r="G934" s="2"/>
      <c r="H934" s="2"/>
      <c r="I934" s="2"/>
      <c r="J934" s="2"/>
    </row>
    <row r="935" spans="1:10" ht="12.75" customHeight="1">
      <c r="A935" s="1"/>
      <c r="B935" s="1"/>
      <c r="C935" s="1"/>
      <c r="D935" s="1"/>
      <c r="E935" s="2"/>
      <c r="F935" s="2"/>
      <c r="G935" s="2"/>
      <c r="H935" s="2"/>
      <c r="I935" s="2"/>
      <c r="J935" s="2"/>
    </row>
    <row r="936" spans="1:10" ht="12.75" customHeight="1">
      <c r="A936" s="1"/>
      <c r="B936" s="1"/>
      <c r="C936" s="1"/>
      <c r="D936" s="1"/>
      <c r="E936" s="2"/>
      <c r="F936" s="2"/>
      <c r="G936" s="2"/>
      <c r="H936" s="2"/>
      <c r="I936" s="2"/>
      <c r="J936" s="2"/>
    </row>
    <row r="937" spans="1:10" ht="12.75" customHeight="1">
      <c r="A937" s="1"/>
      <c r="B937" s="1"/>
      <c r="C937" s="1"/>
      <c r="D937" s="1"/>
      <c r="E937" s="2"/>
      <c r="F937" s="2"/>
      <c r="G937" s="2"/>
      <c r="H937" s="2"/>
      <c r="I937" s="2"/>
      <c r="J937" s="2"/>
    </row>
    <row r="938" spans="1:10" ht="12.75" customHeight="1">
      <c r="A938" s="1"/>
      <c r="B938" s="1"/>
      <c r="C938" s="1"/>
      <c r="D938" s="1"/>
      <c r="E938" s="2"/>
      <c r="F938" s="2"/>
      <c r="G938" s="2"/>
      <c r="H938" s="2"/>
      <c r="I938" s="2"/>
      <c r="J938" s="2"/>
    </row>
    <row r="939" spans="1:10" ht="12.75" customHeight="1">
      <c r="A939" s="1"/>
      <c r="B939" s="1"/>
      <c r="C939" s="1"/>
      <c r="D939" s="1"/>
      <c r="E939" s="2"/>
      <c r="F939" s="2"/>
      <c r="G939" s="2"/>
      <c r="H939" s="2"/>
      <c r="I939" s="2"/>
      <c r="J939" s="2"/>
    </row>
    <row r="940" spans="1:10" ht="12.75" customHeight="1">
      <c r="A940" s="1"/>
      <c r="B940" s="1"/>
      <c r="C940" s="1"/>
      <c r="D940" s="1"/>
      <c r="E940" s="2"/>
      <c r="F940" s="2"/>
      <c r="G940" s="2"/>
      <c r="H940" s="2"/>
      <c r="I940" s="2"/>
      <c r="J940" s="2"/>
    </row>
    <row r="941" spans="1:10" ht="12.75" customHeight="1">
      <c r="A941" s="1"/>
      <c r="B941" s="1"/>
      <c r="C941" s="1"/>
      <c r="D941" s="1"/>
      <c r="E941" s="2"/>
      <c r="F941" s="2"/>
      <c r="G941" s="2"/>
      <c r="H941" s="2"/>
      <c r="I941" s="2"/>
      <c r="J941" s="2"/>
    </row>
    <row r="942" spans="1:10" ht="12.75" customHeight="1">
      <c r="A942" s="1"/>
      <c r="B942" s="1"/>
      <c r="C942" s="1"/>
      <c r="D942" s="1"/>
      <c r="E942" s="2"/>
      <c r="F942" s="2"/>
      <c r="G942" s="2"/>
      <c r="H942" s="2"/>
      <c r="I942" s="2"/>
      <c r="J942" s="2"/>
    </row>
    <row r="943" spans="1:10" ht="12.75" customHeight="1">
      <c r="A943" s="1"/>
      <c r="B943" s="1"/>
      <c r="C943" s="1"/>
      <c r="D943" s="1"/>
      <c r="E943" s="2"/>
      <c r="F943" s="2"/>
      <c r="G943" s="2"/>
      <c r="H943" s="2"/>
      <c r="I943" s="2"/>
      <c r="J943" s="2"/>
    </row>
    <row r="944" spans="1:10" ht="12.75" customHeight="1">
      <c r="A944" s="1"/>
      <c r="B944" s="1"/>
      <c r="C944" s="1"/>
      <c r="D944" s="1"/>
      <c r="E944" s="2"/>
      <c r="F944" s="2"/>
      <c r="G944" s="2"/>
      <c r="H944" s="2"/>
      <c r="I944" s="2"/>
      <c r="J944" s="2"/>
    </row>
    <row r="945" spans="1:10" ht="12.75" customHeight="1">
      <c r="A945" s="1"/>
      <c r="B945" s="1"/>
      <c r="C945" s="1"/>
      <c r="D945" s="1"/>
      <c r="E945" s="2"/>
      <c r="F945" s="2"/>
      <c r="G945" s="2"/>
      <c r="H945" s="2"/>
      <c r="I945" s="2"/>
      <c r="J945" s="2"/>
    </row>
    <row r="946" spans="1:10" ht="12.75" customHeight="1">
      <c r="A946" s="1"/>
      <c r="B946" s="1"/>
      <c r="C946" s="1"/>
      <c r="D946" s="1"/>
      <c r="E946" s="2"/>
      <c r="F946" s="2"/>
      <c r="G946" s="2"/>
      <c r="H946" s="2"/>
      <c r="I946" s="2"/>
      <c r="J946" s="2"/>
    </row>
    <row r="947" spans="1:10" ht="12.75" customHeight="1">
      <c r="A947" s="1"/>
      <c r="B947" s="1"/>
      <c r="C947" s="1"/>
      <c r="D947" s="1"/>
      <c r="E947" s="2"/>
      <c r="F947" s="2"/>
      <c r="G947" s="2"/>
      <c r="H947" s="2"/>
      <c r="I947" s="2"/>
      <c r="J947" s="2"/>
    </row>
    <row r="948" spans="1:10" ht="12.75" customHeight="1">
      <c r="A948" s="1"/>
      <c r="B948" s="1"/>
      <c r="C948" s="1"/>
      <c r="D948" s="1"/>
      <c r="E948" s="2"/>
      <c r="F948" s="2"/>
      <c r="G948" s="2"/>
      <c r="H948" s="2"/>
      <c r="I948" s="2"/>
      <c r="J948" s="2"/>
    </row>
    <row r="949" spans="1:10" ht="12.75" customHeight="1">
      <c r="A949" s="1"/>
      <c r="B949" s="1"/>
      <c r="C949" s="1"/>
      <c r="D949" s="1"/>
      <c r="E949" s="2"/>
      <c r="F949" s="2"/>
      <c r="G949" s="2"/>
      <c r="H949" s="2"/>
      <c r="I949" s="2"/>
      <c r="J949" s="2"/>
    </row>
    <row r="950" spans="1:10" ht="12.75" customHeight="1">
      <c r="A950" s="1"/>
      <c r="B950" s="1"/>
      <c r="C950" s="1"/>
      <c r="D950" s="1"/>
      <c r="E950" s="2"/>
      <c r="F950" s="2"/>
      <c r="G950" s="2"/>
      <c r="H950" s="2"/>
      <c r="I950" s="2"/>
      <c r="J950" s="2"/>
    </row>
    <row r="951" spans="1:10" ht="12.75" customHeight="1">
      <c r="A951" s="1"/>
      <c r="B951" s="1"/>
      <c r="C951" s="1"/>
      <c r="D951" s="1"/>
      <c r="E951" s="2"/>
      <c r="F951" s="2"/>
      <c r="G951" s="2"/>
      <c r="H951" s="2"/>
      <c r="I951" s="2"/>
      <c r="J951" s="2"/>
    </row>
    <row r="952" spans="1:10" ht="12.75" customHeight="1">
      <c r="A952" s="1"/>
      <c r="B952" s="1"/>
      <c r="C952" s="1"/>
      <c r="D952" s="1"/>
      <c r="E952" s="2"/>
      <c r="F952" s="2"/>
      <c r="G952" s="2"/>
      <c r="H952" s="2"/>
      <c r="I952" s="2"/>
      <c r="J952" s="2"/>
    </row>
    <row r="953" spans="1:10" ht="12.75" customHeight="1">
      <c r="A953" s="1"/>
      <c r="B953" s="1"/>
      <c r="C953" s="1"/>
      <c r="D953" s="1"/>
      <c r="E953" s="2"/>
      <c r="F953" s="2"/>
      <c r="G953" s="2"/>
      <c r="H953" s="2"/>
      <c r="I953" s="2"/>
      <c r="J953" s="2"/>
    </row>
    <row r="954" spans="1:10" ht="12.75" customHeight="1">
      <c r="A954" s="1"/>
      <c r="B954" s="1"/>
      <c r="C954" s="1"/>
      <c r="D954" s="1"/>
      <c r="E954" s="2"/>
      <c r="F954" s="2"/>
      <c r="G954" s="2"/>
      <c r="H954" s="2"/>
      <c r="I954" s="2"/>
      <c r="J954" s="2"/>
    </row>
    <row r="955" spans="1:10" ht="12.75" customHeight="1">
      <c r="A955" s="1"/>
      <c r="B955" s="1"/>
      <c r="C955" s="1"/>
      <c r="D955" s="1"/>
      <c r="E955" s="2"/>
      <c r="F955" s="2"/>
      <c r="G955" s="2"/>
      <c r="H955" s="2"/>
      <c r="I955" s="2"/>
      <c r="J955" s="2"/>
    </row>
    <row r="956" spans="1:10" ht="12.75" customHeight="1">
      <c r="A956" s="1"/>
      <c r="B956" s="1"/>
      <c r="C956" s="1"/>
      <c r="D956" s="1"/>
      <c r="E956" s="2"/>
      <c r="F956" s="2"/>
      <c r="G956" s="2"/>
      <c r="H956" s="2"/>
      <c r="I956" s="2"/>
      <c r="J956" s="2"/>
    </row>
    <row r="957" spans="1:10" ht="12.75" customHeight="1">
      <c r="A957" s="1"/>
      <c r="B957" s="1"/>
      <c r="C957" s="1"/>
      <c r="D957" s="1"/>
      <c r="E957" s="2"/>
      <c r="F957" s="2"/>
      <c r="G957" s="2"/>
      <c r="H957" s="2"/>
      <c r="I957" s="2"/>
      <c r="J957" s="2"/>
    </row>
    <row r="958" spans="1:10" ht="12.75" customHeight="1">
      <c r="A958" s="1"/>
      <c r="B958" s="1"/>
      <c r="C958" s="1"/>
      <c r="D958" s="1"/>
      <c r="E958" s="2"/>
      <c r="F958" s="2"/>
      <c r="G958" s="2"/>
      <c r="H958" s="2"/>
      <c r="I958" s="2"/>
      <c r="J958" s="2"/>
    </row>
    <row r="959" spans="1:10" ht="12.75" customHeight="1">
      <c r="A959" s="1"/>
      <c r="B959" s="1"/>
      <c r="C959" s="1"/>
      <c r="D959" s="1"/>
      <c r="E959" s="2"/>
      <c r="F959" s="2"/>
      <c r="G959" s="2"/>
      <c r="H959" s="2"/>
      <c r="I959" s="2"/>
      <c r="J959" s="2"/>
    </row>
    <row r="960" spans="1:10" ht="12.75" customHeight="1">
      <c r="A960" s="1"/>
      <c r="B960" s="1"/>
      <c r="C960" s="1"/>
      <c r="D960" s="1"/>
      <c r="E960" s="2"/>
      <c r="F960" s="2"/>
      <c r="G960" s="2"/>
      <c r="H960" s="2"/>
      <c r="I960" s="2"/>
      <c r="J960" s="2"/>
    </row>
    <row r="961" spans="1:10" ht="12.75" customHeight="1">
      <c r="A961" s="1"/>
      <c r="B961" s="1"/>
      <c r="C961" s="1"/>
      <c r="D961" s="1"/>
      <c r="E961" s="2"/>
      <c r="F961" s="2"/>
      <c r="G961" s="2"/>
      <c r="H961" s="2"/>
      <c r="I961" s="2"/>
      <c r="J961" s="2"/>
    </row>
    <row r="962" spans="1:10" ht="12.75" customHeight="1">
      <c r="A962" s="1"/>
      <c r="B962" s="1"/>
      <c r="C962" s="1"/>
      <c r="D962" s="1"/>
      <c r="E962" s="2"/>
      <c r="F962" s="2"/>
      <c r="G962" s="2"/>
      <c r="H962" s="2"/>
      <c r="I962" s="2"/>
      <c r="J962" s="2"/>
    </row>
    <row r="963" spans="1:10" ht="12.75" customHeight="1">
      <c r="A963" s="1"/>
      <c r="B963" s="1"/>
      <c r="C963" s="1"/>
      <c r="D963" s="1"/>
      <c r="E963" s="2"/>
      <c r="F963" s="2"/>
      <c r="G963" s="2"/>
      <c r="H963" s="2"/>
      <c r="I963" s="2"/>
      <c r="J963" s="2"/>
    </row>
    <row r="964" spans="1:10" ht="12.75" customHeight="1">
      <c r="A964" s="1"/>
      <c r="B964" s="1"/>
      <c r="C964" s="1"/>
      <c r="D964" s="1"/>
      <c r="E964" s="2"/>
      <c r="F964" s="2"/>
      <c r="G964" s="2"/>
      <c r="H964" s="2"/>
      <c r="I964" s="2"/>
      <c r="J964" s="2"/>
    </row>
  </sheetData>
  <phoneticPr fontId="12" type="noConversion"/>
  <pageMargins left="0.74805557727813721" right="0.74805557727813721" top="0.98430556058883667" bottom="0.9843055605888366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운영 정보</vt:lpstr>
      <vt:lpstr>청소코드</vt:lpstr>
      <vt:lpstr>과거</vt:lpstr>
      <vt:lpstr>에어컨청소</vt:lpstr>
      <vt:lpstr>이번주</vt:lpstr>
      <vt:lpstr>최종입금</vt:lpstr>
      <vt:lpstr>계좌 및 개인정보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KIIR_Wang</dc:creator>
  <cp:lastModifiedBy>김우현</cp:lastModifiedBy>
  <dcterms:created xsi:type="dcterms:W3CDTF">2025-07-02T23:50:32Z</dcterms:created>
  <dcterms:modified xsi:type="dcterms:W3CDTF">2026-05-06T13:20:43Z</dcterms:modified>
</cp:coreProperties>
</file>